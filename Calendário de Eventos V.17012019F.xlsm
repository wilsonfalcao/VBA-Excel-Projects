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wilson.falcao\Desktop\teste\"/>
    </mc:Choice>
  </mc:AlternateContent>
  <bookViews>
    <workbookView showHorizontalScroll="0" showVerticalScroll="0" xWindow="0" yWindow="0" windowWidth="24000" windowHeight="9510" firstSheet="1" activeTab="1"/>
  </bookViews>
  <sheets>
    <sheet name="Início" sheetId="7" state="hidden" r:id="rId1"/>
    <sheet name="Calendário" sheetId="5" r:id="rId2"/>
    <sheet name="Gestão de Férias" sheetId="8" r:id="rId3"/>
    <sheet name="Eventos" sheetId="9" r:id="rId4"/>
    <sheet name="Anual" sheetId="1" r:id="rId5"/>
    <sheet name="Valid" sheetId="10" state="hidden" r:id="rId6"/>
    <sheet name="Cadastro de Feriados" sheetId="4" state="hidden" r:id="rId7"/>
  </sheets>
  <definedNames>
    <definedName name="_Abr1">Anual!#REF!</definedName>
    <definedName name="_Ago1">Anual!#REF!</definedName>
    <definedName name="_Brz1">'Cadastro de Feriados'!$C$4:$C$38</definedName>
    <definedName name="_Brz2">'Cadastro de Feriados'!$C$39:$C$54</definedName>
    <definedName name="_Brz3">'Cadastro de Feriados'!$C$4:$C$54</definedName>
    <definedName name="_Dez1">Anual!#REF!</definedName>
    <definedName name="_Dia1">Calendário!$A$5</definedName>
    <definedName name="_Fev1">Anual!#REF!</definedName>
    <definedName name="_xlnm._FilterDatabase" localSheetId="3" hidden="1">Eventos!$B$3:$F$2472</definedName>
    <definedName name="_xlnm._FilterDatabase" localSheetId="2" hidden="1">'Gestão de Férias'!$B$3:$G$3</definedName>
    <definedName name="_Jan1">Anual!#REF!</definedName>
    <definedName name="_Jul1">Anual!#REF!</definedName>
    <definedName name="_Jun1">Anual!#REF!</definedName>
    <definedName name="_Mai1">Anual!#REF!</definedName>
    <definedName name="_Mar1">Anual!#REF!</definedName>
    <definedName name="_Nov1">Anual!#REF!</definedName>
    <definedName name="_Out1">Anual!#REF!</definedName>
    <definedName name="_Set1">Anual!#REF!</definedName>
    <definedName name="Ano">Anual!$C$2</definedName>
    <definedName name="_xlnm.Print_Area" localSheetId="4">Anual!#REF!</definedName>
    <definedName name="_xlnm.Print_Area" localSheetId="6">'Cadastro de Feriados'!$B$1:$E$70</definedName>
    <definedName name="_xlnm.Print_Area" localSheetId="1">Calendário!$A$4:$N$18</definedName>
    <definedName name="Brz1A">'Cadastro de Feriados'!$B$4:$B$38</definedName>
    <definedName name="Brz2A">'Cadastro de Feriados'!$B$39:$B$54</definedName>
    <definedName name="Brz3A">'Cadastro de Feriados'!$B$4:$B$54</definedName>
    <definedName name="BuscVaCorre">Valid!$A$1:$E$13</definedName>
    <definedName name="DatCom">Calendário!$I$2</definedName>
    <definedName name="Dias">Calendário!$B$7,Calendário!$D$7,Calendário!$F$7,Calendário!$H$7,Calendário!$J$7,Calendário!$L$7,Calendário!$N$7,Calendário!$B$9,Calendário!$D$9,Calendário!$F$9,Calendário!$H$9,Calendário!$J$9,Calendário!$L$9,Calendário!$N$9,Calendário!$B$11,Calendário!$D$11,Calendário!$F$11,Calendário!$H$11,Calendário!$J$11,Calendário!$L$11,Calendário!$N$11,Calendário!$B$13,Calendário!$D$13,Calendário!$F$13,Calendário!$H$13,Calendário!$J$13,Calendário!$L$13,Calendário!$N$13,Calendário!$B$15,Calendário!$D$15,Calendário!$F$15,Calendário!$H$15,Calendário!$J$15,Calendário!$L$15,Calendário!$N$15,Calendário!$B$17,Calendário!$D$17,Calendário!$F$17,Calendário!$H$17,Calendário!$J$17,Calendário!$L$17,Calendário!$N$17</definedName>
    <definedName name="Dias_Anot">Calendário!$A$8:$N$8,Calendário!$A$10:$N$10,Calendário!$A$12:$N$12,Calendário!$A$14:$N$14,Calendário!$A$16:$N$16,Calendário!$A$18:$N$18</definedName>
    <definedName name="Dias_Obs">Calendário!$A$7,Calendário!$C$7,Calendário!$E$7,Calendário!$G$7,Calendário!$I$7,Calendário!$K$7,Calendário!$M$7,Calendário!$M$9,Calendário!$K$9,Calendário!$I$9,Calendário!$G$9,Calendário!$E$9,Calendário!$C$9,Calendário!$A$9,Calendário!$A$11,Calendário!$C$11,Calendário!$E$11,Calendário!$G$11,Calendário!$I$11,Calendário!$K$11,Calendário!$M$11,Calendário!$M$13,Calendário!$K$13,Calendário!$I$13,Calendário!$G$13,Calendário!$E$13,Calendário!$C$13,Calendário!$A$13,Calendário!$A$15,Calendário!$C$15,Calendário!$E$15,Calendário!$G$15,Calendário!$I$15,Calendário!$K$15,Calendário!$M$15,Calendário!$M$17,Calendário!$K$17,Calendário!$I$17,Calendário!$G$17,Calendário!$E$17,Calendário!$C$17,Calendário!$A$17</definedName>
    <definedName name="Exibir_Dat_Com">Anual!$O$2</definedName>
    <definedName name="Exibir_Fer_EUA">Anual!$Q$2</definedName>
    <definedName name="Exibir_Fer_Nac">Anual!$M$2</definedName>
    <definedName name="FerEUA">Calendário!$I$3</definedName>
    <definedName name="FerNac">Calendário!$I$1</definedName>
    <definedName name="Folha">Calendário!$M$2</definedName>
    <definedName name="Lista_Meses">'Cadastro de Feriados'!$G$4:$G$15</definedName>
    <definedName name="Mês">Calendário!$N$5</definedName>
    <definedName name="Meses">Anual!#REF!,Anual!#REF!,Anual!#REF!,Anual!#REF!,Anual!#REF!,Anual!#REF!,Anual!#REF!,Anual!#REF!,Anual!#REF!,Anual!#REF!,Anual!#REF!,Anual!#REF!</definedName>
    <definedName name="P_Dia">'Cadastro de Feriados'!$D$89</definedName>
    <definedName name="P_Mês">'Cadastro de Feriados'!$D$90</definedName>
    <definedName name="Páscoa">'Cadastro de Feriados'!$C$6</definedName>
    <definedName name="USA">'Cadastro de Feriados'!$C$55:$C$70</definedName>
    <definedName name="USAA">'Cadastro de Feriados'!$B$55:$B$70</definedName>
    <definedName name="validacao">Valid!$A$17:$A$24</definedName>
  </definedNames>
  <calcPr calcId="152511"/>
</workbook>
</file>

<file path=xl/calcChain.xml><?xml version="1.0" encoding="utf-8"?>
<calcChain xmlns="http://schemas.openxmlformats.org/spreadsheetml/2006/main">
  <c r="E7" i="8" l="1"/>
  <c r="G6" i="9"/>
  <c r="H6" i="9"/>
  <c r="I6" i="9"/>
  <c r="J6" i="9"/>
  <c r="G7" i="9"/>
  <c r="H7" i="9"/>
  <c r="I7" i="9"/>
  <c r="J7" i="9"/>
  <c r="G8" i="9"/>
  <c r="H8" i="9"/>
  <c r="I8" i="9"/>
  <c r="J8" i="9"/>
  <c r="G9" i="9"/>
  <c r="H9" i="9"/>
  <c r="I9" i="9"/>
  <c r="J9" i="9"/>
  <c r="G10" i="9"/>
  <c r="H10" i="9"/>
  <c r="I10" i="9"/>
  <c r="J10" i="9"/>
  <c r="G11" i="9"/>
  <c r="H11" i="9"/>
  <c r="I11" i="9"/>
  <c r="J11" i="9"/>
  <c r="G12" i="9"/>
  <c r="H12" i="9"/>
  <c r="I12" i="9"/>
  <c r="J12" i="9"/>
  <c r="G13" i="9"/>
  <c r="H13" i="9"/>
  <c r="I13" i="9"/>
  <c r="J13" i="9"/>
  <c r="G14" i="9"/>
  <c r="H14" i="9"/>
  <c r="I14" i="9"/>
  <c r="J14" i="9"/>
  <c r="G15" i="9"/>
  <c r="H15" i="9"/>
  <c r="I15" i="9"/>
  <c r="J15" i="9"/>
  <c r="G16" i="9"/>
  <c r="H16" i="9"/>
  <c r="I16" i="9"/>
  <c r="J16" i="9"/>
  <c r="G17" i="9"/>
  <c r="H17" i="9"/>
  <c r="I17" i="9"/>
  <c r="J17" i="9"/>
  <c r="G18" i="9"/>
  <c r="H18" i="9"/>
  <c r="I18" i="9"/>
  <c r="J18" i="9"/>
  <c r="G19" i="9"/>
  <c r="H19" i="9"/>
  <c r="I19" i="9"/>
  <c r="J19" i="9"/>
  <c r="G20" i="9"/>
  <c r="H20" i="9"/>
  <c r="I20" i="9"/>
  <c r="J20" i="9"/>
  <c r="G21" i="9"/>
  <c r="H21" i="9"/>
  <c r="I21" i="9"/>
  <c r="J21" i="9"/>
  <c r="G22" i="9"/>
  <c r="H22" i="9"/>
  <c r="I22" i="9"/>
  <c r="J22" i="9"/>
  <c r="G23" i="9"/>
  <c r="H23" i="9"/>
  <c r="I23" i="9"/>
  <c r="J23" i="9"/>
  <c r="G24" i="9"/>
  <c r="H24" i="9"/>
  <c r="I24" i="9"/>
  <c r="J24" i="9"/>
  <c r="G25" i="9"/>
  <c r="H25" i="9"/>
  <c r="I25" i="9"/>
  <c r="J25" i="9"/>
  <c r="G26" i="9"/>
  <c r="H26" i="9"/>
  <c r="I26" i="9"/>
  <c r="J26" i="9"/>
  <c r="G27" i="9"/>
  <c r="H27" i="9"/>
  <c r="I27" i="9"/>
  <c r="J27" i="9"/>
  <c r="G28" i="9"/>
  <c r="H28" i="9"/>
  <c r="I28" i="9"/>
  <c r="J28" i="9"/>
  <c r="G29" i="9"/>
  <c r="H29" i="9"/>
  <c r="I29" i="9"/>
  <c r="J29" i="9"/>
  <c r="G30" i="9"/>
  <c r="H30" i="9"/>
  <c r="I30" i="9"/>
  <c r="J30" i="9"/>
  <c r="G31" i="9"/>
  <c r="H31" i="9"/>
  <c r="I31" i="9"/>
  <c r="J31" i="9"/>
  <c r="G32" i="9"/>
  <c r="H32" i="9"/>
  <c r="I32" i="9"/>
  <c r="J32" i="9"/>
  <c r="G33" i="9"/>
  <c r="H33" i="9"/>
  <c r="I33" i="9"/>
  <c r="J33" i="9"/>
  <c r="G34" i="9"/>
  <c r="H34" i="9"/>
  <c r="I34" i="9"/>
  <c r="J34" i="9"/>
  <c r="G35" i="9"/>
  <c r="H35" i="9"/>
  <c r="I35" i="9"/>
  <c r="J35" i="9"/>
  <c r="G36" i="9"/>
  <c r="H36" i="9"/>
  <c r="I36" i="9"/>
  <c r="J36" i="9"/>
  <c r="G37" i="9"/>
  <c r="H37" i="9"/>
  <c r="I37" i="9"/>
  <c r="J37" i="9"/>
  <c r="G38" i="9"/>
  <c r="H38" i="9"/>
  <c r="I38" i="9"/>
  <c r="J38" i="9"/>
  <c r="G39" i="9"/>
  <c r="H39" i="9"/>
  <c r="I39" i="9"/>
  <c r="J39" i="9"/>
  <c r="G40" i="9"/>
  <c r="H40" i="9"/>
  <c r="I40" i="9"/>
  <c r="J40" i="9"/>
  <c r="G41" i="9"/>
  <c r="H41" i="9"/>
  <c r="I41" i="9"/>
  <c r="J41" i="9"/>
  <c r="G42" i="9"/>
  <c r="H42" i="9"/>
  <c r="I42" i="9"/>
  <c r="J42" i="9"/>
  <c r="G43" i="9"/>
  <c r="H43" i="9"/>
  <c r="I43" i="9"/>
  <c r="J43" i="9"/>
  <c r="G44" i="9"/>
  <c r="H44" i="9"/>
  <c r="I44" i="9"/>
  <c r="J44" i="9"/>
  <c r="G45" i="9"/>
  <c r="H45" i="9"/>
  <c r="I45" i="9"/>
  <c r="J45" i="9"/>
  <c r="G46" i="9"/>
  <c r="H46" i="9"/>
  <c r="I46" i="9"/>
  <c r="J46" i="9"/>
  <c r="G47" i="9"/>
  <c r="H47" i="9"/>
  <c r="I47" i="9"/>
  <c r="J47" i="9"/>
  <c r="G48" i="9"/>
  <c r="H48" i="9"/>
  <c r="I48" i="9"/>
  <c r="J48" i="9"/>
  <c r="G49" i="9"/>
  <c r="H49" i="9"/>
  <c r="I49" i="9"/>
  <c r="J49" i="9"/>
  <c r="G50" i="9"/>
  <c r="H50" i="9"/>
  <c r="I50" i="9"/>
  <c r="J50" i="9"/>
  <c r="G51" i="9"/>
  <c r="H51" i="9"/>
  <c r="I51" i="9"/>
  <c r="J51" i="9"/>
  <c r="G52" i="9"/>
  <c r="H52" i="9"/>
  <c r="I52" i="9"/>
  <c r="J52" i="9"/>
  <c r="G53" i="9"/>
  <c r="H53" i="9"/>
  <c r="I53" i="9"/>
  <c r="J53" i="9"/>
  <c r="G54" i="9"/>
  <c r="H54" i="9"/>
  <c r="I54" i="9"/>
  <c r="J54" i="9"/>
  <c r="G55" i="9"/>
  <c r="H55" i="9"/>
  <c r="I55" i="9"/>
  <c r="J55" i="9"/>
  <c r="G56" i="9"/>
  <c r="H56" i="9"/>
  <c r="I56" i="9"/>
  <c r="J56" i="9"/>
  <c r="G57" i="9"/>
  <c r="H57" i="9"/>
  <c r="I57" i="9"/>
  <c r="J57" i="9"/>
  <c r="G58" i="9"/>
  <c r="H58" i="9"/>
  <c r="I58" i="9"/>
  <c r="J58" i="9"/>
  <c r="G59" i="9"/>
  <c r="H59" i="9"/>
  <c r="I59" i="9"/>
  <c r="J59" i="9"/>
  <c r="G60" i="9"/>
  <c r="H60" i="9"/>
  <c r="I60" i="9"/>
  <c r="J60" i="9"/>
  <c r="G61" i="9"/>
  <c r="H61" i="9"/>
  <c r="I61" i="9"/>
  <c r="J61" i="9"/>
  <c r="G62" i="9"/>
  <c r="H62" i="9"/>
  <c r="I62" i="9"/>
  <c r="J62" i="9"/>
  <c r="G63" i="9"/>
  <c r="H63" i="9"/>
  <c r="I63" i="9"/>
  <c r="J63" i="9"/>
  <c r="G64" i="9"/>
  <c r="H64" i="9"/>
  <c r="I64" i="9"/>
  <c r="J64" i="9"/>
  <c r="G65" i="9"/>
  <c r="H65" i="9"/>
  <c r="I65" i="9"/>
  <c r="J65" i="9"/>
  <c r="G66" i="9"/>
  <c r="H66" i="9"/>
  <c r="I66" i="9"/>
  <c r="J66" i="9"/>
  <c r="G67" i="9"/>
  <c r="H67" i="9"/>
  <c r="I67" i="9"/>
  <c r="J67" i="9"/>
  <c r="G68" i="9"/>
  <c r="H68" i="9"/>
  <c r="I68" i="9"/>
  <c r="J68" i="9"/>
  <c r="G69" i="9"/>
  <c r="H69" i="9"/>
  <c r="I69" i="9"/>
  <c r="J69" i="9"/>
  <c r="G70" i="9"/>
  <c r="H70" i="9"/>
  <c r="I70" i="9"/>
  <c r="J70" i="9"/>
  <c r="G71" i="9"/>
  <c r="H71" i="9"/>
  <c r="I71" i="9"/>
  <c r="J71" i="9"/>
  <c r="G72" i="9"/>
  <c r="H72" i="9"/>
  <c r="I72" i="9"/>
  <c r="J72" i="9"/>
  <c r="G73" i="9"/>
  <c r="H73" i="9"/>
  <c r="I73" i="9"/>
  <c r="J73" i="9"/>
  <c r="G74" i="9"/>
  <c r="H74" i="9"/>
  <c r="I74" i="9"/>
  <c r="J74" i="9"/>
  <c r="G75" i="9"/>
  <c r="H75" i="9"/>
  <c r="I75" i="9"/>
  <c r="J75" i="9"/>
  <c r="G76" i="9"/>
  <c r="H76" i="9"/>
  <c r="I76" i="9"/>
  <c r="J76" i="9"/>
  <c r="G77" i="9"/>
  <c r="H77" i="9"/>
  <c r="I77" i="9"/>
  <c r="J77" i="9"/>
  <c r="G78" i="9"/>
  <c r="H78" i="9"/>
  <c r="I78" i="9"/>
  <c r="J78" i="9"/>
  <c r="G79" i="9"/>
  <c r="H79" i="9"/>
  <c r="I79" i="9"/>
  <c r="J79" i="9"/>
  <c r="G80" i="9"/>
  <c r="H80" i="9"/>
  <c r="I80" i="9"/>
  <c r="J80" i="9"/>
  <c r="G81" i="9"/>
  <c r="H81" i="9"/>
  <c r="I81" i="9"/>
  <c r="J81" i="9"/>
  <c r="G82" i="9"/>
  <c r="H82" i="9"/>
  <c r="I82" i="9"/>
  <c r="J82" i="9"/>
  <c r="G83" i="9"/>
  <c r="H83" i="9"/>
  <c r="I83" i="9"/>
  <c r="J83" i="9"/>
  <c r="G84" i="9"/>
  <c r="H84" i="9"/>
  <c r="I84" i="9"/>
  <c r="J84" i="9"/>
  <c r="G85" i="9"/>
  <c r="H85" i="9"/>
  <c r="I85" i="9"/>
  <c r="J85" i="9"/>
  <c r="G86" i="9"/>
  <c r="H86" i="9"/>
  <c r="I86" i="9"/>
  <c r="J86" i="9"/>
  <c r="G87" i="9"/>
  <c r="H87" i="9"/>
  <c r="I87" i="9"/>
  <c r="J87" i="9"/>
  <c r="G88" i="9"/>
  <c r="H88" i="9"/>
  <c r="I88" i="9"/>
  <c r="J88" i="9"/>
  <c r="G89" i="9"/>
  <c r="H89" i="9"/>
  <c r="I89" i="9"/>
  <c r="J89" i="9"/>
  <c r="G90" i="9"/>
  <c r="H90" i="9"/>
  <c r="I90" i="9"/>
  <c r="J90" i="9"/>
  <c r="G91" i="9"/>
  <c r="H91" i="9"/>
  <c r="I91" i="9"/>
  <c r="J91" i="9"/>
  <c r="G92" i="9"/>
  <c r="H92" i="9"/>
  <c r="I92" i="9"/>
  <c r="J92" i="9"/>
  <c r="G93" i="9"/>
  <c r="H93" i="9"/>
  <c r="I93" i="9"/>
  <c r="J93" i="9"/>
  <c r="G94" i="9"/>
  <c r="H94" i="9"/>
  <c r="I94" i="9"/>
  <c r="J94" i="9"/>
  <c r="G95" i="9"/>
  <c r="H95" i="9"/>
  <c r="I95" i="9"/>
  <c r="J95" i="9"/>
  <c r="G96" i="9"/>
  <c r="H96" i="9"/>
  <c r="I96" i="9"/>
  <c r="J96" i="9"/>
  <c r="G97" i="9"/>
  <c r="H97" i="9"/>
  <c r="I97" i="9"/>
  <c r="J97" i="9"/>
  <c r="G98" i="9"/>
  <c r="H98" i="9"/>
  <c r="I98" i="9"/>
  <c r="J98" i="9"/>
  <c r="G99" i="9"/>
  <c r="H99" i="9"/>
  <c r="I99" i="9"/>
  <c r="J99" i="9"/>
  <c r="G100" i="9"/>
  <c r="H100" i="9"/>
  <c r="I100" i="9"/>
  <c r="J100" i="9"/>
  <c r="G101" i="9"/>
  <c r="H101" i="9"/>
  <c r="I101" i="9"/>
  <c r="J101" i="9"/>
  <c r="G102" i="9"/>
  <c r="H102" i="9"/>
  <c r="I102" i="9"/>
  <c r="J102" i="9"/>
  <c r="G103" i="9"/>
  <c r="H103" i="9"/>
  <c r="I103" i="9"/>
  <c r="J103" i="9"/>
  <c r="G104" i="9"/>
  <c r="H104" i="9"/>
  <c r="I104" i="9"/>
  <c r="J104" i="9"/>
  <c r="G105" i="9"/>
  <c r="H105" i="9"/>
  <c r="I105" i="9"/>
  <c r="J105" i="9"/>
  <c r="G106" i="9"/>
  <c r="H106" i="9"/>
  <c r="I106" i="9"/>
  <c r="J106" i="9"/>
  <c r="G107" i="9"/>
  <c r="H107" i="9"/>
  <c r="I107" i="9"/>
  <c r="J107" i="9"/>
  <c r="G108" i="9"/>
  <c r="H108" i="9"/>
  <c r="I108" i="9"/>
  <c r="J108" i="9"/>
  <c r="G109" i="9"/>
  <c r="H109" i="9"/>
  <c r="I109" i="9"/>
  <c r="J109" i="9"/>
  <c r="G110" i="9"/>
  <c r="H110" i="9"/>
  <c r="I110" i="9"/>
  <c r="J110" i="9"/>
  <c r="G111" i="9"/>
  <c r="H111" i="9"/>
  <c r="I111" i="9"/>
  <c r="J111" i="9"/>
  <c r="G112" i="9"/>
  <c r="H112" i="9"/>
  <c r="I112" i="9"/>
  <c r="J112" i="9"/>
  <c r="G113" i="9"/>
  <c r="H113" i="9"/>
  <c r="I113" i="9"/>
  <c r="J113" i="9"/>
  <c r="G114" i="9"/>
  <c r="H114" i="9"/>
  <c r="I114" i="9"/>
  <c r="J114" i="9"/>
  <c r="G115" i="9"/>
  <c r="H115" i="9"/>
  <c r="I115" i="9"/>
  <c r="J115" i="9"/>
  <c r="G116" i="9"/>
  <c r="H116" i="9"/>
  <c r="I116" i="9"/>
  <c r="J116" i="9"/>
  <c r="G117" i="9"/>
  <c r="H117" i="9"/>
  <c r="I117" i="9"/>
  <c r="J117" i="9"/>
  <c r="G118" i="9"/>
  <c r="H118" i="9"/>
  <c r="I118" i="9"/>
  <c r="J118" i="9"/>
  <c r="G119" i="9"/>
  <c r="H119" i="9"/>
  <c r="I119" i="9"/>
  <c r="J119" i="9"/>
  <c r="G120" i="9"/>
  <c r="H120" i="9"/>
  <c r="I120" i="9"/>
  <c r="J120" i="9"/>
  <c r="G121" i="9"/>
  <c r="H121" i="9"/>
  <c r="I121" i="9"/>
  <c r="J121" i="9"/>
  <c r="G122" i="9"/>
  <c r="H122" i="9"/>
  <c r="I122" i="9"/>
  <c r="J122" i="9"/>
  <c r="G123" i="9"/>
  <c r="H123" i="9"/>
  <c r="I123" i="9"/>
  <c r="J123" i="9"/>
  <c r="G124" i="9"/>
  <c r="H124" i="9"/>
  <c r="I124" i="9"/>
  <c r="J124" i="9"/>
  <c r="G125" i="9"/>
  <c r="H125" i="9"/>
  <c r="I125" i="9"/>
  <c r="J125" i="9"/>
  <c r="G126" i="9"/>
  <c r="H126" i="9"/>
  <c r="I126" i="9"/>
  <c r="J126" i="9"/>
  <c r="G127" i="9"/>
  <c r="H127" i="9"/>
  <c r="I127" i="9"/>
  <c r="J127" i="9"/>
  <c r="G128" i="9"/>
  <c r="H128" i="9"/>
  <c r="I128" i="9"/>
  <c r="J128" i="9"/>
  <c r="G129" i="9"/>
  <c r="H129" i="9"/>
  <c r="I129" i="9"/>
  <c r="J129" i="9"/>
  <c r="G130" i="9"/>
  <c r="H130" i="9"/>
  <c r="I130" i="9"/>
  <c r="J130" i="9"/>
  <c r="G131" i="9"/>
  <c r="H131" i="9"/>
  <c r="I131" i="9"/>
  <c r="J131" i="9"/>
  <c r="G132" i="9"/>
  <c r="H132" i="9"/>
  <c r="I132" i="9"/>
  <c r="J132" i="9"/>
  <c r="G133" i="9"/>
  <c r="H133" i="9"/>
  <c r="I133" i="9"/>
  <c r="J133" i="9"/>
  <c r="G134" i="9"/>
  <c r="H134" i="9"/>
  <c r="I134" i="9"/>
  <c r="J134" i="9"/>
  <c r="G135" i="9"/>
  <c r="H135" i="9"/>
  <c r="I135" i="9"/>
  <c r="J135" i="9"/>
  <c r="G136" i="9"/>
  <c r="H136" i="9"/>
  <c r="I136" i="9"/>
  <c r="J136" i="9"/>
  <c r="G137" i="9"/>
  <c r="H137" i="9"/>
  <c r="I137" i="9"/>
  <c r="J137" i="9"/>
  <c r="G138" i="9"/>
  <c r="H138" i="9"/>
  <c r="I138" i="9"/>
  <c r="J138" i="9"/>
  <c r="G139" i="9"/>
  <c r="H139" i="9"/>
  <c r="I139" i="9"/>
  <c r="J139" i="9"/>
  <c r="G140" i="9"/>
  <c r="H140" i="9"/>
  <c r="I140" i="9"/>
  <c r="J140" i="9"/>
  <c r="G141" i="9"/>
  <c r="H141" i="9"/>
  <c r="I141" i="9"/>
  <c r="J141" i="9"/>
  <c r="G142" i="9"/>
  <c r="H142" i="9"/>
  <c r="I142" i="9"/>
  <c r="J142" i="9"/>
  <c r="G143" i="9"/>
  <c r="H143" i="9"/>
  <c r="I143" i="9"/>
  <c r="J143" i="9"/>
  <c r="G144" i="9"/>
  <c r="H144" i="9"/>
  <c r="I144" i="9"/>
  <c r="J144" i="9"/>
  <c r="G145" i="9"/>
  <c r="H145" i="9"/>
  <c r="I145" i="9"/>
  <c r="J145" i="9"/>
  <c r="G146" i="9"/>
  <c r="H146" i="9"/>
  <c r="I146" i="9"/>
  <c r="J146" i="9"/>
  <c r="G147" i="9"/>
  <c r="H147" i="9"/>
  <c r="I147" i="9"/>
  <c r="J147" i="9"/>
  <c r="G148" i="9"/>
  <c r="H148" i="9"/>
  <c r="I148" i="9"/>
  <c r="J148" i="9"/>
  <c r="G149" i="9"/>
  <c r="H149" i="9"/>
  <c r="I149" i="9"/>
  <c r="J149" i="9"/>
  <c r="G150" i="9"/>
  <c r="H150" i="9"/>
  <c r="I150" i="9"/>
  <c r="J150" i="9"/>
  <c r="G151" i="9"/>
  <c r="H151" i="9"/>
  <c r="I151" i="9"/>
  <c r="J151" i="9"/>
  <c r="G152" i="9"/>
  <c r="H152" i="9"/>
  <c r="I152" i="9"/>
  <c r="J152" i="9"/>
  <c r="G153" i="9"/>
  <c r="H153" i="9"/>
  <c r="I153" i="9"/>
  <c r="J153" i="9"/>
  <c r="G154" i="9"/>
  <c r="H154" i="9"/>
  <c r="I154" i="9"/>
  <c r="J154" i="9"/>
  <c r="G155" i="9"/>
  <c r="H155" i="9"/>
  <c r="I155" i="9"/>
  <c r="J155" i="9"/>
  <c r="G156" i="9"/>
  <c r="H156" i="9"/>
  <c r="I156" i="9"/>
  <c r="J156" i="9"/>
  <c r="G157" i="9"/>
  <c r="H157" i="9"/>
  <c r="I157" i="9"/>
  <c r="J157" i="9"/>
  <c r="G158" i="9"/>
  <c r="H158" i="9"/>
  <c r="I158" i="9"/>
  <c r="J158" i="9"/>
  <c r="G159" i="9"/>
  <c r="H159" i="9"/>
  <c r="I159" i="9"/>
  <c r="J159" i="9"/>
  <c r="G160" i="9"/>
  <c r="H160" i="9"/>
  <c r="I160" i="9"/>
  <c r="J160" i="9"/>
  <c r="G161" i="9"/>
  <c r="H161" i="9"/>
  <c r="I161" i="9"/>
  <c r="J161" i="9"/>
  <c r="G162" i="9"/>
  <c r="H162" i="9"/>
  <c r="I162" i="9"/>
  <c r="J162" i="9"/>
  <c r="G163" i="9"/>
  <c r="H163" i="9"/>
  <c r="I163" i="9"/>
  <c r="J163" i="9"/>
  <c r="G164" i="9"/>
  <c r="H164" i="9"/>
  <c r="I164" i="9"/>
  <c r="J164" i="9"/>
  <c r="G165" i="9"/>
  <c r="H165" i="9"/>
  <c r="I165" i="9"/>
  <c r="J165" i="9"/>
  <c r="G166" i="9"/>
  <c r="H166" i="9"/>
  <c r="I166" i="9"/>
  <c r="J166" i="9"/>
  <c r="G167" i="9"/>
  <c r="H167" i="9"/>
  <c r="I167" i="9"/>
  <c r="J167" i="9"/>
  <c r="G168" i="9"/>
  <c r="H168" i="9"/>
  <c r="I168" i="9"/>
  <c r="J168" i="9"/>
  <c r="G169" i="9"/>
  <c r="H169" i="9"/>
  <c r="I169" i="9"/>
  <c r="J169" i="9"/>
  <c r="G170" i="9"/>
  <c r="H170" i="9"/>
  <c r="I170" i="9"/>
  <c r="J170" i="9"/>
  <c r="G171" i="9"/>
  <c r="H171" i="9"/>
  <c r="I171" i="9"/>
  <c r="J171" i="9"/>
  <c r="G172" i="9"/>
  <c r="H172" i="9"/>
  <c r="I172" i="9"/>
  <c r="J172" i="9"/>
  <c r="G173" i="9"/>
  <c r="H173" i="9"/>
  <c r="I173" i="9"/>
  <c r="J173" i="9"/>
  <c r="G174" i="9"/>
  <c r="H174" i="9"/>
  <c r="I174" i="9"/>
  <c r="J174" i="9"/>
  <c r="G175" i="9"/>
  <c r="H175" i="9"/>
  <c r="I175" i="9"/>
  <c r="J175" i="9"/>
  <c r="G176" i="9"/>
  <c r="H176" i="9"/>
  <c r="I176" i="9"/>
  <c r="J176" i="9"/>
  <c r="G177" i="9"/>
  <c r="H177" i="9"/>
  <c r="I177" i="9"/>
  <c r="J177" i="9"/>
  <c r="G178" i="9"/>
  <c r="H178" i="9"/>
  <c r="I178" i="9"/>
  <c r="J178" i="9"/>
  <c r="G179" i="9"/>
  <c r="H179" i="9"/>
  <c r="I179" i="9"/>
  <c r="J179" i="9"/>
  <c r="G180" i="9"/>
  <c r="H180" i="9"/>
  <c r="I180" i="9"/>
  <c r="J180" i="9"/>
  <c r="G181" i="9"/>
  <c r="H181" i="9"/>
  <c r="I181" i="9"/>
  <c r="J181" i="9"/>
  <c r="G182" i="9"/>
  <c r="H182" i="9"/>
  <c r="I182" i="9"/>
  <c r="J182" i="9"/>
  <c r="G183" i="9"/>
  <c r="H183" i="9"/>
  <c r="I183" i="9"/>
  <c r="J183" i="9"/>
  <c r="G184" i="9"/>
  <c r="H184" i="9"/>
  <c r="I184" i="9"/>
  <c r="J184" i="9"/>
  <c r="G185" i="9"/>
  <c r="H185" i="9"/>
  <c r="I185" i="9"/>
  <c r="J185" i="9"/>
  <c r="G186" i="9"/>
  <c r="H186" i="9"/>
  <c r="I186" i="9"/>
  <c r="J186" i="9"/>
  <c r="G187" i="9"/>
  <c r="H187" i="9"/>
  <c r="I187" i="9"/>
  <c r="J187" i="9"/>
  <c r="G188" i="9"/>
  <c r="H188" i="9"/>
  <c r="I188" i="9"/>
  <c r="J188" i="9"/>
  <c r="G189" i="9"/>
  <c r="H189" i="9"/>
  <c r="I189" i="9"/>
  <c r="J189" i="9"/>
  <c r="G190" i="9"/>
  <c r="H190" i="9"/>
  <c r="I190" i="9"/>
  <c r="J190" i="9"/>
  <c r="G191" i="9"/>
  <c r="H191" i="9"/>
  <c r="I191" i="9"/>
  <c r="J191" i="9"/>
  <c r="G192" i="9"/>
  <c r="H192" i="9"/>
  <c r="I192" i="9"/>
  <c r="J192" i="9"/>
  <c r="G193" i="9"/>
  <c r="H193" i="9"/>
  <c r="I193" i="9"/>
  <c r="J193" i="9"/>
  <c r="G194" i="9"/>
  <c r="H194" i="9"/>
  <c r="I194" i="9"/>
  <c r="J194" i="9"/>
  <c r="G195" i="9"/>
  <c r="H195" i="9"/>
  <c r="I195" i="9"/>
  <c r="J195" i="9"/>
  <c r="G196" i="9"/>
  <c r="H196" i="9"/>
  <c r="I196" i="9"/>
  <c r="J196" i="9"/>
  <c r="G197" i="9"/>
  <c r="H197" i="9"/>
  <c r="I197" i="9"/>
  <c r="J197" i="9"/>
  <c r="G198" i="9"/>
  <c r="H198" i="9"/>
  <c r="I198" i="9"/>
  <c r="J198" i="9"/>
  <c r="G199" i="9"/>
  <c r="H199" i="9"/>
  <c r="I199" i="9"/>
  <c r="J199" i="9"/>
  <c r="G200" i="9"/>
  <c r="H200" i="9"/>
  <c r="I200" i="9"/>
  <c r="J200" i="9"/>
  <c r="G201" i="9"/>
  <c r="H201" i="9"/>
  <c r="I201" i="9"/>
  <c r="J201" i="9"/>
  <c r="G202" i="9"/>
  <c r="H202" i="9"/>
  <c r="I202" i="9"/>
  <c r="J202" i="9"/>
  <c r="G203" i="9"/>
  <c r="H203" i="9"/>
  <c r="I203" i="9"/>
  <c r="J203" i="9"/>
  <c r="G204" i="9"/>
  <c r="H204" i="9"/>
  <c r="I204" i="9"/>
  <c r="J204" i="9"/>
  <c r="G205" i="9"/>
  <c r="H205" i="9"/>
  <c r="I205" i="9"/>
  <c r="J205" i="9"/>
  <c r="G206" i="9"/>
  <c r="H206" i="9"/>
  <c r="I206" i="9"/>
  <c r="J206" i="9"/>
  <c r="G207" i="9"/>
  <c r="H207" i="9"/>
  <c r="I207" i="9"/>
  <c r="J207" i="9"/>
  <c r="G208" i="9"/>
  <c r="H208" i="9"/>
  <c r="I208" i="9"/>
  <c r="J208" i="9"/>
  <c r="G209" i="9"/>
  <c r="H209" i="9"/>
  <c r="I209" i="9"/>
  <c r="J209" i="9"/>
  <c r="G210" i="9"/>
  <c r="H210" i="9"/>
  <c r="I210" i="9"/>
  <c r="J210" i="9"/>
  <c r="G211" i="9"/>
  <c r="H211" i="9"/>
  <c r="I211" i="9"/>
  <c r="J211" i="9"/>
  <c r="G212" i="9"/>
  <c r="H212" i="9"/>
  <c r="I212" i="9"/>
  <c r="J212" i="9"/>
  <c r="G213" i="9"/>
  <c r="H213" i="9"/>
  <c r="I213" i="9"/>
  <c r="J213" i="9"/>
  <c r="G214" i="9"/>
  <c r="H214" i="9"/>
  <c r="I214" i="9"/>
  <c r="J214" i="9"/>
  <c r="G215" i="9"/>
  <c r="H215" i="9"/>
  <c r="I215" i="9"/>
  <c r="J215" i="9"/>
  <c r="G216" i="9"/>
  <c r="H216" i="9"/>
  <c r="I216" i="9"/>
  <c r="J216" i="9"/>
  <c r="G217" i="9"/>
  <c r="H217" i="9"/>
  <c r="I217" i="9"/>
  <c r="J217" i="9"/>
  <c r="G218" i="9"/>
  <c r="H218" i="9"/>
  <c r="I218" i="9"/>
  <c r="J218" i="9"/>
  <c r="G219" i="9"/>
  <c r="H219" i="9"/>
  <c r="I219" i="9"/>
  <c r="J219" i="9"/>
  <c r="G220" i="9"/>
  <c r="H220" i="9"/>
  <c r="I220" i="9"/>
  <c r="J220" i="9"/>
  <c r="G221" i="9"/>
  <c r="H221" i="9"/>
  <c r="I221" i="9"/>
  <c r="J221" i="9"/>
  <c r="G222" i="9"/>
  <c r="H222" i="9"/>
  <c r="I222" i="9"/>
  <c r="J222" i="9"/>
  <c r="G223" i="9"/>
  <c r="H223" i="9"/>
  <c r="I223" i="9"/>
  <c r="J223" i="9"/>
  <c r="G224" i="9"/>
  <c r="H224" i="9"/>
  <c r="I224" i="9"/>
  <c r="J224" i="9"/>
  <c r="G225" i="9"/>
  <c r="H225" i="9"/>
  <c r="I225" i="9"/>
  <c r="J225" i="9"/>
  <c r="G226" i="9"/>
  <c r="H226" i="9"/>
  <c r="I226" i="9"/>
  <c r="J226" i="9"/>
  <c r="G227" i="9"/>
  <c r="H227" i="9"/>
  <c r="I227" i="9"/>
  <c r="J227" i="9"/>
  <c r="G228" i="9"/>
  <c r="H228" i="9"/>
  <c r="I228" i="9"/>
  <c r="J228" i="9"/>
  <c r="G229" i="9"/>
  <c r="H229" i="9"/>
  <c r="I229" i="9"/>
  <c r="J229" i="9"/>
  <c r="G230" i="9"/>
  <c r="H230" i="9"/>
  <c r="I230" i="9"/>
  <c r="J230" i="9"/>
  <c r="G231" i="9"/>
  <c r="H231" i="9"/>
  <c r="I231" i="9"/>
  <c r="J231" i="9"/>
  <c r="G232" i="9"/>
  <c r="H232" i="9"/>
  <c r="I232" i="9"/>
  <c r="J232" i="9"/>
  <c r="G233" i="9"/>
  <c r="H233" i="9"/>
  <c r="I233" i="9"/>
  <c r="J233" i="9"/>
  <c r="G234" i="9"/>
  <c r="H234" i="9"/>
  <c r="I234" i="9"/>
  <c r="J234" i="9"/>
  <c r="G235" i="9"/>
  <c r="H235" i="9"/>
  <c r="I235" i="9"/>
  <c r="J235" i="9"/>
  <c r="G236" i="9"/>
  <c r="H236" i="9"/>
  <c r="I236" i="9"/>
  <c r="J236" i="9"/>
  <c r="G237" i="9"/>
  <c r="H237" i="9"/>
  <c r="I237" i="9"/>
  <c r="J237" i="9"/>
  <c r="G238" i="9"/>
  <c r="H238" i="9"/>
  <c r="I238" i="9"/>
  <c r="J238" i="9"/>
  <c r="G239" i="9"/>
  <c r="H239" i="9"/>
  <c r="I239" i="9"/>
  <c r="J239" i="9"/>
  <c r="G240" i="9"/>
  <c r="H240" i="9"/>
  <c r="I240" i="9"/>
  <c r="J240" i="9"/>
  <c r="G241" i="9"/>
  <c r="H241" i="9"/>
  <c r="I241" i="9"/>
  <c r="J241" i="9"/>
  <c r="G242" i="9"/>
  <c r="H242" i="9"/>
  <c r="I242" i="9"/>
  <c r="J242" i="9"/>
  <c r="G243" i="9"/>
  <c r="H243" i="9"/>
  <c r="I243" i="9"/>
  <c r="J243" i="9"/>
  <c r="G244" i="9"/>
  <c r="H244" i="9"/>
  <c r="I244" i="9"/>
  <c r="J244" i="9"/>
  <c r="G245" i="9"/>
  <c r="H245" i="9"/>
  <c r="I245" i="9"/>
  <c r="J245" i="9"/>
  <c r="G246" i="9"/>
  <c r="H246" i="9"/>
  <c r="I246" i="9"/>
  <c r="J246" i="9"/>
  <c r="G247" i="9"/>
  <c r="H247" i="9"/>
  <c r="I247" i="9"/>
  <c r="J247" i="9"/>
  <c r="G248" i="9"/>
  <c r="H248" i="9"/>
  <c r="I248" i="9"/>
  <c r="J248" i="9"/>
  <c r="G249" i="9"/>
  <c r="H249" i="9"/>
  <c r="I249" i="9"/>
  <c r="J249" i="9"/>
  <c r="G250" i="9"/>
  <c r="H250" i="9"/>
  <c r="I250" i="9"/>
  <c r="J250" i="9"/>
  <c r="G251" i="9"/>
  <c r="H251" i="9"/>
  <c r="I251" i="9"/>
  <c r="J251" i="9"/>
  <c r="G252" i="9"/>
  <c r="H252" i="9"/>
  <c r="I252" i="9"/>
  <c r="J252" i="9"/>
  <c r="G253" i="9"/>
  <c r="H253" i="9"/>
  <c r="I253" i="9"/>
  <c r="J253" i="9"/>
  <c r="G254" i="9"/>
  <c r="H254" i="9"/>
  <c r="I254" i="9"/>
  <c r="J254" i="9"/>
  <c r="G255" i="9"/>
  <c r="H255" i="9"/>
  <c r="I255" i="9"/>
  <c r="J255" i="9"/>
  <c r="G256" i="9"/>
  <c r="H256" i="9"/>
  <c r="I256" i="9"/>
  <c r="J256" i="9"/>
  <c r="G257" i="9"/>
  <c r="H257" i="9"/>
  <c r="I257" i="9"/>
  <c r="J257" i="9"/>
  <c r="G258" i="9"/>
  <c r="H258" i="9"/>
  <c r="I258" i="9"/>
  <c r="J258" i="9"/>
  <c r="G259" i="9"/>
  <c r="H259" i="9"/>
  <c r="I259" i="9"/>
  <c r="J259" i="9"/>
  <c r="G260" i="9"/>
  <c r="H260" i="9"/>
  <c r="I260" i="9"/>
  <c r="J260" i="9"/>
  <c r="G261" i="9"/>
  <c r="H261" i="9"/>
  <c r="I261" i="9"/>
  <c r="J261" i="9"/>
  <c r="G262" i="9"/>
  <c r="H262" i="9"/>
  <c r="I262" i="9"/>
  <c r="J262" i="9"/>
  <c r="G263" i="9"/>
  <c r="H263" i="9"/>
  <c r="I263" i="9"/>
  <c r="J263" i="9"/>
  <c r="G264" i="9"/>
  <c r="H264" i="9"/>
  <c r="I264" i="9"/>
  <c r="J264" i="9"/>
  <c r="G265" i="9"/>
  <c r="H265" i="9"/>
  <c r="I265" i="9"/>
  <c r="J265" i="9"/>
  <c r="G266" i="9"/>
  <c r="H266" i="9"/>
  <c r="I266" i="9"/>
  <c r="J266" i="9"/>
  <c r="G267" i="9"/>
  <c r="H267" i="9"/>
  <c r="I267" i="9"/>
  <c r="J267" i="9"/>
  <c r="G268" i="9"/>
  <c r="H268" i="9"/>
  <c r="I268" i="9"/>
  <c r="J268" i="9"/>
  <c r="G269" i="9"/>
  <c r="H269" i="9"/>
  <c r="I269" i="9"/>
  <c r="J269" i="9"/>
  <c r="G270" i="9"/>
  <c r="H270" i="9"/>
  <c r="I270" i="9"/>
  <c r="J270" i="9"/>
  <c r="G271" i="9"/>
  <c r="H271" i="9"/>
  <c r="I271" i="9"/>
  <c r="J271" i="9"/>
  <c r="G272" i="9"/>
  <c r="H272" i="9"/>
  <c r="I272" i="9"/>
  <c r="J272" i="9"/>
  <c r="G273" i="9"/>
  <c r="H273" i="9"/>
  <c r="I273" i="9"/>
  <c r="J273" i="9"/>
  <c r="G274" i="9"/>
  <c r="H274" i="9"/>
  <c r="I274" i="9"/>
  <c r="J274" i="9"/>
  <c r="G275" i="9"/>
  <c r="H275" i="9"/>
  <c r="I275" i="9"/>
  <c r="J275" i="9"/>
  <c r="G276" i="9"/>
  <c r="H276" i="9"/>
  <c r="I276" i="9"/>
  <c r="J276" i="9"/>
  <c r="G277" i="9"/>
  <c r="H277" i="9"/>
  <c r="I277" i="9"/>
  <c r="J277" i="9"/>
  <c r="G278" i="9"/>
  <c r="H278" i="9"/>
  <c r="I278" i="9"/>
  <c r="J278" i="9"/>
  <c r="G279" i="9"/>
  <c r="H279" i="9"/>
  <c r="I279" i="9"/>
  <c r="J279" i="9"/>
  <c r="G280" i="9"/>
  <c r="H280" i="9"/>
  <c r="I280" i="9"/>
  <c r="J280" i="9"/>
  <c r="G281" i="9"/>
  <c r="H281" i="9"/>
  <c r="I281" i="9"/>
  <c r="J281" i="9"/>
  <c r="G282" i="9"/>
  <c r="H282" i="9"/>
  <c r="I282" i="9"/>
  <c r="J282" i="9"/>
  <c r="G283" i="9"/>
  <c r="H283" i="9"/>
  <c r="I283" i="9"/>
  <c r="J283" i="9"/>
  <c r="G284" i="9"/>
  <c r="H284" i="9"/>
  <c r="I284" i="9"/>
  <c r="J284" i="9"/>
  <c r="G285" i="9"/>
  <c r="H285" i="9"/>
  <c r="I285" i="9"/>
  <c r="J285" i="9"/>
  <c r="G286" i="9"/>
  <c r="H286" i="9"/>
  <c r="I286" i="9"/>
  <c r="J286" i="9"/>
  <c r="G287" i="9"/>
  <c r="H287" i="9"/>
  <c r="I287" i="9"/>
  <c r="J287" i="9"/>
  <c r="G288" i="9"/>
  <c r="H288" i="9"/>
  <c r="I288" i="9"/>
  <c r="J288" i="9"/>
  <c r="G289" i="9"/>
  <c r="H289" i="9"/>
  <c r="I289" i="9"/>
  <c r="J289" i="9"/>
  <c r="G290" i="9"/>
  <c r="H290" i="9"/>
  <c r="I290" i="9"/>
  <c r="J290" i="9"/>
  <c r="G291" i="9"/>
  <c r="H291" i="9"/>
  <c r="I291" i="9"/>
  <c r="J291" i="9"/>
  <c r="G292" i="9"/>
  <c r="H292" i="9"/>
  <c r="I292" i="9"/>
  <c r="J292" i="9"/>
  <c r="G293" i="9"/>
  <c r="H293" i="9"/>
  <c r="I293" i="9"/>
  <c r="J293" i="9"/>
  <c r="G294" i="9"/>
  <c r="H294" i="9"/>
  <c r="I294" i="9"/>
  <c r="J294" i="9"/>
  <c r="G295" i="9"/>
  <c r="H295" i="9"/>
  <c r="I295" i="9"/>
  <c r="J295" i="9"/>
  <c r="G296" i="9"/>
  <c r="H296" i="9"/>
  <c r="I296" i="9"/>
  <c r="J296" i="9"/>
  <c r="G297" i="9"/>
  <c r="H297" i="9"/>
  <c r="I297" i="9"/>
  <c r="J297" i="9"/>
  <c r="G298" i="9"/>
  <c r="H298" i="9"/>
  <c r="I298" i="9"/>
  <c r="J298" i="9"/>
  <c r="G299" i="9"/>
  <c r="H299" i="9"/>
  <c r="I299" i="9"/>
  <c r="J299" i="9"/>
  <c r="G300" i="9"/>
  <c r="H300" i="9"/>
  <c r="I300" i="9"/>
  <c r="J300" i="9"/>
  <c r="G301" i="9"/>
  <c r="H301" i="9"/>
  <c r="I301" i="9"/>
  <c r="J301" i="9"/>
  <c r="G302" i="9"/>
  <c r="H302" i="9"/>
  <c r="I302" i="9"/>
  <c r="J302" i="9"/>
  <c r="G303" i="9"/>
  <c r="H303" i="9"/>
  <c r="I303" i="9"/>
  <c r="J303" i="9"/>
  <c r="G304" i="9"/>
  <c r="H304" i="9"/>
  <c r="I304" i="9"/>
  <c r="J304" i="9"/>
  <c r="G305" i="9"/>
  <c r="H305" i="9"/>
  <c r="I305" i="9"/>
  <c r="J305" i="9"/>
  <c r="G306" i="9"/>
  <c r="H306" i="9"/>
  <c r="I306" i="9"/>
  <c r="J306" i="9"/>
  <c r="G307" i="9"/>
  <c r="H307" i="9"/>
  <c r="I307" i="9"/>
  <c r="J307" i="9"/>
  <c r="G308" i="9"/>
  <c r="H308" i="9"/>
  <c r="I308" i="9"/>
  <c r="J308" i="9"/>
  <c r="G309" i="9"/>
  <c r="H309" i="9"/>
  <c r="I309" i="9"/>
  <c r="J309" i="9"/>
  <c r="G310" i="9"/>
  <c r="H310" i="9"/>
  <c r="I310" i="9"/>
  <c r="J310" i="9"/>
  <c r="G311" i="9"/>
  <c r="H311" i="9"/>
  <c r="I311" i="9"/>
  <c r="J311" i="9"/>
  <c r="G312" i="9"/>
  <c r="H312" i="9"/>
  <c r="I312" i="9"/>
  <c r="J312" i="9"/>
  <c r="G313" i="9"/>
  <c r="H313" i="9"/>
  <c r="I313" i="9"/>
  <c r="J313" i="9"/>
  <c r="G314" i="9"/>
  <c r="H314" i="9"/>
  <c r="I314" i="9"/>
  <c r="J314" i="9"/>
  <c r="G315" i="9"/>
  <c r="H315" i="9"/>
  <c r="I315" i="9"/>
  <c r="J315" i="9"/>
  <c r="G316" i="9"/>
  <c r="H316" i="9"/>
  <c r="I316" i="9"/>
  <c r="J316" i="9"/>
  <c r="G317" i="9"/>
  <c r="H317" i="9"/>
  <c r="I317" i="9"/>
  <c r="J317" i="9"/>
  <c r="G318" i="9"/>
  <c r="H318" i="9"/>
  <c r="I318" i="9"/>
  <c r="J318" i="9"/>
  <c r="G319" i="9"/>
  <c r="H319" i="9"/>
  <c r="I319" i="9"/>
  <c r="J319" i="9"/>
  <c r="G320" i="9"/>
  <c r="H320" i="9"/>
  <c r="I320" i="9"/>
  <c r="J320" i="9"/>
  <c r="G321" i="9"/>
  <c r="H321" i="9"/>
  <c r="I321" i="9"/>
  <c r="J321" i="9"/>
  <c r="G322" i="9"/>
  <c r="H322" i="9"/>
  <c r="I322" i="9"/>
  <c r="J322" i="9"/>
  <c r="G323" i="9"/>
  <c r="H323" i="9"/>
  <c r="I323" i="9"/>
  <c r="J323" i="9"/>
  <c r="G324" i="9"/>
  <c r="H324" i="9"/>
  <c r="I324" i="9"/>
  <c r="J324" i="9"/>
  <c r="G325" i="9"/>
  <c r="H325" i="9"/>
  <c r="I325" i="9"/>
  <c r="J325" i="9"/>
  <c r="G326" i="9"/>
  <c r="H326" i="9"/>
  <c r="I326" i="9"/>
  <c r="J326" i="9"/>
  <c r="G327" i="9"/>
  <c r="H327" i="9"/>
  <c r="I327" i="9"/>
  <c r="J327" i="9"/>
  <c r="G328" i="9"/>
  <c r="H328" i="9"/>
  <c r="I328" i="9"/>
  <c r="J328" i="9"/>
  <c r="G329" i="9"/>
  <c r="H329" i="9"/>
  <c r="I329" i="9"/>
  <c r="J329" i="9"/>
  <c r="G330" i="9"/>
  <c r="H330" i="9"/>
  <c r="I330" i="9"/>
  <c r="J330" i="9"/>
  <c r="G331" i="9"/>
  <c r="H331" i="9"/>
  <c r="I331" i="9"/>
  <c r="J331" i="9"/>
  <c r="G332" i="9"/>
  <c r="H332" i="9"/>
  <c r="I332" i="9"/>
  <c r="J332" i="9"/>
  <c r="G333" i="9"/>
  <c r="H333" i="9"/>
  <c r="I333" i="9"/>
  <c r="J333" i="9"/>
  <c r="G334" i="9"/>
  <c r="H334" i="9"/>
  <c r="I334" i="9"/>
  <c r="J334" i="9"/>
  <c r="G335" i="9"/>
  <c r="H335" i="9"/>
  <c r="I335" i="9"/>
  <c r="J335" i="9"/>
  <c r="G336" i="9"/>
  <c r="H336" i="9"/>
  <c r="I336" i="9"/>
  <c r="J336" i="9"/>
  <c r="G337" i="9"/>
  <c r="H337" i="9"/>
  <c r="I337" i="9"/>
  <c r="J337" i="9"/>
  <c r="G338" i="9"/>
  <c r="H338" i="9"/>
  <c r="I338" i="9"/>
  <c r="J338" i="9"/>
  <c r="G339" i="9"/>
  <c r="H339" i="9"/>
  <c r="I339" i="9"/>
  <c r="J339" i="9"/>
  <c r="G340" i="9"/>
  <c r="H340" i="9"/>
  <c r="I340" i="9"/>
  <c r="J340" i="9"/>
  <c r="G341" i="9"/>
  <c r="H341" i="9"/>
  <c r="I341" i="9"/>
  <c r="J341" i="9"/>
  <c r="G342" i="9"/>
  <c r="H342" i="9"/>
  <c r="I342" i="9"/>
  <c r="J342" i="9"/>
  <c r="G343" i="9"/>
  <c r="H343" i="9"/>
  <c r="I343" i="9"/>
  <c r="J343" i="9"/>
  <c r="G344" i="9"/>
  <c r="H344" i="9"/>
  <c r="I344" i="9"/>
  <c r="J344" i="9"/>
  <c r="G345" i="9"/>
  <c r="H345" i="9"/>
  <c r="I345" i="9"/>
  <c r="J345" i="9"/>
  <c r="G346" i="9"/>
  <c r="H346" i="9"/>
  <c r="I346" i="9"/>
  <c r="J346" i="9"/>
  <c r="G347" i="9"/>
  <c r="H347" i="9"/>
  <c r="I347" i="9"/>
  <c r="J347" i="9"/>
  <c r="G348" i="9"/>
  <c r="H348" i="9"/>
  <c r="I348" i="9"/>
  <c r="J348" i="9"/>
  <c r="G349" i="9"/>
  <c r="H349" i="9"/>
  <c r="I349" i="9"/>
  <c r="J349" i="9"/>
  <c r="G350" i="9"/>
  <c r="H350" i="9"/>
  <c r="I350" i="9"/>
  <c r="J350" i="9"/>
  <c r="G351" i="9"/>
  <c r="H351" i="9"/>
  <c r="I351" i="9"/>
  <c r="J351" i="9"/>
  <c r="G352" i="9"/>
  <c r="H352" i="9"/>
  <c r="I352" i="9"/>
  <c r="J352" i="9"/>
  <c r="G353" i="9"/>
  <c r="H353" i="9"/>
  <c r="I353" i="9"/>
  <c r="J353" i="9"/>
  <c r="G354" i="9"/>
  <c r="H354" i="9"/>
  <c r="I354" i="9"/>
  <c r="J354" i="9"/>
  <c r="G355" i="9"/>
  <c r="H355" i="9"/>
  <c r="I355" i="9"/>
  <c r="J355" i="9"/>
  <c r="G356" i="9"/>
  <c r="H356" i="9"/>
  <c r="I356" i="9"/>
  <c r="J356" i="9"/>
  <c r="G357" i="9"/>
  <c r="H357" i="9"/>
  <c r="I357" i="9"/>
  <c r="J357" i="9"/>
  <c r="G358" i="9"/>
  <c r="H358" i="9"/>
  <c r="I358" i="9"/>
  <c r="J358" i="9"/>
  <c r="G359" i="9"/>
  <c r="H359" i="9"/>
  <c r="I359" i="9"/>
  <c r="J359" i="9"/>
  <c r="G360" i="9"/>
  <c r="H360" i="9"/>
  <c r="I360" i="9"/>
  <c r="J360" i="9"/>
  <c r="G361" i="9"/>
  <c r="H361" i="9"/>
  <c r="I361" i="9"/>
  <c r="J361" i="9"/>
  <c r="G362" i="9"/>
  <c r="H362" i="9"/>
  <c r="I362" i="9"/>
  <c r="J362" i="9"/>
  <c r="G363" i="9"/>
  <c r="H363" i="9"/>
  <c r="I363" i="9"/>
  <c r="J363" i="9"/>
  <c r="G364" i="9"/>
  <c r="H364" i="9"/>
  <c r="I364" i="9"/>
  <c r="J364" i="9"/>
  <c r="G365" i="9"/>
  <c r="H365" i="9"/>
  <c r="I365" i="9"/>
  <c r="J365" i="9"/>
  <c r="G366" i="9"/>
  <c r="H366" i="9"/>
  <c r="I366" i="9"/>
  <c r="J366" i="9"/>
  <c r="G367" i="9"/>
  <c r="H367" i="9"/>
  <c r="I367" i="9"/>
  <c r="J367" i="9"/>
  <c r="G368" i="9"/>
  <c r="H368" i="9"/>
  <c r="I368" i="9"/>
  <c r="J368" i="9"/>
  <c r="G369" i="9"/>
  <c r="H369" i="9"/>
  <c r="I369" i="9"/>
  <c r="J369" i="9"/>
  <c r="G370" i="9"/>
  <c r="H370" i="9"/>
  <c r="I370" i="9"/>
  <c r="J370" i="9"/>
  <c r="G371" i="9"/>
  <c r="H371" i="9"/>
  <c r="I371" i="9"/>
  <c r="J371" i="9"/>
  <c r="G372" i="9"/>
  <c r="H372" i="9"/>
  <c r="I372" i="9"/>
  <c r="J372" i="9"/>
  <c r="G373" i="9"/>
  <c r="H373" i="9"/>
  <c r="I373" i="9"/>
  <c r="J373" i="9"/>
  <c r="G374" i="9"/>
  <c r="H374" i="9"/>
  <c r="I374" i="9"/>
  <c r="J374" i="9"/>
  <c r="G375" i="9"/>
  <c r="H375" i="9"/>
  <c r="I375" i="9"/>
  <c r="J375" i="9"/>
  <c r="G376" i="9"/>
  <c r="H376" i="9"/>
  <c r="I376" i="9"/>
  <c r="J376" i="9"/>
  <c r="G377" i="9"/>
  <c r="H377" i="9"/>
  <c r="I377" i="9"/>
  <c r="J377" i="9"/>
  <c r="G378" i="9"/>
  <c r="H378" i="9"/>
  <c r="I378" i="9"/>
  <c r="J378" i="9"/>
  <c r="G379" i="9"/>
  <c r="H379" i="9"/>
  <c r="I379" i="9"/>
  <c r="J379" i="9"/>
  <c r="G380" i="9"/>
  <c r="H380" i="9"/>
  <c r="I380" i="9"/>
  <c r="J380" i="9"/>
  <c r="G381" i="9"/>
  <c r="H381" i="9"/>
  <c r="I381" i="9"/>
  <c r="J381" i="9"/>
  <c r="G382" i="9"/>
  <c r="H382" i="9"/>
  <c r="I382" i="9"/>
  <c r="J382" i="9"/>
  <c r="G383" i="9"/>
  <c r="H383" i="9"/>
  <c r="I383" i="9"/>
  <c r="J383" i="9"/>
  <c r="G384" i="9"/>
  <c r="H384" i="9"/>
  <c r="I384" i="9"/>
  <c r="J384" i="9"/>
  <c r="G385" i="9"/>
  <c r="H385" i="9"/>
  <c r="I385" i="9"/>
  <c r="J385" i="9"/>
  <c r="G386" i="9"/>
  <c r="H386" i="9"/>
  <c r="I386" i="9"/>
  <c r="J386" i="9"/>
  <c r="G387" i="9"/>
  <c r="H387" i="9"/>
  <c r="I387" i="9"/>
  <c r="J387" i="9"/>
  <c r="G388" i="9"/>
  <c r="H388" i="9"/>
  <c r="I388" i="9"/>
  <c r="J388" i="9"/>
  <c r="G389" i="9"/>
  <c r="H389" i="9"/>
  <c r="I389" i="9"/>
  <c r="J389" i="9"/>
  <c r="G390" i="9"/>
  <c r="H390" i="9"/>
  <c r="I390" i="9"/>
  <c r="J390" i="9"/>
  <c r="G391" i="9"/>
  <c r="H391" i="9"/>
  <c r="I391" i="9"/>
  <c r="J391" i="9"/>
  <c r="G392" i="9"/>
  <c r="H392" i="9"/>
  <c r="I392" i="9"/>
  <c r="J392" i="9"/>
  <c r="G393" i="9"/>
  <c r="H393" i="9"/>
  <c r="I393" i="9"/>
  <c r="J393" i="9"/>
  <c r="G394" i="9"/>
  <c r="H394" i="9"/>
  <c r="I394" i="9"/>
  <c r="J394" i="9"/>
  <c r="G395" i="9"/>
  <c r="H395" i="9"/>
  <c r="I395" i="9"/>
  <c r="J395" i="9"/>
  <c r="G396" i="9"/>
  <c r="H396" i="9"/>
  <c r="I396" i="9"/>
  <c r="J396" i="9"/>
  <c r="G397" i="9"/>
  <c r="H397" i="9"/>
  <c r="I397" i="9"/>
  <c r="J397" i="9"/>
  <c r="G398" i="9"/>
  <c r="H398" i="9"/>
  <c r="I398" i="9"/>
  <c r="J398" i="9"/>
  <c r="G399" i="9"/>
  <c r="H399" i="9"/>
  <c r="I399" i="9"/>
  <c r="J399" i="9"/>
  <c r="G400" i="9"/>
  <c r="H400" i="9"/>
  <c r="I400" i="9"/>
  <c r="J400" i="9"/>
  <c r="G401" i="9"/>
  <c r="H401" i="9"/>
  <c r="I401" i="9"/>
  <c r="J401" i="9"/>
  <c r="G402" i="9"/>
  <c r="H402" i="9"/>
  <c r="I402" i="9"/>
  <c r="J402" i="9"/>
  <c r="G403" i="9"/>
  <c r="H403" i="9"/>
  <c r="I403" i="9"/>
  <c r="J403" i="9"/>
  <c r="G404" i="9"/>
  <c r="H404" i="9"/>
  <c r="I404" i="9"/>
  <c r="J404" i="9"/>
  <c r="G405" i="9"/>
  <c r="H405" i="9"/>
  <c r="I405" i="9"/>
  <c r="J405" i="9"/>
  <c r="G406" i="9"/>
  <c r="H406" i="9"/>
  <c r="I406" i="9"/>
  <c r="J406" i="9"/>
  <c r="G407" i="9"/>
  <c r="H407" i="9"/>
  <c r="I407" i="9"/>
  <c r="J407" i="9"/>
  <c r="G408" i="9"/>
  <c r="H408" i="9"/>
  <c r="I408" i="9"/>
  <c r="J408" i="9"/>
  <c r="G409" i="9"/>
  <c r="H409" i="9"/>
  <c r="I409" i="9"/>
  <c r="J409" i="9"/>
  <c r="G410" i="9"/>
  <c r="H410" i="9"/>
  <c r="I410" i="9"/>
  <c r="J410" i="9"/>
  <c r="G411" i="9"/>
  <c r="H411" i="9"/>
  <c r="I411" i="9"/>
  <c r="J411" i="9"/>
  <c r="G412" i="9"/>
  <c r="H412" i="9"/>
  <c r="I412" i="9"/>
  <c r="J412" i="9"/>
  <c r="G413" i="9"/>
  <c r="H413" i="9"/>
  <c r="I413" i="9"/>
  <c r="J413" i="9"/>
  <c r="G414" i="9"/>
  <c r="H414" i="9"/>
  <c r="I414" i="9"/>
  <c r="J414" i="9"/>
  <c r="G415" i="9"/>
  <c r="H415" i="9"/>
  <c r="I415" i="9"/>
  <c r="J415" i="9"/>
  <c r="G416" i="9"/>
  <c r="H416" i="9"/>
  <c r="I416" i="9"/>
  <c r="J416" i="9"/>
  <c r="G417" i="9"/>
  <c r="H417" i="9"/>
  <c r="I417" i="9"/>
  <c r="J417" i="9"/>
  <c r="G418" i="9"/>
  <c r="H418" i="9"/>
  <c r="I418" i="9"/>
  <c r="J418" i="9"/>
  <c r="G419" i="9"/>
  <c r="H419" i="9"/>
  <c r="I419" i="9"/>
  <c r="J419" i="9"/>
  <c r="G420" i="9"/>
  <c r="H420" i="9"/>
  <c r="I420" i="9"/>
  <c r="J420" i="9"/>
  <c r="G421" i="9"/>
  <c r="H421" i="9"/>
  <c r="I421" i="9"/>
  <c r="J421" i="9"/>
  <c r="G422" i="9"/>
  <c r="H422" i="9"/>
  <c r="I422" i="9"/>
  <c r="J422" i="9"/>
  <c r="G423" i="9"/>
  <c r="H423" i="9"/>
  <c r="I423" i="9"/>
  <c r="J423" i="9"/>
  <c r="G424" i="9"/>
  <c r="H424" i="9"/>
  <c r="I424" i="9"/>
  <c r="J424" i="9"/>
  <c r="G425" i="9"/>
  <c r="H425" i="9"/>
  <c r="I425" i="9"/>
  <c r="J425" i="9"/>
  <c r="G426" i="9"/>
  <c r="H426" i="9"/>
  <c r="I426" i="9"/>
  <c r="J426" i="9"/>
  <c r="G427" i="9"/>
  <c r="H427" i="9"/>
  <c r="I427" i="9"/>
  <c r="J427" i="9"/>
  <c r="G428" i="9"/>
  <c r="H428" i="9"/>
  <c r="I428" i="9"/>
  <c r="J428" i="9"/>
  <c r="G429" i="9"/>
  <c r="H429" i="9"/>
  <c r="I429" i="9"/>
  <c r="J429" i="9"/>
  <c r="G430" i="9"/>
  <c r="H430" i="9"/>
  <c r="I430" i="9"/>
  <c r="J430" i="9"/>
  <c r="G431" i="9"/>
  <c r="H431" i="9"/>
  <c r="I431" i="9"/>
  <c r="J431" i="9"/>
  <c r="G432" i="9"/>
  <c r="H432" i="9"/>
  <c r="I432" i="9"/>
  <c r="J432" i="9"/>
  <c r="G433" i="9"/>
  <c r="H433" i="9"/>
  <c r="I433" i="9"/>
  <c r="J433" i="9"/>
  <c r="G434" i="9"/>
  <c r="H434" i="9"/>
  <c r="I434" i="9"/>
  <c r="J434" i="9"/>
  <c r="G435" i="9"/>
  <c r="H435" i="9"/>
  <c r="I435" i="9"/>
  <c r="J435" i="9"/>
  <c r="G436" i="9"/>
  <c r="H436" i="9"/>
  <c r="I436" i="9"/>
  <c r="J436" i="9"/>
  <c r="G437" i="9"/>
  <c r="H437" i="9"/>
  <c r="I437" i="9"/>
  <c r="J437" i="9"/>
  <c r="G438" i="9"/>
  <c r="H438" i="9"/>
  <c r="I438" i="9"/>
  <c r="J438" i="9"/>
  <c r="G439" i="9"/>
  <c r="H439" i="9"/>
  <c r="I439" i="9"/>
  <c r="J439" i="9"/>
  <c r="G440" i="9"/>
  <c r="H440" i="9"/>
  <c r="I440" i="9"/>
  <c r="J440" i="9"/>
  <c r="G441" i="9"/>
  <c r="H441" i="9"/>
  <c r="I441" i="9"/>
  <c r="J441" i="9"/>
  <c r="G442" i="9"/>
  <c r="H442" i="9"/>
  <c r="I442" i="9"/>
  <c r="J442" i="9"/>
  <c r="G443" i="9"/>
  <c r="H443" i="9"/>
  <c r="I443" i="9"/>
  <c r="J443" i="9"/>
  <c r="G444" i="9"/>
  <c r="H444" i="9"/>
  <c r="I444" i="9"/>
  <c r="J444" i="9"/>
  <c r="G445" i="9"/>
  <c r="H445" i="9"/>
  <c r="I445" i="9"/>
  <c r="J445" i="9"/>
  <c r="G446" i="9"/>
  <c r="H446" i="9"/>
  <c r="I446" i="9"/>
  <c r="J446" i="9"/>
  <c r="G447" i="9"/>
  <c r="H447" i="9"/>
  <c r="I447" i="9"/>
  <c r="J447" i="9"/>
  <c r="G448" i="9"/>
  <c r="H448" i="9"/>
  <c r="I448" i="9"/>
  <c r="J448" i="9"/>
  <c r="G449" i="9"/>
  <c r="H449" i="9"/>
  <c r="I449" i="9"/>
  <c r="J449" i="9"/>
  <c r="G450" i="9"/>
  <c r="H450" i="9"/>
  <c r="I450" i="9"/>
  <c r="J450" i="9"/>
  <c r="G451" i="9"/>
  <c r="H451" i="9"/>
  <c r="I451" i="9"/>
  <c r="J451" i="9"/>
  <c r="G452" i="9"/>
  <c r="H452" i="9"/>
  <c r="I452" i="9"/>
  <c r="J452" i="9"/>
  <c r="G453" i="9"/>
  <c r="H453" i="9"/>
  <c r="I453" i="9"/>
  <c r="J453" i="9"/>
  <c r="G454" i="9"/>
  <c r="H454" i="9"/>
  <c r="I454" i="9"/>
  <c r="J454" i="9"/>
  <c r="G455" i="9"/>
  <c r="H455" i="9"/>
  <c r="I455" i="9"/>
  <c r="J455" i="9"/>
  <c r="G456" i="9"/>
  <c r="H456" i="9"/>
  <c r="I456" i="9"/>
  <c r="J456" i="9"/>
  <c r="G457" i="9"/>
  <c r="H457" i="9"/>
  <c r="I457" i="9"/>
  <c r="J457" i="9"/>
  <c r="G458" i="9"/>
  <c r="H458" i="9"/>
  <c r="I458" i="9"/>
  <c r="J458" i="9"/>
  <c r="G459" i="9"/>
  <c r="H459" i="9"/>
  <c r="I459" i="9"/>
  <c r="J459" i="9"/>
  <c r="G460" i="9"/>
  <c r="H460" i="9"/>
  <c r="I460" i="9"/>
  <c r="J460" i="9"/>
  <c r="G461" i="9"/>
  <c r="H461" i="9"/>
  <c r="I461" i="9"/>
  <c r="J461" i="9"/>
  <c r="G462" i="9"/>
  <c r="H462" i="9"/>
  <c r="I462" i="9"/>
  <c r="J462" i="9"/>
  <c r="G463" i="9"/>
  <c r="H463" i="9"/>
  <c r="I463" i="9"/>
  <c r="J463" i="9"/>
  <c r="G464" i="9"/>
  <c r="H464" i="9"/>
  <c r="I464" i="9"/>
  <c r="J464" i="9"/>
  <c r="G465" i="9"/>
  <c r="H465" i="9"/>
  <c r="I465" i="9"/>
  <c r="J465" i="9"/>
  <c r="G466" i="9"/>
  <c r="H466" i="9"/>
  <c r="I466" i="9"/>
  <c r="J466" i="9"/>
  <c r="G467" i="9"/>
  <c r="H467" i="9"/>
  <c r="I467" i="9"/>
  <c r="J467" i="9"/>
  <c r="G468" i="9"/>
  <c r="H468" i="9"/>
  <c r="I468" i="9"/>
  <c r="J468" i="9"/>
  <c r="G469" i="9"/>
  <c r="H469" i="9"/>
  <c r="I469" i="9"/>
  <c r="J469" i="9"/>
  <c r="G470" i="9"/>
  <c r="H470" i="9"/>
  <c r="I470" i="9"/>
  <c r="J470" i="9"/>
  <c r="G471" i="9"/>
  <c r="H471" i="9"/>
  <c r="I471" i="9"/>
  <c r="J471" i="9"/>
  <c r="G472" i="9"/>
  <c r="H472" i="9"/>
  <c r="I472" i="9"/>
  <c r="J472" i="9"/>
  <c r="G473" i="9"/>
  <c r="H473" i="9"/>
  <c r="I473" i="9"/>
  <c r="J473" i="9"/>
  <c r="G474" i="9"/>
  <c r="H474" i="9"/>
  <c r="I474" i="9"/>
  <c r="J474" i="9"/>
  <c r="G475" i="9"/>
  <c r="H475" i="9"/>
  <c r="I475" i="9"/>
  <c r="J475" i="9"/>
  <c r="G476" i="9"/>
  <c r="H476" i="9"/>
  <c r="I476" i="9"/>
  <c r="J476" i="9"/>
  <c r="G477" i="9"/>
  <c r="H477" i="9"/>
  <c r="I477" i="9"/>
  <c r="J477" i="9"/>
  <c r="G478" i="9"/>
  <c r="H478" i="9"/>
  <c r="I478" i="9"/>
  <c r="J478" i="9"/>
  <c r="G479" i="9"/>
  <c r="H479" i="9"/>
  <c r="I479" i="9"/>
  <c r="J479" i="9"/>
  <c r="G480" i="9"/>
  <c r="H480" i="9"/>
  <c r="I480" i="9"/>
  <c r="J480" i="9"/>
  <c r="G481" i="9"/>
  <c r="H481" i="9"/>
  <c r="I481" i="9"/>
  <c r="J481" i="9"/>
  <c r="G482" i="9"/>
  <c r="H482" i="9"/>
  <c r="I482" i="9"/>
  <c r="J482" i="9"/>
  <c r="G483" i="9"/>
  <c r="H483" i="9"/>
  <c r="I483" i="9"/>
  <c r="J483" i="9"/>
  <c r="G484" i="9"/>
  <c r="H484" i="9"/>
  <c r="I484" i="9"/>
  <c r="J484" i="9"/>
  <c r="G485" i="9"/>
  <c r="H485" i="9"/>
  <c r="I485" i="9"/>
  <c r="J485" i="9"/>
  <c r="G486" i="9"/>
  <c r="H486" i="9"/>
  <c r="I486" i="9"/>
  <c r="J486" i="9"/>
  <c r="G487" i="9"/>
  <c r="H487" i="9"/>
  <c r="I487" i="9"/>
  <c r="J487" i="9"/>
  <c r="G488" i="9"/>
  <c r="H488" i="9"/>
  <c r="I488" i="9"/>
  <c r="J488" i="9"/>
  <c r="G489" i="9"/>
  <c r="H489" i="9"/>
  <c r="I489" i="9"/>
  <c r="J489" i="9"/>
  <c r="G490" i="9"/>
  <c r="H490" i="9"/>
  <c r="I490" i="9"/>
  <c r="J490" i="9"/>
  <c r="G491" i="9"/>
  <c r="H491" i="9"/>
  <c r="I491" i="9"/>
  <c r="J491" i="9"/>
  <c r="G492" i="9"/>
  <c r="H492" i="9"/>
  <c r="I492" i="9"/>
  <c r="J492" i="9"/>
  <c r="G493" i="9"/>
  <c r="H493" i="9"/>
  <c r="I493" i="9"/>
  <c r="J493" i="9"/>
  <c r="G494" i="9"/>
  <c r="H494" i="9"/>
  <c r="I494" i="9"/>
  <c r="J494" i="9"/>
  <c r="G495" i="9"/>
  <c r="H495" i="9"/>
  <c r="I495" i="9"/>
  <c r="J495" i="9"/>
  <c r="G496" i="9"/>
  <c r="H496" i="9"/>
  <c r="I496" i="9"/>
  <c r="J496" i="9"/>
  <c r="G497" i="9"/>
  <c r="H497" i="9"/>
  <c r="I497" i="9"/>
  <c r="J497" i="9"/>
  <c r="G498" i="9"/>
  <c r="H498" i="9"/>
  <c r="I498" i="9"/>
  <c r="J498" i="9"/>
  <c r="G499" i="9"/>
  <c r="H499" i="9"/>
  <c r="I499" i="9"/>
  <c r="J499" i="9"/>
  <c r="G500" i="9"/>
  <c r="H500" i="9"/>
  <c r="I500" i="9"/>
  <c r="J500" i="9"/>
  <c r="G501" i="9"/>
  <c r="H501" i="9"/>
  <c r="I501" i="9"/>
  <c r="J501" i="9"/>
  <c r="G502" i="9"/>
  <c r="H502" i="9"/>
  <c r="I502" i="9"/>
  <c r="J502" i="9"/>
  <c r="G503" i="9"/>
  <c r="H503" i="9"/>
  <c r="I503" i="9"/>
  <c r="J503" i="9"/>
  <c r="G504" i="9"/>
  <c r="H504" i="9"/>
  <c r="I504" i="9"/>
  <c r="J504" i="9"/>
  <c r="G505" i="9"/>
  <c r="H505" i="9"/>
  <c r="I505" i="9"/>
  <c r="J505" i="9"/>
  <c r="G506" i="9"/>
  <c r="H506" i="9"/>
  <c r="I506" i="9"/>
  <c r="J506" i="9"/>
  <c r="G507" i="9"/>
  <c r="H507" i="9"/>
  <c r="I507" i="9"/>
  <c r="J507" i="9"/>
  <c r="G508" i="9"/>
  <c r="H508" i="9"/>
  <c r="I508" i="9"/>
  <c r="J508" i="9"/>
  <c r="G509" i="9"/>
  <c r="H509" i="9"/>
  <c r="I509" i="9"/>
  <c r="J509" i="9"/>
  <c r="G510" i="9"/>
  <c r="H510" i="9"/>
  <c r="I510" i="9"/>
  <c r="J510" i="9"/>
  <c r="G511" i="9"/>
  <c r="H511" i="9"/>
  <c r="I511" i="9"/>
  <c r="J511" i="9"/>
  <c r="G512" i="9"/>
  <c r="H512" i="9"/>
  <c r="I512" i="9"/>
  <c r="J512" i="9"/>
  <c r="G513" i="9"/>
  <c r="H513" i="9"/>
  <c r="I513" i="9"/>
  <c r="J513" i="9"/>
  <c r="G514" i="9"/>
  <c r="H514" i="9"/>
  <c r="I514" i="9"/>
  <c r="J514" i="9"/>
  <c r="G515" i="9"/>
  <c r="H515" i="9"/>
  <c r="I515" i="9"/>
  <c r="J515" i="9"/>
  <c r="G516" i="9"/>
  <c r="H516" i="9"/>
  <c r="I516" i="9"/>
  <c r="J516" i="9"/>
  <c r="G517" i="9"/>
  <c r="H517" i="9"/>
  <c r="I517" i="9"/>
  <c r="J517" i="9"/>
  <c r="G518" i="9"/>
  <c r="H518" i="9"/>
  <c r="I518" i="9"/>
  <c r="J518" i="9"/>
  <c r="G519" i="9"/>
  <c r="H519" i="9"/>
  <c r="I519" i="9"/>
  <c r="J519" i="9"/>
  <c r="G520" i="9"/>
  <c r="H520" i="9"/>
  <c r="I520" i="9"/>
  <c r="J520" i="9"/>
  <c r="G521" i="9"/>
  <c r="H521" i="9"/>
  <c r="I521" i="9"/>
  <c r="J521" i="9"/>
  <c r="G522" i="9"/>
  <c r="H522" i="9"/>
  <c r="I522" i="9"/>
  <c r="J522" i="9"/>
  <c r="G523" i="9"/>
  <c r="H523" i="9"/>
  <c r="I523" i="9"/>
  <c r="J523" i="9"/>
  <c r="G524" i="9"/>
  <c r="H524" i="9"/>
  <c r="I524" i="9"/>
  <c r="J524" i="9"/>
  <c r="G525" i="9"/>
  <c r="H525" i="9"/>
  <c r="I525" i="9"/>
  <c r="J525" i="9"/>
  <c r="G526" i="9"/>
  <c r="H526" i="9"/>
  <c r="I526" i="9"/>
  <c r="J526" i="9"/>
  <c r="G527" i="9"/>
  <c r="H527" i="9"/>
  <c r="I527" i="9"/>
  <c r="J527" i="9"/>
  <c r="G528" i="9"/>
  <c r="H528" i="9"/>
  <c r="I528" i="9"/>
  <c r="J528" i="9"/>
  <c r="G529" i="9"/>
  <c r="H529" i="9"/>
  <c r="I529" i="9"/>
  <c r="J529" i="9"/>
  <c r="G530" i="9"/>
  <c r="H530" i="9"/>
  <c r="I530" i="9"/>
  <c r="J530" i="9"/>
  <c r="G531" i="9"/>
  <c r="H531" i="9"/>
  <c r="I531" i="9"/>
  <c r="J531" i="9"/>
  <c r="G532" i="9"/>
  <c r="H532" i="9"/>
  <c r="I532" i="9"/>
  <c r="J532" i="9"/>
  <c r="G533" i="9"/>
  <c r="H533" i="9"/>
  <c r="I533" i="9"/>
  <c r="J533" i="9"/>
  <c r="G534" i="9"/>
  <c r="H534" i="9"/>
  <c r="I534" i="9"/>
  <c r="J534" i="9"/>
  <c r="G535" i="9"/>
  <c r="H535" i="9"/>
  <c r="I535" i="9"/>
  <c r="J535" i="9"/>
  <c r="G536" i="9"/>
  <c r="H536" i="9"/>
  <c r="I536" i="9"/>
  <c r="J536" i="9"/>
  <c r="G537" i="9"/>
  <c r="H537" i="9"/>
  <c r="I537" i="9"/>
  <c r="J537" i="9"/>
  <c r="G538" i="9"/>
  <c r="H538" i="9"/>
  <c r="I538" i="9"/>
  <c r="J538" i="9"/>
  <c r="G539" i="9"/>
  <c r="H539" i="9"/>
  <c r="I539" i="9"/>
  <c r="J539" i="9"/>
  <c r="G540" i="9"/>
  <c r="H540" i="9"/>
  <c r="I540" i="9"/>
  <c r="J540" i="9"/>
  <c r="G541" i="9"/>
  <c r="H541" i="9"/>
  <c r="I541" i="9"/>
  <c r="J541" i="9"/>
  <c r="G542" i="9"/>
  <c r="H542" i="9"/>
  <c r="I542" i="9"/>
  <c r="J542" i="9"/>
  <c r="G543" i="9"/>
  <c r="H543" i="9"/>
  <c r="I543" i="9"/>
  <c r="J543" i="9"/>
  <c r="G544" i="9"/>
  <c r="H544" i="9"/>
  <c r="I544" i="9"/>
  <c r="J544" i="9"/>
  <c r="G545" i="9"/>
  <c r="H545" i="9"/>
  <c r="I545" i="9"/>
  <c r="J545" i="9"/>
  <c r="G546" i="9"/>
  <c r="H546" i="9"/>
  <c r="I546" i="9"/>
  <c r="J546" i="9"/>
  <c r="G547" i="9"/>
  <c r="H547" i="9"/>
  <c r="I547" i="9"/>
  <c r="J547" i="9"/>
  <c r="G548" i="9"/>
  <c r="H548" i="9"/>
  <c r="I548" i="9"/>
  <c r="J548" i="9"/>
  <c r="G549" i="9"/>
  <c r="H549" i="9"/>
  <c r="I549" i="9"/>
  <c r="J549" i="9"/>
  <c r="G550" i="9"/>
  <c r="H550" i="9"/>
  <c r="I550" i="9"/>
  <c r="J550" i="9"/>
  <c r="G551" i="9"/>
  <c r="H551" i="9"/>
  <c r="I551" i="9"/>
  <c r="J551" i="9"/>
  <c r="G552" i="9"/>
  <c r="H552" i="9"/>
  <c r="I552" i="9"/>
  <c r="J552" i="9"/>
  <c r="G553" i="9"/>
  <c r="H553" i="9"/>
  <c r="I553" i="9"/>
  <c r="J553" i="9"/>
  <c r="G554" i="9"/>
  <c r="H554" i="9"/>
  <c r="I554" i="9"/>
  <c r="J554" i="9"/>
  <c r="G555" i="9"/>
  <c r="H555" i="9"/>
  <c r="I555" i="9"/>
  <c r="J555" i="9"/>
  <c r="G556" i="9"/>
  <c r="H556" i="9"/>
  <c r="I556" i="9"/>
  <c r="J556" i="9"/>
  <c r="G557" i="9"/>
  <c r="H557" i="9"/>
  <c r="I557" i="9"/>
  <c r="J557" i="9"/>
  <c r="G558" i="9"/>
  <c r="H558" i="9"/>
  <c r="I558" i="9"/>
  <c r="J558" i="9"/>
  <c r="G559" i="9"/>
  <c r="H559" i="9"/>
  <c r="I559" i="9"/>
  <c r="J559" i="9"/>
  <c r="G560" i="9"/>
  <c r="H560" i="9"/>
  <c r="I560" i="9"/>
  <c r="J560" i="9"/>
  <c r="G561" i="9"/>
  <c r="H561" i="9"/>
  <c r="I561" i="9"/>
  <c r="J561" i="9"/>
  <c r="G562" i="9"/>
  <c r="H562" i="9"/>
  <c r="I562" i="9"/>
  <c r="J562" i="9"/>
  <c r="G563" i="9"/>
  <c r="H563" i="9"/>
  <c r="I563" i="9"/>
  <c r="J563" i="9"/>
  <c r="G564" i="9"/>
  <c r="H564" i="9"/>
  <c r="I564" i="9"/>
  <c r="J564" i="9"/>
  <c r="G565" i="9"/>
  <c r="H565" i="9"/>
  <c r="I565" i="9"/>
  <c r="J565" i="9"/>
  <c r="G566" i="9"/>
  <c r="H566" i="9"/>
  <c r="I566" i="9"/>
  <c r="J566" i="9"/>
  <c r="G567" i="9"/>
  <c r="H567" i="9"/>
  <c r="I567" i="9"/>
  <c r="J567" i="9"/>
  <c r="G568" i="9"/>
  <c r="H568" i="9"/>
  <c r="I568" i="9"/>
  <c r="J568" i="9"/>
  <c r="G569" i="9"/>
  <c r="H569" i="9"/>
  <c r="I569" i="9"/>
  <c r="J569" i="9"/>
  <c r="G570" i="9"/>
  <c r="H570" i="9"/>
  <c r="I570" i="9"/>
  <c r="J570" i="9"/>
  <c r="G571" i="9"/>
  <c r="H571" i="9"/>
  <c r="I571" i="9"/>
  <c r="J571" i="9"/>
  <c r="G572" i="9"/>
  <c r="H572" i="9"/>
  <c r="I572" i="9"/>
  <c r="J572" i="9"/>
  <c r="G573" i="9"/>
  <c r="H573" i="9"/>
  <c r="I573" i="9"/>
  <c r="J573" i="9"/>
  <c r="G574" i="9"/>
  <c r="H574" i="9"/>
  <c r="I574" i="9"/>
  <c r="J574" i="9"/>
  <c r="G575" i="9"/>
  <c r="H575" i="9"/>
  <c r="I575" i="9"/>
  <c r="J575" i="9"/>
  <c r="G576" i="9"/>
  <c r="H576" i="9"/>
  <c r="I576" i="9"/>
  <c r="J576" i="9"/>
  <c r="G577" i="9"/>
  <c r="H577" i="9"/>
  <c r="I577" i="9"/>
  <c r="J577" i="9"/>
  <c r="G578" i="9"/>
  <c r="H578" i="9"/>
  <c r="I578" i="9"/>
  <c r="J578" i="9"/>
  <c r="G579" i="9"/>
  <c r="H579" i="9"/>
  <c r="I579" i="9"/>
  <c r="J579" i="9"/>
  <c r="G580" i="9"/>
  <c r="H580" i="9"/>
  <c r="I580" i="9"/>
  <c r="J580" i="9"/>
  <c r="G581" i="9"/>
  <c r="H581" i="9"/>
  <c r="I581" i="9"/>
  <c r="J581" i="9"/>
  <c r="G582" i="9"/>
  <c r="H582" i="9"/>
  <c r="I582" i="9"/>
  <c r="J582" i="9"/>
  <c r="G583" i="9"/>
  <c r="H583" i="9"/>
  <c r="I583" i="9"/>
  <c r="J583" i="9"/>
  <c r="G584" i="9"/>
  <c r="H584" i="9"/>
  <c r="I584" i="9"/>
  <c r="J584" i="9"/>
  <c r="G585" i="9"/>
  <c r="H585" i="9"/>
  <c r="I585" i="9"/>
  <c r="J585" i="9"/>
  <c r="G586" i="9"/>
  <c r="H586" i="9"/>
  <c r="I586" i="9"/>
  <c r="J586" i="9"/>
  <c r="G587" i="9"/>
  <c r="H587" i="9"/>
  <c r="I587" i="9"/>
  <c r="J587" i="9"/>
  <c r="G588" i="9"/>
  <c r="H588" i="9"/>
  <c r="I588" i="9"/>
  <c r="J588" i="9"/>
  <c r="G589" i="9"/>
  <c r="H589" i="9"/>
  <c r="I589" i="9"/>
  <c r="J589" i="9"/>
  <c r="G590" i="9"/>
  <c r="H590" i="9"/>
  <c r="I590" i="9"/>
  <c r="J590" i="9"/>
  <c r="G591" i="9"/>
  <c r="H591" i="9"/>
  <c r="I591" i="9"/>
  <c r="J591" i="9"/>
  <c r="G592" i="9"/>
  <c r="H592" i="9"/>
  <c r="I592" i="9"/>
  <c r="J592" i="9"/>
  <c r="G593" i="9"/>
  <c r="H593" i="9"/>
  <c r="I593" i="9"/>
  <c r="J593" i="9"/>
  <c r="G594" i="9"/>
  <c r="H594" i="9"/>
  <c r="I594" i="9"/>
  <c r="J594" i="9"/>
  <c r="G595" i="9"/>
  <c r="H595" i="9"/>
  <c r="I595" i="9"/>
  <c r="J595" i="9"/>
  <c r="G596" i="9"/>
  <c r="H596" i="9"/>
  <c r="I596" i="9"/>
  <c r="J596" i="9"/>
  <c r="G597" i="9"/>
  <c r="H597" i="9"/>
  <c r="I597" i="9"/>
  <c r="J597" i="9"/>
  <c r="G598" i="9"/>
  <c r="H598" i="9"/>
  <c r="I598" i="9"/>
  <c r="J598" i="9"/>
  <c r="G599" i="9"/>
  <c r="H599" i="9"/>
  <c r="I599" i="9"/>
  <c r="J599" i="9"/>
  <c r="G600" i="9"/>
  <c r="H600" i="9"/>
  <c r="I600" i="9"/>
  <c r="J600" i="9"/>
  <c r="G601" i="9"/>
  <c r="H601" i="9"/>
  <c r="I601" i="9"/>
  <c r="J601" i="9"/>
  <c r="G602" i="9"/>
  <c r="H602" i="9"/>
  <c r="I602" i="9"/>
  <c r="J602" i="9"/>
  <c r="G603" i="9"/>
  <c r="H603" i="9"/>
  <c r="I603" i="9"/>
  <c r="J603" i="9"/>
  <c r="G604" i="9"/>
  <c r="H604" i="9"/>
  <c r="I604" i="9"/>
  <c r="J604" i="9"/>
  <c r="G605" i="9"/>
  <c r="H605" i="9"/>
  <c r="I605" i="9"/>
  <c r="J605" i="9"/>
  <c r="G606" i="9"/>
  <c r="H606" i="9"/>
  <c r="I606" i="9"/>
  <c r="J606" i="9"/>
  <c r="G607" i="9"/>
  <c r="H607" i="9"/>
  <c r="I607" i="9"/>
  <c r="J607" i="9"/>
  <c r="G608" i="9"/>
  <c r="H608" i="9"/>
  <c r="I608" i="9"/>
  <c r="J608" i="9"/>
  <c r="G609" i="9"/>
  <c r="H609" i="9"/>
  <c r="I609" i="9"/>
  <c r="J609" i="9"/>
  <c r="G610" i="9"/>
  <c r="H610" i="9"/>
  <c r="I610" i="9"/>
  <c r="J610" i="9"/>
  <c r="G611" i="9"/>
  <c r="H611" i="9"/>
  <c r="I611" i="9"/>
  <c r="J611" i="9"/>
  <c r="G612" i="9"/>
  <c r="H612" i="9"/>
  <c r="I612" i="9"/>
  <c r="J612" i="9"/>
  <c r="G613" i="9"/>
  <c r="H613" i="9"/>
  <c r="I613" i="9"/>
  <c r="J613" i="9"/>
  <c r="G614" i="9"/>
  <c r="H614" i="9"/>
  <c r="I614" i="9"/>
  <c r="J614" i="9"/>
  <c r="G615" i="9"/>
  <c r="H615" i="9"/>
  <c r="I615" i="9"/>
  <c r="J615" i="9"/>
  <c r="G616" i="9"/>
  <c r="H616" i="9"/>
  <c r="I616" i="9"/>
  <c r="J616" i="9"/>
  <c r="G617" i="9"/>
  <c r="H617" i="9"/>
  <c r="I617" i="9"/>
  <c r="J617" i="9"/>
  <c r="G618" i="9"/>
  <c r="H618" i="9"/>
  <c r="I618" i="9"/>
  <c r="J618" i="9"/>
  <c r="G619" i="9"/>
  <c r="H619" i="9"/>
  <c r="I619" i="9"/>
  <c r="J619" i="9"/>
  <c r="G620" i="9"/>
  <c r="H620" i="9"/>
  <c r="I620" i="9"/>
  <c r="J620" i="9"/>
  <c r="G621" i="9"/>
  <c r="H621" i="9"/>
  <c r="I621" i="9"/>
  <c r="J621" i="9"/>
  <c r="G622" i="9"/>
  <c r="H622" i="9"/>
  <c r="I622" i="9"/>
  <c r="J622" i="9"/>
  <c r="G623" i="9"/>
  <c r="H623" i="9"/>
  <c r="I623" i="9"/>
  <c r="J623" i="9"/>
  <c r="G624" i="9"/>
  <c r="H624" i="9"/>
  <c r="I624" i="9"/>
  <c r="J624" i="9"/>
  <c r="G625" i="9"/>
  <c r="H625" i="9"/>
  <c r="I625" i="9"/>
  <c r="J625" i="9"/>
  <c r="G626" i="9"/>
  <c r="H626" i="9"/>
  <c r="I626" i="9"/>
  <c r="J626" i="9"/>
  <c r="G627" i="9"/>
  <c r="H627" i="9"/>
  <c r="I627" i="9"/>
  <c r="J627" i="9"/>
  <c r="G628" i="9"/>
  <c r="H628" i="9"/>
  <c r="I628" i="9"/>
  <c r="J628" i="9"/>
  <c r="G629" i="9"/>
  <c r="H629" i="9"/>
  <c r="I629" i="9"/>
  <c r="J629" i="9"/>
  <c r="G630" i="9"/>
  <c r="H630" i="9"/>
  <c r="I630" i="9"/>
  <c r="J630" i="9"/>
  <c r="G631" i="9"/>
  <c r="H631" i="9"/>
  <c r="I631" i="9"/>
  <c r="J631" i="9"/>
  <c r="G632" i="9"/>
  <c r="H632" i="9"/>
  <c r="I632" i="9"/>
  <c r="J632" i="9"/>
  <c r="G633" i="9"/>
  <c r="H633" i="9"/>
  <c r="I633" i="9"/>
  <c r="J633" i="9"/>
  <c r="G634" i="9"/>
  <c r="H634" i="9"/>
  <c r="I634" i="9"/>
  <c r="J634" i="9"/>
  <c r="G635" i="9"/>
  <c r="H635" i="9"/>
  <c r="I635" i="9"/>
  <c r="J635" i="9"/>
  <c r="G636" i="9"/>
  <c r="H636" i="9"/>
  <c r="I636" i="9"/>
  <c r="J636" i="9"/>
  <c r="G637" i="9"/>
  <c r="H637" i="9"/>
  <c r="I637" i="9"/>
  <c r="J637" i="9"/>
  <c r="G638" i="9"/>
  <c r="H638" i="9"/>
  <c r="I638" i="9"/>
  <c r="J638" i="9"/>
  <c r="G639" i="9"/>
  <c r="H639" i="9"/>
  <c r="I639" i="9"/>
  <c r="J639" i="9"/>
  <c r="G640" i="9"/>
  <c r="H640" i="9"/>
  <c r="I640" i="9"/>
  <c r="J640" i="9"/>
  <c r="G641" i="9"/>
  <c r="H641" i="9"/>
  <c r="I641" i="9"/>
  <c r="J641" i="9"/>
  <c r="G642" i="9"/>
  <c r="H642" i="9"/>
  <c r="I642" i="9"/>
  <c r="J642" i="9"/>
  <c r="G643" i="9"/>
  <c r="H643" i="9"/>
  <c r="I643" i="9"/>
  <c r="J643" i="9"/>
  <c r="G644" i="9"/>
  <c r="H644" i="9"/>
  <c r="I644" i="9"/>
  <c r="J644" i="9"/>
  <c r="G645" i="9"/>
  <c r="H645" i="9"/>
  <c r="I645" i="9"/>
  <c r="J645" i="9"/>
  <c r="G646" i="9"/>
  <c r="H646" i="9"/>
  <c r="I646" i="9"/>
  <c r="J646" i="9"/>
  <c r="G647" i="9"/>
  <c r="H647" i="9"/>
  <c r="I647" i="9"/>
  <c r="J647" i="9"/>
  <c r="G648" i="9"/>
  <c r="H648" i="9"/>
  <c r="I648" i="9"/>
  <c r="J648" i="9"/>
  <c r="G649" i="9"/>
  <c r="H649" i="9"/>
  <c r="I649" i="9"/>
  <c r="J649" i="9"/>
  <c r="G650" i="9"/>
  <c r="H650" i="9"/>
  <c r="I650" i="9"/>
  <c r="J650" i="9"/>
  <c r="G651" i="9"/>
  <c r="H651" i="9"/>
  <c r="I651" i="9"/>
  <c r="J651" i="9"/>
  <c r="G652" i="9"/>
  <c r="H652" i="9"/>
  <c r="I652" i="9"/>
  <c r="J652" i="9"/>
  <c r="G653" i="9"/>
  <c r="H653" i="9"/>
  <c r="I653" i="9"/>
  <c r="J653" i="9"/>
  <c r="G654" i="9"/>
  <c r="H654" i="9"/>
  <c r="I654" i="9"/>
  <c r="J654" i="9"/>
  <c r="G655" i="9"/>
  <c r="H655" i="9"/>
  <c r="I655" i="9"/>
  <c r="J655" i="9"/>
  <c r="G656" i="9"/>
  <c r="H656" i="9"/>
  <c r="I656" i="9"/>
  <c r="J656" i="9"/>
  <c r="G657" i="9"/>
  <c r="H657" i="9"/>
  <c r="I657" i="9"/>
  <c r="J657" i="9"/>
  <c r="G658" i="9"/>
  <c r="H658" i="9"/>
  <c r="I658" i="9"/>
  <c r="J658" i="9"/>
  <c r="G659" i="9"/>
  <c r="H659" i="9"/>
  <c r="I659" i="9"/>
  <c r="J659" i="9"/>
  <c r="G660" i="9"/>
  <c r="H660" i="9"/>
  <c r="I660" i="9"/>
  <c r="J660" i="9"/>
  <c r="G661" i="9"/>
  <c r="H661" i="9"/>
  <c r="I661" i="9"/>
  <c r="J661" i="9"/>
  <c r="G662" i="9"/>
  <c r="H662" i="9"/>
  <c r="I662" i="9"/>
  <c r="J662" i="9"/>
  <c r="G663" i="9"/>
  <c r="H663" i="9"/>
  <c r="I663" i="9"/>
  <c r="J663" i="9"/>
  <c r="G664" i="9"/>
  <c r="H664" i="9"/>
  <c r="I664" i="9"/>
  <c r="J664" i="9"/>
  <c r="G665" i="9"/>
  <c r="H665" i="9"/>
  <c r="I665" i="9"/>
  <c r="J665" i="9"/>
  <c r="G666" i="9"/>
  <c r="H666" i="9"/>
  <c r="I666" i="9"/>
  <c r="J666" i="9"/>
  <c r="G667" i="9"/>
  <c r="H667" i="9"/>
  <c r="I667" i="9"/>
  <c r="J667" i="9"/>
  <c r="G668" i="9"/>
  <c r="H668" i="9"/>
  <c r="I668" i="9"/>
  <c r="J668" i="9"/>
  <c r="G669" i="9"/>
  <c r="H669" i="9"/>
  <c r="I669" i="9"/>
  <c r="J669" i="9"/>
  <c r="G670" i="9"/>
  <c r="H670" i="9"/>
  <c r="I670" i="9"/>
  <c r="J670" i="9"/>
  <c r="G671" i="9"/>
  <c r="H671" i="9"/>
  <c r="I671" i="9"/>
  <c r="J671" i="9"/>
  <c r="G672" i="9"/>
  <c r="H672" i="9"/>
  <c r="I672" i="9"/>
  <c r="J672" i="9"/>
  <c r="G673" i="9"/>
  <c r="H673" i="9"/>
  <c r="I673" i="9"/>
  <c r="J673" i="9"/>
  <c r="G674" i="9"/>
  <c r="H674" i="9"/>
  <c r="I674" i="9"/>
  <c r="J674" i="9"/>
  <c r="G675" i="9"/>
  <c r="H675" i="9"/>
  <c r="I675" i="9"/>
  <c r="J675" i="9"/>
  <c r="G676" i="9"/>
  <c r="H676" i="9"/>
  <c r="I676" i="9"/>
  <c r="J676" i="9"/>
  <c r="G677" i="9"/>
  <c r="H677" i="9"/>
  <c r="I677" i="9"/>
  <c r="J677" i="9"/>
  <c r="G678" i="9"/>
  <c r="H678" i="9"/>
  <c r="I678" i="9"/>
  <c r="J678" i="9"/>
  <c r="G679" i="9"/>
  <c r="H679" i="9"/>
  <c r="I679" i="9"/>
  <c r="J679" i="9"/>
  <c r="G680" i="9"/>
  <c r="H680" i="9"/>
  <c r="I680" i="9"/>
  <c r="J680" i="9"/>
  <c r="G681" i="9"/>
  <c r="H681" i="9"/>
  <c r="I681" i="9"/>
  <c r="J681" i="9"/>
  <c r="G682" i="9"/>
  <c r="H682" i="9"/>
  <c r="I682" i="9"/>
  <c r="J682" i="9"/>
  <c r="G683" i="9"/>
  <c r="H683" i="9"/>
  <c r="I683" i="9"/>
  <c r="J683" i="9"/>
  <c r="G684" i="9"/>
  <c r="H684" i="9"/>
  <c r="I684" i="9"/>
  <c r="J684" i="9"/>
  <c r="G685" i="9"/>
  <c r="H685" i="9"/>
  <c r="I685" i="9"/>
  <c r="J685" i="9"/>
  <c r="G686" i="9"/>
  <c r="H686" i="9"/>
  <c r="I686" i="9"/>
  <c r="J686" i="9"/>
  <c r="G687" i="9"/>
  <c r="H687" i="9"/>
  <c r="I687" i="9"/>
  <c r="J687" i="9"/>
  <c r="G688" i="9"/>
  <c r="H688" i="9"/>
  <c r="I688" i="9"/>
  <c r="J688" i="9"/>
  <c r="G689" i="9"/>
  <c r="H689" i="9"/>
  <c r="I689" i="9"/>
  <c r="J689" i="9"/>
  <c r="G690" i="9"/>
  <c r="H690" i="9"/>
  <c r="I690" i="9"/>
  <c r="J690" i="9"/>
  <c r="G691" i="9"/>
  <c r="H691" i="9"/>
  <c r="I691" i="9"/>
  <c r="J691" i="9"/>
  <c r="G692" i="9"/>
  <c r="H692" i="9"/>
  <c r="I692" i="9"/>
  <c r="J692" i="9"/>
  <c r="G693" i="9"/>
  <c r="H693" i="9"/>
  <c r="I693" i="9"/>
  <c r="J693" i="9"/>
  <c r="G694" i="9"/>
  <c r="H694" i="9"/>
  <c r="I694" i="9"/>
  <c r="J694" i="9"/>
  <c r="G695" i="9"/>
  <c r="H695" i="9"/>
  <c r="I695" i="9"/>
  <c r="J695" i="9"/>
  <c r="G696" i="9"/>
  <c r="H696" i="9"/>
  <c r="I696" i="9"/>
  <c r="J696" i="9"/>
  <c r="G697" i="9"/>
  <c r="H697" i="9"/>
  <c r="I697" i="9"/>
  <c r="J697" i="9"/>
  <c r="G698" i="9"/>
  <c r="H698" i="9"/>
  <c r="I698" i="9"/>
  <c r="J698" i="9"/>
  <c r="G699" i="9"/>
  <c r="H699" i="9"/>
  <c r="I699" i="9"/>
  <c r="J699" i="9"/>
  <c r="G700" i="9"/>
  <c r="H700" i="9"/>
  <c r="I700" i="9"/>
  <c r="J700" i="9"/>
  <c r="G701" i="9"/>
  <c r="H701" i="9"/>
  <c r="I701" i="9"/>
  <c r="J701" i="9"/>
  <c r="G702" i="9"/>
  <c r="H702" i="9"/>
  <c r="I702" i="9"/>
  <c r="J702" i="9"/>
  <c r="G703" i="9"/>
  <c r="H703" i="9"/>
  <c r="I703" i="9"/>
  <c r="J703" i="9"/>
  <c r="G704" i="9"/>
  <c r="H704" i="9"/>
  <c r="I704" i="9"/>
  <c r="J704" i="9"/>
  <c r="G705" i="9"/>
  <c r="H705" i="9"/>
  <c r="I705" i="9"/>
  <c r="J705" i="9"/>
  <c r="G706" i="9"/>
  <c r="H706" i="9"/>
  <c r="I706" i="9"/>
  <c r="J706" i="9"/>
  <c r="G707" i="9"/>
  <c r="H707" i="9"/>
  <c r="I707" i="9"/>
  <c r="J707" i="9"/>
  <c r="G708" i="9"/>
  <c r="H708" i="9"/>
  <c r="I708" i="9"/>
  <c r="J708" i="9"/>
  <c r="G709" i="9"/>
  <c r="H709" i="9"/>
  <c r="I709" i="9"/>
  <c r="J709" i="9"/>
  <c r="G710" i="9"/>
  <c r="H710" i="9"/>
  <c r="I710" i="9"/>
  <c r="J710" i="9"/>
  <c r="G711" i="9"/>
  <c r="H711" i="9"/>
  <c r="I711" i="9"/>
  <c r="J711" i="9"/>
  <c r="G712" i="9"/>
  <c r="H712" i="9"/>
  <c r="I712" i="9"/>
  <c r="J712" i="9"/>
  <c r="G713" i="9"/>
  <c r="H713" i="9"/>
  <c r="I713" i="9"/>
  <c r="J713" i="9"/>
  <c r="G714" i="9"/>
  <c r="H714" i="9"/>
  <c r="I714" i="9"/>
  <c r="J714" i="9"/>
  <c r="G715" i="9"/>
  <c r="H715" i="9"/>
  <c r="I715" i="9"/>
  <c r="J715" i="9"/>
  <c r="G716" i="9"/>
  <c r="H716" i="9"/>
  <c r="I716" i="9"/>
  <c r="J716" i="9"/>
  <c r="G717" i="9"/>
  <c r="H717" i="9"/>
  <c r="I717" i="9"/>
  <c r="J717" i="9"/>
  <c r="G718" i="9"/>
  <c r="H718" i="9"/>
  <c r="I718" i="9"/>
  <c r="J718" i="9"/>
  <c r="G719" i="9"/>
  <c r="H719" i="9"/>
  <c r="I719" i="9"/>
  <c r="J719" i="9"/>
  <c r="G720" i="9"/>
  <c r="H720" i="9"/>
  <c r="I720" i="9"/>
  <c r="J720" i="9"/>
  <c r="G721" i="9"/>
  <c r="H721" i="9"/>
  <c r="I721" i="9"/>
  <c r="J721" i="9"/>
  <c r="G722" i="9"/>
  <c r="H722" i="9"/>
  <c r="I722" i="9"/>
  <c r="J722" i="9"/>
  <c r="G723" i="9"/>
  <c r="H723" i="9"/>
  <c r="I723" i="9"/>
  <c r="J723" i="9"/>
  <c r="G724" i="9"/>
  <c r="H724" i="9"/>
  <c r="I724" i="9"/>
  <c r="J724" i="9"/>
  <c r="G725" i="9"/>
  <c r="H725" i="9"/>
  <c r="I725" i="9"/>
  <c r="J725" i="9"/>
  <c r="G726" i="9"/>
  <c r="H726" i="9"/>
  <c r="I726" i="9"/>
  <c r="J726" i="9"/>
  <c r="G727" i="9"/>
  <c r="H727" i="9"/>
  <c r="I727" i="9"/>
  <c r="J727" i="9"/>
  <c r="G728" i="9"/>
  <c r="H728" i="9"/>
  <c r="I728" i="9"/>
  <c r="J728" i="9"/>
  <c r="G729" i="9"/>
  <c r="H729" i="9"/>
  <c r="I729" i="9"/>
  <c r="J729" i="9"/>
  <c r="G730" i="9"/>
  <c r="H730" i="9"/>
  <c r="I730" i="9"/>
  <c r="J730" i="9"/>
  <c r="G731" i="9"/>
  <c r="H731" i="9"/>
  <c r="I731" i="9"/>
  <c r="J731" i="9"/>
  <c r="G732" i="9"/>
  <c r="H732" i="9"/>
  <c r="I732" i="9"/>
  <c r="J732" i="9"/>
  <c r="G733" i="9"/>
  <c r="H733" i="9"/>
  <c r="I733" i="9"/>
  <c r="J733" i="9"/>
  <c r="G734" i="9"/>
  <c r="H734" i="9"/>
  <c r="I734" i="9"/>
  <c r="J734" i="9"/>
  <c r="G735" i="9"/>
  <c r="H735" i="9"/>
  <c r="I735" i="9"/>
  <c r="J735" i="9"/>
  <c r="G736" i="9"/>
  <c r="H736" i="9"/>
  <c r="I736" i="9"/>
  <c r="J736" i="9"/>
  <c r="G737" i="9"/>
  <c r="H737" i="9"/>
  <c r="I737" i="9"/>
  <c r="J737" i="9"/>
  <c r="G738" i="9"/>
  <c r="H738" i="9"/>
  <c r="I738" i="9"/>
  <c r="J738" i="9"/>
  <c r="G739" i="9"/>
  <c r="H739" i="9"/>
  <c r="I739" i="9"/>
  <c r="J739" i="9"/>
  <c r="G740" i="9"/>
  <c r="H740" i="9"/>
  <c r="I740" i="9"/>
  <c r="J740" i="9"/>
  <c r="G741" i="9"/>
  <c r="H741" i="9"/>
  <c r="I741" i="9"/>
  <c r="J741" i="9"/>
  <c r="G742" i="9"/>
  <c r="H742" i="9"/>
  <c r="I742" i="9"/>
  <c r="J742" i="9"/>
  <c r="G743" i="9"/>
  <c r="H743" i="9"/>
  <c r="I743" i="9"/>
  <c r="J743" i="9"/>
  <c r="G744" i="9"/>
  <c r="H744" i="9"/>
  <c r="I744" i="9"/>
  <c r="J744" i="9"/>
  <c r="G745" i="9"/>
  <c r="H745" i="9"/>
  <c r="I745" i="9"/>
  <c r="J745" i="9"/>
  <c r="G746" i="9"/>
  <c r="H746" i="9"/>
  <c r="I746" i="9"/>
  <c r="J746" i="9"/>
  <c r="G747" i="9"/>
  <c r="H747" i="9"/>
  <c r="I747" i="9"/>
  <c r="J747" i="9"/>
  <c r="G748" i="9"/>
  <c r="H748" i="9"/>
  <c r="I748" i="9"/>
  <c r="J748" i="9"/>
  <c r="G749" i="9"/>
  <c r="H749" i="9"/>
  <c r="I749" i="9"/>
  <c r="J749" i="9"/>
  <c r="G750" i="9"/>
  <c r="H750" i="9"/>
  <c r="I750" i="9"/>
  <c r="J750" i="9"/>
  <c r="G751" i="9"/>
  <c r="H751" i="9"/>
  <c r="I751" i="9"/>
  <c r="J751" i="9"/>
  <c r="G752" i="9"/>
  <c r="H752" i="9"/>
  <c r="I752" i="9"/>
  <c r="J752" i="9"/>
  <c r="G753" i="9"/>
  <c r="H753" i="9"/>
  <c r="I753" i="9"/>
  <c r="J753" i="9"/>
  <c r="G754" i="9"/>
  <c r="H754" i="9"/>
  <c r="I754" i="9"/>
  <c r="J754" i="9"/>
  <c r="G755" i="9"/>
  <c r="H755" i="9"/>
  <c r="I755" i="9"/>
  <c r="J755" i="9"/>
  <c r="G756" i="9"/>
  <c r="H756" i="9"/>
  <c r="I756" i="9"/>
  <c r="J756" i="9"/>
  <c r="G757" i="9"/>
  <c r="H757" i="9"/>
  <c r="I757" i="9"/>
  <c r="J757" i="9"/>
  <c r="G758" i="9"/>
  <c r="H758" i="9"/>
  <c r="I758" i="9"/>
  <c r="J758" i="9"/>
  <c r="G759" i="9"/>
  <c r="H759" i="9"/>
  <c r="I759" i="9"/>
  <c r="J759" i="9"/>
  <c r="G760" i="9"/>
  <c r="H760" i="9"/>
  <c r="I760" i="9"/>
  <c r="J760" i="9"/>
  <c r="G761" i="9"/>
  <c r="H761" i="9"/>
  <c r="I761" i="9"/>
  <c r="J761" i="9"/>
  <c r="G762" i="9"/>
  <c r="H762" i="9"/>
  <c r="I762" i="9"/>
  <c r="J762" i="9"/>
  <c r="G763" i="9"/>
  <c r="H763" i="9"/>
  <c r="I763" i="9"/>
  <c r="J763" i="9"/>
  <c r="G764" i="9"/>
  <c r="H764" i="9"/>
  <c r="I764" i="9"/>
  <c r="J764" i="9"/>
  <c r="G765" i="9"/>
  <c r="H765" i="9"/>
  <c r="I765" i="9"/>
  <c r="J765" i="9"/>
  <c r="G766" i="9"/>
  <c r="H766" i="9"/>
  <c r="I766" i="9"/>
  <c r="J766" i="9"/>
  <c r="G767" i="9"/>
  <c r="H767" i="9"/>
  <c r="I767" i="9"/>
  <c r="J767" i="9"/>
  <c r="G768" i="9"/>
  <c r="H768" i="9"/>
  <c r="I768" i="9"/>
  <c r="J768" i="9"/>
  <c r="G769" i="9"/>
  <c r="H769" i="9"/>
  <c r="I769" i="9"/>
  <c r="J769" i="9"/>
  <c r="G770" i="9"/>
  <c r="H770" i="9"/>
  <c r="I770" i="9"/>
  <c r="J770" i="9"/>
  <c r="G771" i="9"/>
  <c r="H771" i="9"/>
  <c r="I771" i="9"/>
  <c r="J771" i="9"/>
  <c r="G772" i="9"/>
  <c r="H772" i="9"/>
  <c r="I772" i="9"/>
  <c r="J772" i="9"/>
  <c r="G773" i="9"/>
  <c r="H773" i="9"/>
  <c r="I773" i="9"/>
  <c r="J773" i="9"/>
  <c r="G774" i="9"/>
  <c r="H774" i="9"/>
  <c r="I774" i="9"/>
  <c r="J774" i="9"/>
  <c r="G775" i="9"/>
  <c r="H775" i="9"/>
  <c r="I775" i="9"/>
  <c r="J775" i="9"/>
  <c r="G776" i="9"/>
  <c r="H776" i="9"/>
  <c r="I776" i="9"/>
  <c r="J776" i="9"/>
  <c r="G777" i="9"/>
  <c r="H777" i="9"/>
  <c r="I777" i="9"/>
  <c r="J777" i="9"/>
  <c r="G778" i="9"/>
  <c r="H778" i="9"/>
  <c r="I778" i="9"/>
  <c r="J778" i="9"/>
  <c r="G779" i="9"/>
  <c r="H779" i="9"/>
  <c r="I779" i="9"/>
  <c r="J779" i="9"/>
  <c r="G780" i="9"/>
  <c r="H780" i="9"/>
  <c r="I780" i="9"/>
  <c r="J780" i="9"/>
  <c r="G781" i="9"/>
  <c r="H781" i="9"/>
  <c r="I781" i="9"/>
  <c r="J781" i="9"/>
  <c r="G782" i="9"/>
  <c r="H782" i="9"/>
  <c r="I782" i="9"/>
  <c r="J782" i="9"/>
  <c r="G783" i="9"/>
  <c r="H783" i="9"/>
  <c r="I783" i="9"/>
  <c r="J783" i="9"/>
  <c r="G784" i="9"/>
  <c r="H784" i="9"/>
  <c r="I784" i="9"/>
  <c r="J784" i="9"/>
  <c r="G785" i="9"/>
  <c r="H785" i="9"/>
  <c r="I785" i="9"/>
  <c r="J785" i="9"/>
  <c r="G786" i="9"/>
  <c r="H786" i="9"/>
  <c r="I786" i="9"/>
  <c r="J786" i="9"/>
  <c r="G787" i="9"/>
  <c r="H787" i="9"/>
  <c r="I787" i="9"/>
  <c r="J787" i="9"/>
  <c r="G788" i="9"/>
  <c r="H788" i="9"/>
  <c r="I788" i="9"/>
  <c r="J788" i="9"/>
  <c r="G789" i="9"/>
  <c r="H789" i="9"/>
  <c r="I789" i="9"/>
  <c r="J789" i="9"/>
  <c r="G790" i="9"/>
  <c r="H790" i="9"/>
  <c r="I790" i="9"/>
  <c r="J790" i="9"/>
  <c r="G791" i="9"/>
  <c r="H791" i="9"/>
  <c r="I791" i="9"/>
  <c r="J791" i="9"/>
  <c r="G792" i="9"/>
  <c r="H792" i="9"/>
  <c r="I792" i="9"/>
  <c r="J792" i="9"/>
  <c r="G793" i="9"/>
  <c r="H793" i="9"/>
  <c r="I793" i="9"/>
  <c r="J793" i="9"/>
  <c r="G794" i="9"/>
  <c r="H794" i="9"/>
  <c r="I794" i="9"/>
  <c r="J794" i="9"/>
  <c r="G795" i="9"/>
  <c r="H795" i="9"/>
  <c r="I795" i="9"/>
  <c r="J795" i="9"/>
  <c r="G796" i="9"/>
  <c r="H796" i="9"/>
  <c r="I796" i="9"/>
  <c r="J796" i="9"/>
  <c r="G797" i="9"/>
  <c r="H797" i="9"/>
  <c r="I797" i="9"/>
  <c r="J797" i="9"/>
  <c r="G798" i="9"/>
  <c r="H798" i="9"/>
  <c r="I798" i="9"/>
  <c r="J798" i="9"/>
  <c r="G799" i="9"/>
  <c r="H799" i="9"/>
  <c r="I799" i="9"/>
  <c r="J799" i="9"/>
  <c r="G800" i="9"/>
  <c r="H800" i="9"/>
  <c r="I800" i="9"/>
  <c r="J800" i="9"/>
  <c r="G801" i="9"/>
  <c r="H801" i="9"/>
  <c r="I801" i="9"/>
  <c r="J801" i="9"/>
  <c r="G802" i="9"/>
  <c r="H802" i="9"/>
  <c r="I802" i="9"/>
  <c r="J802" i="9"/>
  <c r="G803" i="9"/>
  <c r="H803" i="9"/>
  <c r="I803" i="9"/>
  <c r="J803" i="9"/>
  <c r="G804" i="9"/>
  <c r="H804" i="9"/>
  <c r="I804" i="9"/>
  <c r="J804" i="9"/>
  <c r="G805" i="9"/>
  <c r="H805" i="9"/>
  <c r="I805" i="9"/>
  <c r="J805" i="9"/>
  <c r="G806" i="9"/>
  <c r="H806" i="9"/>
  <c r="I806" i="9"/>
  <c r="J806" i="9"/>
  <c r="G807" i="9"/>
  <c r="H807" i="9"/>
  <c r="I807" i="9"/>
  <c r="J807" i="9"/>
  <c r="G808" i="9"/>
  <c r="H808" i="9"/>
  <c r="I808" i="9"/>
  <c r="J808" i="9"/>
  <c r="G809" i="9"/>
  <c r="H809" i="9"/>
  <c r="I809" i="9"/>
  <c r="J809" i="9"/>
  <c r="G810" i="9"/>
  <c r="H810" i="9"/>
  <c r="I810" i="9"/>
  <c r="J810" i="9"/>
  <c r="G811" i="9"/>
  <c r="H811" i="9"/>
  <c r="I811" i="9"/>
  <c r="J811" i="9"/>
  <c r="G812" i="9"/>
  <c r="H812" i="9"/>
  <c r="I812" i="9"/>
  <c r="J812" i="9"/>
  <c r="G813" i="9"/>
  <c r="H813" i="9"/>
  <c r="I813" i="9"/>
  <c r="J813" i="9"/>
  <c r="G814" i="9"/>
  <c r="H814" i="9"/>
  <c r="I814" i="9"/>
  <c r="J814" i="9"/>
  <c r="G815" i="9"/>
  <c r="H815" i="9"/>
  <c r="I815" i="9"/>
  <c r="J815" i="9"/>
  <c r="G816" i="9"/>
  <c r="H816" i="9"/>
  <c r="I816" i="9"/>
  <c r="J816" i="9"/>
  <c r="G817" i="9"/>
  <c r="H817" i="9"/>
  <c r="I817" i="9"/>
  <c r="J817" i="9"/>
  <c r="G818" i="9"/>
  <c r="H818" i="9"/>
  <c r="I818" i="9"/>
  <c r="J818" i="9"/>
  <c r="G819" i="9"/>
  <c r="H819" i="9"/>
  <c r="I819" i="9"/>
  <c r="J819" i="9"/>
  <c r="G820" i="9"/>
  <c r="H820" i="9"/>
  <c r="I820" i="9"/>
  <c r="J820" i="9"/>
  <c r="G821" i="9"/>
  <c r="H821" i="9"/>
  <c r="I821" i="9"/>
  <c r="J821" i="9"/>
  <c r="G822" i="9"/>
  <c r="H822" i="9"/>
  <c r="I822" i="9"/>
  <c r="J822" i="9"/>
  <c r="G823" i="9"/>
  <c r="H823" i="9"/>
  <c r="I823" i="9"/>
  <c r="J823" i="9"/>
  <c r="G824" i="9"/>
  <c r="H824" i="9"/>
  <c r="I824" i="9"/>
  <c r="J824" i="9"/>
  <c r="G825" i="9"/>
  <c r="H825" i="9"/>
  <c r="I825" i="9"/>
  <c r="J825" i="9"/>
  <c r="G826" i="9"/>
  <c r="H826" i="9"/>
  <c r="I826" i="9"/>
  <c r="J826" i="9"/>
  <c r="G827" i="9"/>
  <c r="H827" i="9"/>
  <c r="I827" i="9"/>
  <c r="J827" i="9"/>
  <c r="G828" i="9"/>
  <c r="H828" i="9"/>
  <c r="I828" i="9"/>
  <c r="J828" i="9"/>
  <c r="G829" i="9"/>
  <c r="H829" i="9"/>
  <c r="I829" i="9"/>
  <c r="J829" i="9"/>
  <c r="G830" i="9"/>
  <c r="H830" i="9"/>
  <c r="I830" i="9"/>
  <c r="J830" i="9"/>
  <c r="G831" i="9"/>
  <c r="H831" i="9"/>
  <c r="I831" i="9"/>
  <c r="J831" i="9"/>
  <c r="G832" i="9"/>
  <c r="H832" i="9"/>
  <c r="I832" i="9"/>
  <c r="J832" i="9"/>
  <c r="G833" i="9"/>
  <c r="H833" i="9"/>
  <c r="I833" i="9"/>
  <c r="J833" i="9"/>
  <c r="G834" i="9"/>
  <c r="H834" i="9"/>
  <c r="I834" i="9"/>
  <c r="J834" i="9"/>
  <c r="G835" i="9"/>
  <c r="H835" i="9"/>
  <c r="I835" i="9"/>
  <c r="J835" i="9"/>
  <c r="G836" i="9"/>
  <c r="H836" i="9"/>
  <c r="I836" i="9"/>
  <c r="J836" i="9"/>
  <c r="G837" i="9"/>
  <c r="H837" i="9"/>
  <c r="I837" i="9"/>
  <c r="J837" i="9"/>
  <c r="G838" i="9"/>
  <c r="H838" i="9"/>
  <c r="I838" i="9"/>
  <c r="J838" i="9"/>
  <c r="G839" i="9"/>
  <c r="H839" i="9"/>
  <c r="I839" i="9"/>
  <c r="J839" i="9"/>
  <c r="G840" i="9"/>
  <c r="H840" i="9"/>
  <c r="I840" i="9"/>
  <c r="J840" i="9"/>
  <c r="G841" i="9"/>
  <c r="H841" i="9"/>
  <c r="I841" i="9"/>
  <c r="J841" i="9"/>
  <c r="G842" i="9"/>
  <c r="H842" i="9"/>
  <c r="I842" i="9"/>
  <c r="J842" i="9"/>
  <c r="G843" i="9"/>
  <c r="H843" i="9"/>
  <c r="I843" i="9"/>
  <c r="J843" i="9"/>
  <c r="G844" i="9"/>
  <c r="H844" i="9"/>
  <c r="I844" i="9"/>
  <c r="J844" i="9"/>
  <c r="G845" i="9"/>
  <c r="H845" i="9"/>
  <c r="I845" i="9"/>
  <c r="J845" i="9"/>
  <c r="G846" i="9"/>
  <c r="H846" i="9"/>
  <c r="I846" i="9"/>
  <c r="J846" i="9"/>
  <c r="G847" i="9"/>
  <c r="H847" i="9"/>
  <c r="I847" i="9"/>
  <c r="J847" i="9"/>
  <c r="G848" i="9"/>
  <c r="H848" i="9"/>
  <c r="I848" i="9"/>
  <c r="J848" i="9"/>
  <c r="G849" i="9"/>
  <c r="H849" i="9"/>
  <c r="I849" i="9"/>
  <c r="J849" i="9"/>
  <c r="G850" i="9"/>
  <c r="H850" i="9"/>
  <c r="I850" i="9"/>
  <c r="J850" i="9"/>
  <c r="G851" i="9"/>
  <c r="H851" i="9"/>
  <c r="I851" i="9"/>
  <c r="J851" i="9"/>
  <c r="G852" i="9"/>
  <c r="H852" i="9"/>
  <c r="I852" i="9"/>
  <c r="J852" i="9"/>
  <c r="G853" i="9"/>
  <c r="H853" i="9"/>
  <c r="I853" i="9"/>
  <c r="J853" i="9"/>
  <c r="G854" i="9"/>
  <c r="H854" i="9"/>
  <c r="I854" i="9"/>
  <c r="J854" i="9"/>
  <c r="G855" i="9"/>
  <c r="H855" i="9"/>
  <c r="I855" i="9"/>
  <c r="J855" i="9"/>
  <c r="G856" i="9"/>
  <c r="H856" i="9"/>
  <c r="I856" i="9"/>
  <c r="J856" i="9"/>
  <c r="G857" i="9"/>
  <c r="H857" i="9"/>
  <c r="I857" i="9"/>
  <c r="J857" i="9"/>
  <c r="G858" i="9"/>
  <c r="H858" i="9"/>
  <c r="I858" i="9"/>
  <c r="J858" i="9"/>
  <c r="G859" i="9"/>
  <c r="H859" i="9"/>
  <c r="I859" i="9"/>
  <c r="J859" i="9"/>
  <c r="G860" i="9"/>
  <c r="H860" i="9"/>
  <c r="I860" i="9"/>
  <c r="J860" i="9"/>
  <c r="G861" i="9"/>
  <c r="H861" i="9"/>
  <c r="I861" i="9"/>
  <c r="J861" i="9"/>
  <c r="G862" i="9"/>
  <c r="H862" i="9"/>
  <c r="I862" i="9"/>
  <c r="J862" i="9"/>
  <c r="G863" i="9"/>
  <c r="H863" i="9"/>
  <c r="I863" i="9"/>
  <c r="J863" i="9"/>
  <c r="G864" i="9"/>
  <c r="H864" i="9"/>
  <c r="I864" i="9"/>
  <c r="J864" i="9"/>
  <c r="G865" i="9"/>
  <c r="H865" i="9"/>
  <c r="I865" i="9"/>
  <c r="J865" i="9"/>
  <c r="G866" i="9"/>
  <c r="H866" i="9"/>
  <c r="I866" i="9"/>
  <c r="J866" i="9"/>
  <c r="G867" i="9"/>
  <c r="H867" i="9"/>
  <c r="I867" i="9"/>
  <c r="J867" i="9"/>
  <c r="G868" i="9"/>
  <c r="H868" i="9"/>
  <c r="I868" i="9"/>
  <c r="J868" i="9"/>
  <c r="G869" i="9"/>
  <c r="H869" i="9"/>
  <c r="I869" i="9"/>
  <c r="J869" i="9"/>
  <c r="G870" i="9"/>
  <c r="H870" i="9"/>
  <c r="I870" i="9"/>
  <c r="J870" i="9"/>
  <c r="G871" i="9"/>
  <c r="H871" i="9"/>
  <c r="I871" i="9"/>
  <c r="J871" i="9"/>
  <c r="G872" i="9"/>
  <c r="H872" i="9"/>
  <c r="I872" i="9"/>
  <c r="J872" i="9"/>
  <c r="G873" i="9"/>
  <c r="H873" i="9"/>
  <c r="I873" i="9"/>
  <c r="J873" i="9"/>
  <c r="G874" i="9"/>
  <c r="H874" i="9"/>
  <c r="I874" i="9"/>
  <c r="J874" i="9"/>
  <c r="G875" i="9"/>
  <c r="H875" i="9"/>
  <c r="I875" i="9"/>
  <c r="J875" i="9"/>
  <c r="G876" i="9"/>
  <c r="H876" i="9"/>
  <c r="I876" i="9"/>
  <c r="J876" i="9"/>
  <c r="G877" i="9"/>
  <c r="H877" i="9"/>
  <c r="I877" i="9"/>
  <c r="J877" i="9"/>
  <c r="G878" i="9"/>
  <c r="H878" i="9"/>
  <c r="I878" i="9"/>
  <c r="J878" i="9"/>
  <c r="G879" i="9"/>
  <c r="H879" i="9"/>
  <c r="I879" i="9"/>
  <c r="J879" i="9"/>
  <c r="G880" i="9"/>
  <c r="H880" i="9"/>
  <c r="I880" i="9"/>
  <c r="J880" i="9"/>
  <c r="G881" i="9"/>
  <c r="H881" i="9"/>
  <c r="I881" i="9"/>
  <c r="J881" i="9"/>
  <c r="G882" i="9"/>
  <c r="H882" i="9"/>
  <c r="I882" i="9"/>
  <c r="J882" i="9"/>
  <c r="G883" i="9"/>
  <c r="H883" i="9"/>
  <c r="I883" i="9"/>
  <c r="J883" i="9"/>
  <c r="G884" i="9"/>
  <c r="H884" i="9"/>
  <c r="I884" i="9"/>
  <c r="J884" i="9"/>
  <c r="G885" i="9"/>
  <c r="H885" i="9"/>
  <c r="I885" i="9"/>
  <c r="J885" i="9"/>
  <c r="G886" i="9"/>
  <c r="H886" i="9"/>
  <c r="I886" i="9"/>
  <c r="J886" i="9"/>
  <c r="G887" i="9"/>
  <c r="H887" i="9"/>
  <c r="I887" i="9"/>
  <c r="J887" i="9"/>
  <c r="G888" i="9"/>
  <c r="H888" i="9"/>
  <c r="I888" i="9"/>
  <c r="J888" i="9"/>
  <c r="G889" i="9"/>
  <c r="H889" i="9"/>
  <c r="I889" i="9"/>
  <c r="J889" i="9"/>
  <c r="G890" i="9"/>
  <c r="H890" i="9"/>
  <c r="I890" i="9"/>
  <c r="J890" i="9"/>
  <c r="G891" i="9"/>
  <c r="H891" i="9"/>
  <c r="I891" i="9"/>
  <c r="J891" i="9"/>
  <c r="G892" i="9"/>
  <c r="H892" i="9"/>
  <c r="I892" i="9"/>
  <c r="J892" i="9"/>
  <c r="G893" i="9"/>
  <c r="H893" i="9"/>
  <c r="I893" i="9"/>
  <c r="J893" i="9"/>
  <c r="G894" i="9"/>
  <c r="H894" i="9"/>
  <c r="I894" i="9"/>
  <c r="J894" i="9"/>
  <c r="G895" i="9"/>
  <c r="H895" i="9"/>
  <c r="I895" i="9"/>
  <c r="J895" i="9"/>
  <c r="G896" i="9"/>
  <c r="H896" i="9"/>
  <c r="I896" i="9"/>
  <c r="J896" i="9"/>
  <c r="G897" i="9"/>
  <c r="H897" i="9"/>
  <c r="I897" i="9"/>
  <c r="J897" i="9"/>
  <c r="G898" i="9"/>
  <c r="H898" i="9"/>
  <c r="I898" i="9"/>
  <c r="J898" i="9"/>
  <c r="G899" i="9"/>
  <c r="H899" i="9"/>
  <c r="I899" i="9"/>
  <c r="J899" i="9"/>
  <c r="G900" i="9"/>
  <c r="H900" i="9"/>
  <c r="I900" i="9"/>
  <c r="J900" i="9"/>
  <c r="G901" i="9"/>
  <c r="H901" i="9"/>
  <c r="I901" i="9"/>
  <c r="J901" i="9"/>
  <c r="G902" i="9"/>
  <c r="H902" i="9"/>
  <c r="I902" i="9"/>
  <c r="J902" i="9"/>
  <c r="G903" i="9"/>
  <c r="H903" i="9"/>
  <c r="I903" i="9"/>
  <c r="J903" i="9"/>
  <c r="G904" i="9"/>
  <c r="H904" i="9"/>
  <c r="I904" i="9"/>
  <c r="J904" i="9"/>
  <c r="G905" i="9"/>
  <c r="H905" i="9"/>
  <c r="I905" i="9"/>
  <c r="J905" i="9"/>
  <c r="G906" i="9"/>
  <c r="H906" i="9"/>
  <c r="I906" i="9"/>
  <c r="J906" i="9"/>
  <c r="G907" i="9"/>
  <c r="H907" i="9"/>
  <c r="I907" i="9"/>
  <c r="J907" i="9"/>
  <c r="G908" i="9"/>
  <c r="H908" i="9"/>
  <c r="I908" i="9"/>
  <c r="J908" i="9"/>
  <c r="G909" i="9"/>
  <c r="H909" i="9"/>
  <c r="I909" i="9"/>
  <c r="J909" i="9"/>
  <c r="G910" i="9"/>
  <c r="H910" i="9"/>
  <c r="I910" i="9"/>
  <c r="J910" i="9"/>
  <c r="G911" i="9"/>
  <c r="H911" i="9"/>
  <c r="I911" i="9"/>
  <c r="J911" i="9"/>
  <c r="G912" i="9"/>
  <c r="H912" i="9"/>
  <c r="I912" i="9"/>
  <c r="J912" i="9"/>
  <c r="G913" i="9"/>
  <c r="H913" i="9"/>
  <c r="I913" i="9"/>
  <c r="J913" i="9"/>
  <c r="G914" i="9"/>
  <c r="H914" i="9"/>
  <c r="I914" i="9"/>
  <c r="J914" i="9"/>
  <c r="G915" i="9"/>
  <c r="H915" i="9"/>
  <c r="I915" i="9"/>
  <c r="J915" i="9"/>
  <c r="G916" i="9"/>
  <c r="H916" i="9"/>
  <c r="I916" i="9"/>
  <c r="J916" i="9"/>
  <c r="G917" i="9"/>
  <c r="H917" i="9"/>
  <c r="I917" i="9"/>
  <c r="J917" i="9"/>
  <c r="G918" i="9"/>
  <c r="H918" i="9"/>
  <c r="I918" i="9"/>
  <c r="J918" i="9"/>
  <c r="G919" i="9"/>
  <c r="H919" i="9"/>
  <c r="I919" i="9"/>
  <c r="J919" i="9"/>
  <c r="G920" i="9"/>
  <c r="H920" i="9"/>
  <c r="I920" i="9"/>
  <c r="J920" i="9"/>
  <c r="G921" i="9"/>
  <c r="H921" i="9"/>
  <c r="I921" i="9"/>
  <c r="J921" i="9"/>
  <c r="G922" i="9"/>
  <c r="H922" i="9"/>
  <c r="I922" i="9"/>
  <c r="J922" i="9"/>
  <c r="G923" i="9"/>
  <c r="H923" i="9"/>
  <c r="I923" i="9"/>
  <c r="J923" i="9"/>
  <c r="G924" i="9"/>
  <c r="H924" i="9"/>
  <c r="I924" i="9"/>
  <c r="J924" i="9"/>
  <c r="G925" i="9"/>
  <c r="H925" i="9"/>
  <c r="I925" i="9"/>
  <c r="J925" i="9"/>
  <c r="G926" i="9"/>
  <c r="H926" i="9"/>
  <c r="I926" i="9"/>
  <c r="J926" i="9"/>
  <c r="G927" i="9"/>
  <c r="H927" i="9"/>
  <c r="I927" i="9"/>
  <c r="J927" i="9"/>
  <c r="G928" i="9"/>
  <c r="H928" i="9"/>
  <c r="I928" i="9"/>
  <c r="J928" i="9"/>
  <c r="G929" i="9"/>
  <c r="H929" i="9"/>
  <c r="I929" i="9"/>
  <c r="J929" i="9"/>
  <c r="G930" i="9"/>
  <c r="H930" i="9"/>
  <c r="I930" i="9"/>
  <c r="J930" i="9"/>
  <c r="G931" i="9"/>
  <c r="H931" i="9"/>
  <c r="I931" i="9"/>
  <c r="J931" i="9"/>
  <c r="G932" i="9"/>
  <c r="H932" i="9"/>
  <c r="I932" i="9"/>
  <c r="J932" i="9"/>
  <c r="G933" i="9"/>
  <c r="H933" i="9"/>
  <c r="I933" i="9"/>
  <c r="J933" i="9"/>
  <c r="G934" i="9"/>
  <c r="H934" i="9"/>
  <c r="I934" i="9"/>
  <c r="J934" i="9"/>
  <c r="G935" i="9"/>
  <c r="H935" i="9"/>
  <c r="I935" i="9"/>
  <c r="J935" i="9"/>
  <c r="G936" i="9"/>
  <c r="H936" i="9"/>
  <c r="I936" i="9"/>
  <c r="J936" i="9"/>
  <c r="G937" i="9"/>
  <c r="H937" i="9"/>
  <c r="I937" i="9"/>
  <c r="J937" i="9"/>
  <c r="G938" i="9"/>
  <c r="H938" i="9"/>
  <c r="I938" i="9"/>
  <c r="J938" i="9"/>
  <c r="G939" i="9"/>
  <c r="H939" i="9"/>
  <c r="I939" i="9"/>
  <c r="J939" i="9"/>
  <c r="G940" i="9"/>
  <c r="H940" i="9"/>
  <c r="I940" i="9"/>
  <c r="J940" i="9"/>
  <c r="G941" i="9"/>
  <c r="H941" i="9"/>
  <c r="I941" i="9"/>
  <c r="J941" i="9"/>
  <c r="G942" i="9"/>
  <c r="H942" i="9"/>
  <c r="I942" i="9"/>
  <c r="J942" i="9"/>
  <c r="G943" i="9"/>
  <c r="H943" i="9"/>
  <c r="I943" i="9"/>
  <c r="J943" i="9"/>
  <c r="G944" i="9"/>
  <c r="H944" i="9"/>
  <c r="I944" i="9"/>
  <c r="J944" i="9"/>
  <c r="G945" i="9"/>
  <c r="H945" i="9"/>
  <c r="I945" i="9"/>
  <c r="J945" i="9"/>
  <c r="G946" i="9"/>
  <c r="H946" i="9"/>
  <c r="I946" i="9"/>
  <c r="J946" i="9"/>
  <c r="G947" i="9"/>
  <c r="H947" i="9"/>
  <c r="I947" i="9"/>
  <c r="J947" i="9"/>
  <c r="G948" i="9"/>
  <c r="H948" i="9"/>
  <c r="I948" i="9"/>
  <c r="J948" i="9"/>
  <c r="G949" i="9"/>
  <c r="H949" i="9"/>
  <c r="I949" i="9"/>
  <c r="J949" i="9"/>
  <c r="G950" i="9"/>
  <c r="H950" i="9"/>
  <c r="I950" i="9"/>
  <c r="J950" i="9"/>
  <c r="G951" i="9"/>
  <c r="H951" i="9"/>
  <c r="I951" i="9"/>
  <c r="J951" i="9"/>
  <c r="G952" i="9"/>
  <c r="H952" i="9"/>
  <c r="I952" i="9"/>
  <c r="J952" i="9"/>
  <c r="G953" i="9"/>
  <c r="H953" i="9"/>
  <c r="I953" i="9"/>
  <c r="J953" i="9"/>
  <c r="G954" i="9"/>
  <c r="H954" i="9"/>
  <c r="I954" i="9"/>
  <c r="J954" i="9"/>
  <c r="G955" i="9"/>
  <c r="H955" i="9"/>
  <c r="I955" i="9"/>
  <c r="J955" i="9"/>
  <c r="G956" i="9"/>
  <c r="H956" i="9"/>
  <c r="I956" i="9"/>
  <c r="J956" i="9"/>
  <c r="G957" i="9"/>
  <c r="H957" i="9"/>
  <c r="I957" i="9"/>
  <c r="J957" i="9"/>
  <c r="G958" i="9"/>
  <c r="H958" i="9"/>
  <c r="I958" i="9"/>
  <c r="J958" i="9"/>
  <c r="G959" i="9"/>
  <c r="H959" i="9"/>
  <c r="I959" i="9"/>
  <c r="J959" i="9"/>
  <c r="G960" i="9"/>
  <c r="H960" i="9"/>
  <c r="I960" i="9"/>
  <c r="J960" i="9"/>
  <c r="G961" i="9"/>
  <c r="H961" i="9"/>
  <c r="I961" i="9"/>
  <c r="J961" i="9"/>
  <c r="G962" i="9"/>
  <c r="H962" i="9"/>
  <c r="I962" i="9"/>
  <c r="J962" i="9"/>
  <c r="G963" i="9"/>
  <c r="H963" i="9"/>
  <c r="I963" i="9"/>
  <c r="J963" i="9"/>
  <c r="G964" i="9"/>
  <c r="H964" i="9"/>
  <c r="I964" i="9"/>
  <c r="J964" i="9"/>
  <c r="G965" i="9"/>
  <c r="H965" i="9"/>
  <c r="I965" i="9"/>
  <c r="J965" i="9"/>
  <c r="G966" i="9"/>
  <c r="H966" i="9"/>
  <c r="I966" i="9"/>
  <c r="J966" i="9"/>
  <c r="G967" i="9"/>
  <c r="H967" i="9"/>
  <c r="I967" i="9"/>
  <c r="J967" i="9"/>
  <c r="G968" i="9"/>
  <c r="H968" i="9"/>
  <c r="I968" i="9"/>
  <c r="J968" i="9"/>
  <c r="G969" i="9"/>
  <c r="H969" i="9"/>
  <c r="I969" i="9"/>
  <c r="J969" i="9"/>
  <c r="G970" i="9"/>
  <c r="H970" i="9"/>
  <c r="I970" i="9"/>
  <c r="J970" i="9"/>
  <c r="G971" i="9"/>
  <c r="H971" i="9"/>
  <c r="I971" i="9"/>
  <c r="J971" i="9"/>
  <c r="G972" i="9"/>
  <c r="H972" i="9"/>
  <c r="I972" i="9"/>
  <c r="J972" i="9"/>
  <c r="G973" i="9"/>
  <c r="H973" i="9"/>
  <c r="I973" i="9"/>
  <c r="J973" i="9"/>
  <c r="G974" i="9"/>
  <c r="H974" i="9"/>
  <c r="I974" i="9"/>
  <c r="J974" i="9"/>
  <c r="G975" i="9"/>
  <c r="H975" i="9"/>
  <c r="I975" i="9"/>
  <c r="J975" i="9"/>
  <c r="G976" i="9"/>
  <c r="H976" i="9"/>
  <c r="I976" i="9"/>
  <c r="J976" i="9"/>
  <c r="G977" i="9"/>
  <c r="H977" i="9"/>
  <c r="I977" i="9"/>
  <c r="J977" i="9"/>
  <c r="G978" i="9"/>
  <c r="H978" i="9"/>
  <c r="I978" i="9"/>
  <c r="J978" i="9"/>
  <c r="G979" i="9"/>
  <c r="H979" i="9"/>
  <c r="I979" i="9"/>
  <c r="J979" i="9"/>
  <c r="G980" i="9"/>
  <c r="H980" i="9"/>
  <c r="I980" i="9"/>
  <c r="J980" i="9"/>
  <c r="G981" i="9"/>
  <c r="H981" i="9"/>
  <c r="I981" i="9"/>
  <c r="J981" i="9"/>
  <c r="G982" i="9"/>
  <c r="H982" i="9"/>
  <c r="I982" i="9"/>
  <c r="J982" i="9"/>
  <c r="G983" i="9"/>
  <c r="H983" i="9"/>
  <c r="I983" i="9"/>
  <c r="J983" i="9"/>
  <c r="G984" i="9"/>
  <c r="H984" i="9"/>
  <c r="I984" i="9"/>
  <c r="J984" i="9"/>
  <c r="G985" i="9"/>
  <c r="H985" i="9"/>
  <c r="I985" i="9"/>
  <c r="J985" i="9"/>
  <c r="G986" i="9"/>
  <c r="H986" i="9"/>
  <c r="I986" i="9"/>
  <c r="J986" i="9"/>
  <c r="G987" i="9"/>
  <c r="H987" i="9"/>
  <c r="I987" i="9"/>
  <c r="J987" i="9"/>
  <c r="G988" i="9"/>
  <c r="H988" i="9"/>
  <c r="I988" i="9"/>
  <c r="J988" i="9"/>
  <c r="G989" i="9"/>
  <c r="H989" i="9"/>
  <c r="I989" i="9"/>
  <c r="J989" i="9"/>
  <c r="G990" i="9"/>
  <c r="H990" i="9"/>
  <c r="I990" i="9"/>
  <c r="J990" i="9"/>
  <c r="G991" i="9"/>
  <c r="H991" i="9"/>
  <c r="I991" i="9"/>
  <c r="J991" i="9"/>
  <c r="G992" i="9"/>
  <c r="H992" i="9"/>
  <c r="I992" i="9"/>
  <c r="J992" i="9"/>
  <c r="G993" i="9"/>
  <c r="H993" i="9"/>
  <c r="I993" i="9"/>
  <c r="J993" i="9"/>
  <c r="G994" i="9"/>
  <c r="H994" i="9"/>
  <c r="I994" i="9"/>
  <c r="J994" i="9"/>
  <c r="G995" i="9"/>
  <c r="H995" i="9"/>
  <c r="I995" i="9"/>
  <c r="J995" i="9"/>
  <c r="G996" i="9"/>
  <c r="H996" i="9"/>
  <c r="I996" i="9"/>
  <c r="J996" i="9"/>
  <c r="G997" i="9"/>
  <c r="H997" i="9"/>
  <c r="I997" i="9"/>
  <c r="J997" i="9"/>
  <c r="G998" i="9"/>
  <c r="H998" i="9"/>
  <c r="I998" i="9"/>
  <c r="J998" i="9"/>
  <c r="G999" i="9"/>
  <c r="H999" i="9"/>
  <c r="I999" i="9"/>
  <c r="J999" i="9"/>
  <c r="G1000" i="9"/>
  <c r="H1000" i="9"/>
  <c r="I1000" i="9"/>
  <c r="J1000" i="9"/>
  <c r="G1001" i="9"/>
  <c r="H1001" i="9"/>
  <c r="I1001" i="9"/>
  <c r="J1001" i="9"/>
  <c r="G1002" i="9"/>
  <c r="H1002" i="9"/>
  <c r="I1002" i="9"/>
  <c r="J1002" i="9"/>
  <c r="G1003" i="9"/>
  <c r="H1003" i="9"/>
  <c r="I1003" i="9"/>
  <c r="J1003" i="9"/>
  <c r="G1004" i="9"/>
  <c r="H1004" i="9"/>
  <c r="I1004" i="9"/>
  <c r="J1004" i="9"/>
  <c r="G1005" i="9"/>
  <c r="H1005" i="9"/>
  <c r="I1005" i="9"/>
  <c r="J1005" i="9"/>
  <c r="G1006" i="9"/>
  <c r="H1006" i="9"/>
  <c r="I1006" i="9"/>
  <c r="J1006" i="9"/>
  <c r="G1007" i="9"/>
  <c r="H1007" i="9"/>
  <c r="I1007" i="9"/>
  <c r="J1007" i="9"/>
  <c r="G1008" i="9"/>
  <c r="H1008" i="9"/>
  <c r="I1008" i="9"/>
  <c r="J1008" i="9"/>
  <c r="G1009" i="9"/>
  <c r="H1009" i="9"/>
  <c r="I1009" i="9"/>
  <c r="J1009" i="9"/>
  <c r="G1010" i="9"/>
  <c r="H1010" i="9"/>
  <c r="I1010" i="9"/>
  <c r="J1010" i="9"/>
  <c r="G1011" i="9"/>
  <c r="H1011" i="9"/>
  <c r="I1011" i="9"/>
  <c r="J1011" i="9"/>
  <c r="G1012" i="9"/>
  <c r="H1012" i="9"/>
  <c r="I1012" i="9"/>
  <c r="J1012" i="9"/>
  <c r="G1013" i="9"/>
  <c r="H1013" i="9"/>
  <c r="I1013" i="9"/>
  <c r="J1013" i="9"/>
  <c r="G1014" i="9"/>
  <c r="H1014" i="9"/>
  <c r="I1014" i="9"/>
  <c r="J1014" i="9"/>
  <c r="G1015" i="9"/>
  <c r="H1015" i="9"/>
  <c r="I1015" i="9"/>
  <c r="J1015" i="9"/>
  <c r="G1016" i="9"/>
  <c r="H1016" i="9"/>
  <c r="I1016" i="9"/>
  <c r="J1016" i="9"/>
  <c r="G1017" i="9"/>
  <c r="H1017" i="9"/>
  <c r="I1017" i="9"/>
  <c r="J1017" i="9"/>
  <c r="G1018" i="9"/>
  <c r="H1018" i="9"/>
  <c r="I1018" i="9"/>
  <c r="J1018" i="9"/>
  <c r="G1019" i="9"/>
  <c r="H1019" i="9"/>
  <c r="I1019" i="9"/>
  <c r="J1019" i="9"/>
  <c r="G1020" i="9"/>
  <c r="H1020" i="9"/>
  <c r="I1020" i="9"/>
  <c r="J1020" i="9"/>
  <c r="G1021" i="9"/>
  <c r="H1021" i="9"/>
  <c r="I1021" i="9"/>
  <c r="J1021" i="9"/>
  <c r="G1022" i="9"/>
  <c r="H1022" i="9"/>
  <c r="I1022" i="9"/>
  <c r="J1022" i="9"/>
  <c r="G1023" i="9"/>
  <c r="H1023" i="9"/>
  <c r="I1023" i="9"/>
  <c r="J1023" i="9"/>
  <c r="G1024" i="9"/>
  <c r="H1024" i="9"/>
  <c r="I1024" i="9"/>
  <c r="J1024" i="9"/>
  <c r="G1025" i="9"/>
  <c r="H1025" i="9"/>
  <c r="I1025" i="9"/>
  <c r="J1025" i="9"/>
  <c r="G1026" i="9"/>
  <c r="H1026" i="9"/>
  <c r="I1026" i="9"/>
  <c r="J1026" i="9"/>
  <c r="G1027" i="9"/>
  <c r="H1027" i="9"/>
  <c r="I1027" i="9"/>
  <c r="J1027" i="9"/>
  <c r="G1028" i="9"/>
  <c r="H1028" i="9"/>
  <c r="I1028" i="9"/>
  <c r="J1028" i="9"/>
  <c r="G1029" i="9"/>
  <c r="H1029" i="9"/>
  <c r="I1029" i="9"/>
  <c r="J1029" i="9"/>
  <c r="G1030" i="9"/>
  <c r="H1030" i="9"/>
  <c r="I1030" i="9"/>
  <c r="J1030" i="9"/>
  <c r="G1031" i="9"/>
  <c r="H1031" i="9"/>
  <c r="I1031" i="9"/>
  <c r="J1031" i="9"/>
  <c r="G1032" i="9"/>
  <c r="H1032" i="9"/>
  <c r="I1032" i="9"/>
  <c r="J1032" i="9"/>
  <c r="G1033" i="9"/>
  <c r="H1033" i="9"/>
  <c r="I1033" i="9"/>
  <c r="J1033" i="9"/>
  <c r="G1034" i="9"/>
  <c r="H1034" i="9"/>
  <c r="I1034" i="9"/>
  <c r="J1034" i="9"/>
  <c r="G1035" i="9"/>
  <c r="H1035" i="9"/>
  <c r="I1035" i="9"/>
  <c r="J1035" i="9"/>
  <c r="G1036" i="9"/>
  <c r="H1036" i="9"/>
  <c r="I1036" i="9"/>
  <c r="J1036" i="9"/>
  <c r="G1037" i="9"/>
  <c r="H1037" i="9"/>
  <c r="I1037" i="9"/>
  <c r="J1037" i="9"/>
  <c r="G1038" i="9"/>
  <c r="H1038" i="9"/>
  <c r="I1038" i="9"/>
  <c r="J1038" i="9"/>
  <c r="G1039" i="9"/>
  <c r="H1039" i="9"/>
  <c r="I1039" i="9"/>
  <c r="J1039" i="9"/>
  <c r="G1040" i="9"/>
  <c r="H1040" i="9"/>
  <c r="I1040" i="9"/>
  <c r="J1040" i="9"/>
  <c r="G1041" i="9"/>
  <c r="H1041" i="9"/>
  <c r="I1041" i="9"/>
  <c r="J1041" i="9"/>
  <c r="G1042" i="9"/>
  <c r="H1042" i="9"/>
  <c r="I1042" i="9"/>
  <c r="J1042" i="9"/>
  <c r="G1043" i="9"/>
  <c r="H1043" i="9"/>
  <c r="I1043" i="9"/>
  <c r="J1043" i="9"/>
  <c r="G1044" i="9"/>
  <c r="H1044" i="9"/>
  <c r="I1044" i="9"/>
  <c r="J1044" i="9"/>
  <c r="G1045" i="9"/>
  <c r="H1045" i="9"/>
  <c r="I1045" i="9"/>
  <c r="J1045" i="9"/>
  <c r="G1046" i="9"/>
  <c r="H1046" i="9"/>
  <c r="I1046" i="9"/>
  <c r="J1046" i="9"/>
  <c r="G1047" i="9"/>
  <c r="H1047" i="9"/>
  <c r="I1047" i="9"/>
  <c r="J1047" i="9"/>
  <c r="G1048" i="9"/>
  <c r="H1048" i="9"/>
  <c r="I1048" i="9"/>
  <c r="J1048" i="9"/>
  <c r="G1049" i="9"/>
  <c r="H1049" i="9"/>
  <c r="I1049" i="9"/>
  <c r="J1049" i="9"/>
  <c r="G1050" i="9"/>
  <c r="H1050" i="9"/>
  <c r="I1050" i="9"/>
  <c r="J1050" i="9"/>
  <c r="G1051" i="9"/>
  <c r="H1051" i="9"/>
  <c r="I1051" i="9"/>
  <c r="J1051" i="9"/>
  <c r="G1052" i="9"/>
  <c r="H1052" i="9"/>
  <c r="I1052" i="9"/>
  <c r="J1052" i="9"/>
  <c r="G1053" i="9"/>
  <c r="H1053" i="9"/>
  <c r="I1053" i="9"/>
  <c r="J1053" i="9"/>
  <c r="G1054" i="9"/>
  <c r="H1054" i="9"/>
  <c r="I1054" i="9"/>
  <c r="J1054" i="9"/>
  <c r="G1055" i="9"/>
  <c r="H1055" i="9"/>
  <c r="I1055" i="9"/>
  <c r="J1055" i="9"/>
  <c r="G1056" i="9"/>
  <c r="H1056" i="9"/>
  <c r="I1056" i="9"/>
  <c r="J1056" i="9"/>
  <c r="G1057" i="9"/>
  <c r="H1057" i="9"/>
  <c r="I1057" i="9"/>
  <c r="J1057" i="9"/>
  <c r="G1058" i="9"/>
  <c r="H1058" i="9"/>
  <c r="I1058" i="9"/>
  <c r="J1058" i="9"/>
  <c r="G1059" i="9"/>
  <c r="H1059" i="9"/>
  <c r="I1059" i="9"/>
  <c r="J1059" i="9"/>
  <c r="G1060" i="9"/>
  <c r="H1060" i="9"/>
  <c r="I1060" i="9"/>
  <c r="J1060" i="9"/>
  <c r="G1061" i="9"/>
  <c r="H1061" i="9"/>
  <c r="I1061" i="9"/>
  <c r="J1061" i="9"/>
  <c r="G1062" i="9"/>
  <c r="H1062" i="9"/>
  <c r="I1062" i="9"/>
  <c r="J1062" i="9"/>
  <c r="G1063" i="9"/>
  <c r="H1063" i="9"/>
  <c r="I1063" i="9"/>
  <c r="J1063" i="9"/>
  <c r="G1064" i="9"/>
  <c r="H1064" i="9"/>
  <c r="I1064" i="9"/>
  <c r="J1064" i="9"/>
  <c r="G1065" i="9"/>
  <c r="H1065" i="9"/>
  <c r="I1065" i="9"/>
  <c r="J1065" i="9"/>
  <c r="G1066" i="9"/>
  <c r="H1066" i="9"/>
  <c r="I1066" i="9"/>
  <c r="J1066" i="9"/>
  <c r="G1067" i="9"/>
  <c r="H1067" i="9"/>
  <c r="I1067" i="9"/>
  <c r="J1067" i="9"/>
  <c r="G1068" i="9"/>
  <c r="H1068" i="9"/>
  <c r="I1068" i="9"/>
  <c r="J1068" i="9"/>
  <c r="G1069" i="9"/>
  <c r="H1069" i="9"/>
  <c r="I1069" i="9"/>
  <c r="J1069" i="9"/>
  <c r="G1070" i="9"/>
  <c r="H1070" i="9"/>
  <c r="I1070" i="9"/>
  <c r="J1070" i="9"/>
  <c r="G1071" i="9"/>
  <c r="H1071" i="9"/>
  <c r="I1071" i="9"/>
  <c r="J1071" i="9"/>
  <c r="G1072" i="9"/>
  <c r="H1072" i="9"/>
  <c r="I1072" i="9"/>
  <c r="J1072" i="9"/>
  <c r="G1073" i="9"/>
  <c r="H1073" i="9"/>
  <c r="I1073" i="9"/>
  <c r="J1073" i="9"/>
  <c r="G1074" i="9"/>
  <c r="H1074" i="9"/>
  <c r="I1074" i="9"/>
  <c r="J1074" i="9"/>
  <c r="G1075" i="9"/>
  <c r="H1075" i="9"/>
  <c r="I1075" i="9"/>
  <c r="J1075" i="9"/>
  <c r="G1076" i="9"/>
  <c r="H1076" i="9"/>
  <c r="I1076" i="9"/>
  <c r="J1076" i="9"/>
  <c r="G1077" i="9"/>
  <c r="H1077" i="9"/>
  <c r="I1077" i="9"/>
  <c r="J1077" i="9"/>
  <c r="G1078" i="9"/>
  <c r="H1078" i="9"/>
  <c r="I1078" i="9"/>
  <c r="J1078" i="9"/>
  <c r="G1079" i="9"/>
  <c r="H1079" i="9"/>
  <c r="I1079" i="9"/>
  <c r="J1079" i="9"/>
  <c r="G1080" i="9"/>
  <c r="H1080" i="9"/>
  <c r="I1080" i="9"/>
  <c r="J1080" i="9"/>
  <c r="G1081" i="9"/>
  <c r="H1081" i="9"/>
  <c r="I1081" i="9"/>
  <c r="J1081" i="9"/>
  <c r="G1082" i="9"/>
  <c r="H1082" i="9"/>
  <c r="I1082" i="9"/>
  <c r="J1082" i="9"/>
  <c r="G1083" i="9"/>
  <c r="H1083" i="9"/>
  <c r="I1083" i="9"/>
  <c r="J1083" i="9"/>
  <c r="G1084" i="9"/>
  <c r="H1084" i="9"/>
  <c r="I1084" i="9"/>
  <c r="J1084" i="9"/>
  <c r="G1085" i="9"/>
  <c r="H1085" i="9"/>
  <c r="I1085" i="9"/>
  <c r="J1085" i="9"/>
  <c r="G1086" i="9"/>
  <c r="H1086" i="9"/>
  <c r="I1086" i="9"/>
  <c r="J1086" i="9"/>
  <c r="G1087" i="9"/>
  <c r="H1087" i="9"/>
  <c r="I1087" i="9"/>
  <c r="J1087" i="9"/>
  <c r="G1088" i="9"/>
  <c r="H1088" i="9"/>
  <c r="I1088" i="9"/>
  <c r="J1088" i="9"/>
  <c r="G1089" i="9"/>
  <c r="H1089" i="9"/>
  <c r="I1089" i="9"/>
  <c r="J1089" i="9"/>
  <c r="G1090" i="9"/>
  <c r="H1090" i="9"/>
  <c r="I1090" i="9"/>
  <c r="J1090" i="9"/>
  <c r="G1091" i="9"/>
  <c r="H1091" i="9"/>
  <c r="I1091" i="9"/>
  <c r="J1091" i="9"/>
  <c r="G1092" i="9"/>
  <c r="H1092" i="9"/>
  <c r="I1092" i="9"/>
  <c r="J1092" i="9"/>
  <c r="G1093" i="9"/>
  <c r="H1093" i="9"/>
  <c r="I1093" i="9"/>
  <c r="J1093" i="9"/>
  <c r="G1094" i="9"/>
  <c r="H1094" i="9"/>
  <c r="I1094" i="9"/>
  <c r="J1094" i="9"/>
  <c r="G1095" i="9"/>
  <c r="H1095" i="9"/>
  <c r="I1095" i="9"/>
  <c r="J1095" i="9"/>
  <c r="G1096" i="9"/>
  <c r="H1096" i="9"/>
  <c r="I1096" i="9"/>
  <c r="J1096" i="9"/>
  <c r="G1097" i="9"/>
  <c r="H1097" i="9"/>
  <c r="I1097" i="9"/>
  <c r="J1097" i="9"/>
  <c r="G1098" i="9"/>
  <c r="H1098" i="9"/>
  <c r="I1098" i="9"/>
  <c r="J1098" i="9"/>
  <c r="G1099" i="9"/>
  <c r="H1099" i="9"/>
  <c r="I1099" i="9"/>
  <c r="J1099" i="9"/>
  <c r="G1100" i="9"/>
  <c r="H1100" i="9"/>
  <c r="I1100" i="9"/>
  <c r="J1100" i="9"/>
  <c r="G1101" i="9"/>
  <c r="H1101" i="9"/>
  <c r="I1101" i="9"/>
  <c r="J1101" i="9"/>
  <c r="G1102" i="9"/>
  <c r="H1102" i="9"/>
  <c r="I1102" i="9"/>
  <c r="J1102" i="9"/>
  <c r="G1103" i="9"/>
  <c r="H1103" i="9"/>
  <c r="I1103" i="9"/>
  <c r="J1103" i="9"/>
  <c r="G1104" i="9"/>
  <c r="H1104" i="9"/>
  <c r="I1104" i="9"/>
  <c r="J1104" i="9"/>
  <c r="G1105" i="9"/>
  <c r="H1105" i="9"/>
  <c r="I1105" i="9"/>
  <c r="J1105" i="9"/>
  <c r="G1106" i="9"/>
  <c r="H1106" i="9"/>
  <c r="I1106" i="9"/>
  <c r="J1106" i="9"/>
  <c r="G1107" i="9"/>
  <c r="H1107" i="9"/>
  <c r="I1107" i="9"/>
  <c r="J1107" i="9"/>
  <c r="G1108" i="9"/>
  <c r="H1108" i="9"/>
  <c r="I1108" i="9"/>
  <c r="J1108" i="9"/>
  <c r="G1109" i="9"/>
  <c r="H1109" i="9"/>
  <c r="I1109" i="9"/>
  <c r="J1109" i="9"/>
  <c r="G1110" i="9"/>
  <c r="H1110" i="9"/>
  <c r="I1110" i="9"/>
  <c r="J1110" i="9"/>
  <c r="G1111" i="9"/>
  <c r="H1111" i="9"/>
  <c r="I1111" i="9"/>
  <c r="J1111" i="9"/>
  <c r="G1112" i="9"/>
  <c r="H1112" i="9"/>
  <c r="I1112" i="9"/>
  <c r="J1112" i="9"/>
  <c r="G1113" i="9"/>
  <c r="H1113" i="9"/>
  <c r="I1113" i="9"/>
  <c r="J1113" i="9"/>
  <c r="G1114" i="9"/>
  <c r="H1114" i="9"/>
  <c r="I1114" i="9"/>
  <c r="J1114" i="9"/>
  <c r="G1115" i="9"/>
  <c r="H1115" i="9"/>
  <c r="I1115" i="9"/>
  <c r="J1115" i="9"/>
  <c r="G1116" i="9"/>
  <c r="H1116" i="9"/>
  <c r="I1116" i="9"/>
  <c r="J1116" i="9"/>
  <c r="G1117" i="9"/>
  <c r="H1117" i="9"/>
  <c r="I1117" i="9"/>
  <c r="J1117" i="9"/>
  <c r="G1118" i="9"/>
  <c r="H1118" i="9"/>
  <c r="I1118" i="9"/>
  <c r="J1118" i="9"/>
  <c r="G1119" i="9"/>
  <c r="H1119" i="9"/>
  <c r="I1119" i="9"/>
  <c r="J1119" i="9"/>
  <c r="G1120" i="9"/>
  <c r="H1120" i="9"/>
  <c r="I1120" i="9"/>
  <c r="J1120" i="9"/>
  <c r="G1121" i="9"/>
  <c r="H1121" i="9"/>
  <c r="I1121" i="9"/>
  <c r="J1121" i="9"/>
  <c r="G1122" i="9"/>
  <c r="H1122" i="9"/>
  <c r="I1122" i="9"/>
  <c r="J1122" i="9"/>
  <c r="G1123" i="9"/>
  <c r="H1123" i="9"/>
  <c r="I1123" i="9"/>
  <c r="J1123" i="9"/>
  <c r="G1124" i="9"/>
  <c r="H1124" i="9"/>
  <c r="I1124" i="9"/>
  <c r="J1124" i="9"/>
  <c r="G1125" i="9"/>
  <c r="H1125" i="9"/>
  <c r="I1125" i="9"/>
  <c r="J1125" i="9"/>
  <c r="G1126" i="9"/>
  <c r="H1126" i="9"/>
  <c r="I1126" i="9"/>
  <c r="J1126" i="9"/>
  <c r="G1127" i="9"/>
  <c r="H1127" i="9"/>
  <c r="I1127" i="9"/>
  <c r="J1127" i="9"/>
  <c r="G1128" i="9"/>
  <c r="H1128" i="9"/>
  <c r="I1128" i="9"/>
  <c r="J1128" i="9"/>
  <c r="G1129" i="9"/>
  <c r="H1129" i="9"/>
  <c r="I1129" i="9"/>
  <c r="J1129" i="9"/>
  <c r="G1130" i="9"/>
  <c r="H1130" i="9"/>
  <c r="I1130" i="9"/>
  <c r="J1130" i="9"/>
  <c r="G1131" i="9"/>
  <c r="H1131" i="9"/>
  <c r="I1131" i="9"/>
  <c r="J1131" i="9"/>
  <c r="G1132" i="9"/>
  <c r="H1132" i="9"/>
  <c r="I1132" i="9"/>
  <c r="J1132" i="9"/>
  <c r="G1133" i="9"/>
  <c r="H1133" i="9"/>
  <c r="I1133" i="9"/>
  <c r="J1133" i="9"/>
  <c r="G1134" i="9"/>
  <c r="H1134" i="9"/>
  <c r="I1134" i="9"/>
  <c r="J1134" i="9"/>
  <c r="G1135" i="9"/>
  <c r="H1135" i="9"/>
  <c r="I1135" i="9"/>
  <c r="J1135" i="9"/>
  <c r="G1136" i="9"/>
  <c r="H1136" i="9"/>
  <c r="I1136" i="9"/>
  <c r="J1136" i="9"/>
  <c r="G1137" i="9"/>
  <c r="H1137" i="9"/>
  <c r="I1137" i="9"/>
  <c r="J1137" i="9"/>
  <c r="G1138" i="9"/>
  <c r="H1138" i="9"/>
  <c r="I1138" i="9"/>
  <c r="J1138" i="9"/>
  <c r="G1139" i="9"/>
  <c r="H1139" i="9"/>
  <c r="I1139" i="9"/>
  <c r="J1139" i="9"/>
  <c r="G1140" i="9"/>
  <c r="H1140" i="9"/>
  <c r="I1140" i="9"/>
  <c r="J1140" i="9"/>
  <c r="G1141" i="9"/>
  <c r="H1141" i="9"/>
  <c r="I1141" i="9"/>
  <c r="J1141" i="9"/>
  <c r="G1142" i="9"/>
  <c r="H1142" i="9"/>
  <c r="I1142" i="9"/>
  <c r="J1142" i="9"/>
  <c r="G1143" i="9"/>
  <c r="H1143" i="9"/>
  <c r="I1143" i="9"/>
  <c r="J1143" i="9"/>
  <c r="G1144" i="9"/>
  <c r="H1144" i="9"/>
  <c r="I1144" i="9"/>
  <c r="J1144" i="9"/>
  <c r="G1145" i="9"/>
  <c r="H1145" i="9"/>
  <c r="I1145" i="9"/>
  <c r="J1145" i="9"/>
  <c r="G1146" i="9"/>
  <c r="H1146" i="9"/>
  <c r="I1146" i="9"/>
  <c r="J1146" i="9"/>
  <c r="G1147" i="9"/>
  <c r="H1147" i="9"/>
  <c r="I1147" i="9"/>
  <c r="J1147" i="9"/>
  <c r="G1148" i="9"/>
  <c r="H1148" i="9"/>
  <c r="I1148" i="9"/>
  <c r="J1148" i="9"/>
  <c r="G1149" i="9"/>
  <c r="H1149" i="9"/>
  <c r="I1149" i="9"/>
  <c r="J1149" i="9"/>
  <c r="G1150" i="9"/>
  <c r="H1150" i="9"/>
  <c r="I1150" i="9"/>
  <c r="J1150" i="9"/>
  <c r="G1151" i="9"/>
  <c r="H1151" i="9"/>
  <c r="I1151" i="9"/>
  <c r="J1151" i="9"/>
  <c r="G1152" i="9"/>
  <c r="H1152" i="9"/>
  <c r="I1152" i="9"/>
  <c r="J1152" i="9"/>
  <c r="G1153" i="9"/>
  <c r="H1153" i="9"/>
  <c r="I1153" i="9"/>
  <c r="J1153" i="9"/>
  <c r="G1154" i="9"/>
  <c r="H1154" i="9"/>
  <c r="I1154" i="9"/>
  <c r="J1154" i="9"/>
  <c r="G1155" i="9"/>
  <c r="H1155" i="9"/>
  <c r="I1155" i="9"/>
  <c r="J1155" i="9"/>
  <c r="G1156" i="9"/>
  <c r="H1156" i="9"/>
  <c r="I1156" i="9"/>
  <c r="J1156" i="9"/>
  <c r="G1157" i="9"/>
  <c r="H1157" i="9"/>
  <c r="I1157" i="9"/>
  <c r="J1157" i="9"/>
  <c r="G1158" i="9"/>
  <c r="H1158" i="9"/>
  <c r="I1158" i="9"/>
  <c r="J1158" i="9"/>
  <c r="G1159" i="9"/>
  <c r="H1159" i="9"/>
  <c r="I1159" i="9"/>
  <c r="J1159" i="9"/>
  <c r="G1160" i="9"/>
  <c r="H1160" i="9"/>
  <c r="I1160" i="9"/>
  <c r="J1160" i="9"/>
  <c r="G1161" i="9"/>
  <c r="H1161" i="9"/>
  <c r="I1161" i="9"/>
  <c r="J1161" i="9"/>
  <c r="G1162" i="9"/>
  <c r="H1162" i="9"/>
  <c r="I1162" i="9"/>
  <c r="J1162" i="9"/>
  <c r="G1163" i="9"/>
  <c r="H1163" i="9"/>
  <c r="I1163" i="9"/>
  <c r="J1163" i="9"/>
  <c r="G1164" i="9"/>
  <c r="H1164" i="9"/>
  <c r="I1164" i="9"/>
  <c r="J1164" i="9"/>
  <c r="G1165" i="9"/>
  <c r="H1165" i="9"/>
  <c r="I1165" i="9"/>
  <c r="J1165" i="9"/>
  <c r="G1166" i="9"/>
  <c r="H1166" i="9"/>
  <c r="I1166" i="9"/>
  <c r="J1166" i="9"/>
  <c r="G1167" i="9"/>
  <c r="H1167" i="9"/>
  <c r="I1167" i="9"/>
  <c r="J1167" i="9"/>
  <c r="G1168" i="9"/>
  <c r="H1168" i="9"/>
  <c r="I1168" i="9"/>
  <c r="J1168" i="9"/>
  <c r="G1169" i="9"/>
  <c r="H1169" i="9"/>
  <c r="I1169" i="9"/>
  <c r="J1169" i="9"/>
  <c r="G1170" i="9"/>
  <c r="H1170" i="9"/>
  <c r="I1170" i="9"/>
  <c r="J1170" i="9"/>
  <c r="G1171" i="9"/>
  <c r="H1171" i="9"/>
  <c r="I1171" i="9"/>
  <c r="J1171" i="9"/>
  <c r="G1172" i="9"/>
  <c r="H1172" i="9"/>
  <c r="I1172" i="9"/>
  <c r="J1172" i="9"/>
  <c r="G1173" i="9"/>
  <c r="H1173" i="9"/>
  <c r="I1173" i="9"/>
  <c r="J1173" i="9"/>
  <c r="G1174" i="9"/>
  <c r="H1174" i="9"/>
  <c r="I1174" i="9"/>
  <c r="J1174" i="9"/>
  <c r="G1175" i="9"/>
  <c r="H1175" i="9"/>
  <c r="I1175" i="9"/>
  <c r="J1175" i="9"/>
  <c r="G1176" i="9"/>
  <c r="H1176" i="9"/>
  <c r="I1176" i="9"/>
  <c r="J1176" i="9"/>
  <c r="G1177" i="9"/>
  <c r="H1177" i="9"/>
  <c r="I1177" i="9"/>
  <c r="J1177" i="9"/>
  <c r="G1178" i="9"/>
  <c r="H1178" i="9"/>
  <c r="I1178" i="9"/>
  <c r="J1178" i="9"/>
  <c r="G1179" i="9"/>
  <c r="H1179" i="9"/>
  <c r="I1179" i="9"/>
  <c r="J1179" i="9"/>
  <c r="G1180" i="9"/>
  <c r="H1180" i="9"/>
  <c r="I1180" i="9"/>
  <c r="J1180" i="9"/>
  <c r="G1181" i="9"/>
  <c r="H1181" i="9"/>
  <c r="I1181" i="9"/>
  <c r="J1181" i="9"/>
  <c r="G1182" i="9"/>
  <c r="H1182" i="9"/>
  <c r="I1182" i="9"/>
  <c r="J1182" i="9"/>
  <c r="G1183" i="9"/>
  <c r="H1183" i="9"/>
  <c r="I1183" i="9"/>
  <c r="J1183" i="9"/>
  <c r="G1184" i="9"/>
  <c r="H1184" i="9"/>
  <c r="I1184" i="9"/>
  <c r="J1184" i="9"/>
  <c r="G1185" i="9"/>
  <c r="H1185" i="9"/>
  <c r="I1185" i="9"/>
  <c r="J1185" i="9"/>
  <c r="G1186" i="9"/>
  <c r="H1186" i="9"/>
  <c r="I1186" i="9"/>
  <c r="J1186" i="9"/>
  <c r="G1187" i="9"/>
  <c r="H1187" i="9"/>
  <c r="I1187" i="9"/>
  <c r="J1187" i="9"/>
  <c r="G1188" i="9"/>
  <c r="H1188" i="9"/>
  <c r="I1188" i="9"/>
  <c r="J1188" i="9"/>
  <c r="G1189" i="9"/>
  <c r="H1189" i="9"/>
  <c r="I1189" i="9"/>
  <c r="J1189" i="9"/>
  <c r="G1190" i="9"/>
  <c r="H1190" i="9"/>
  <c r="I1190" i="9"/>
  <c r="J1190" i="9"/>
  <c r="G1191" i="9"/>
  <c r="H1191" i="9"/>
  <c r="I1191" i="9"/>
  <c r="J1191" i="9"/>
  <c r="G1192" i="9"/>
  <c r="H1192" i="9"/>
  <c r="I1192" i="9"/>
  <c r="J1192" i="9"/>
  <c r="G1193" i="9"/>
  <c r="H1193" i="9"/>
  <c r="I1193" i="9"/>
  <c r="J1193" i="9"/>
  <c r="G1194" i="9"/>
  <c r="H1194" i="9"/>
  <c r="I1194" i="9"/>
  <c r="J1194" i="9"/>
  <c r="G1195" i="9"/>
  <c r="H1195" i="9"/>
  <c r="I1195" i="9"/>
  <c r="J1195" i="9"/>
  <c r="G1196" i="9"/>
  <c r="H1196" i="9"/>
  <c r="I1196" i="9"/>
  <c r="J1196" i="9"/>
  <c r="G1197" i="9"/>
  <c r="H1197" i="9"/>
  <c r="I1197" i="9"/>
  <c r="J1197" i="9"/>
  <c r="G1198" i="9"/>
  <c r="H1198" i="9"/>
  <c r="I1198" i="9"/>
  <c r="J1198" i="9"/>
  <c r="G1199" i="9"/>
  <c r="H1199" i="9"/>
  <c r="I1199" i="9"/>
  <c r="J1199" i="9"/>
  <c r="G1200" i="9"/>
  <c r="H1200" i="9"/>
  <c r="I1200" i="9"/>
  <c r="J1200" i="9"/>
  <c r="G1201" i="9"/>
  <c r="H1201" i="9"/>
  <c r="I1201" i="9"/>
  <c r="J1201" i="9"/>
  <c r="G1202" i="9"/>
  <c r="H1202" i="9"/>
  <c r="I1202" i="9"/>
  <c r="J1202" i="9"/>
  <c r="G1203" i="9"/>
  <c r="H1203" i="9"/>
  <c r="I1203" i="9"/>
  <c r="J1203" i="9"/>
  <c r="G1204" i="9"/>
  <c r="H1204" i="9"/>
  <c r="I1204" i="9"/>
  <c r="J1204" i="9"/>
  <c r="G1205" i="9"/>
  <c r="H1205" i="9"/>
  <c r="I1205" i="9"/>
  <c r="J1205" i="9"/>
  <c r="G1206" i="9"/>
  <c r="H1206" i="9"/>
  <c r="I1206" i="9"/>
  <c r="J1206" i="9"/>
  <c r="G1207" i="9"/>
  <c r="H1207" i="9"/>
  <c r="I1207" i="9"/>
  <c r="J1207" i="9"/>
  <c r="G1208" i="9"/>
  <c r="H1208" i="9"/>
  <c r="I1208" i="9"/>
  <c r="J1208" i="9"/>
  <c r="G1209" i="9"/>
  <c r="H1209" i="9"/>
  <c r="I1209" i="9"/>
  <c r="J1209" i="9"/>
  <c r="G1210" i="9"/>
  <c r="H1210" i="9"/>
  <c r="I1210" i="9"/>
  <c r="J1210" i="9"/>
  <c r="G1211" i="9"/>
  <c r="H1211" i="9"/>
  <c r="I1211" i="9"/>
  <c r="J1211" i="9"/>
  <c r="G1212" i="9"/>
  <c r="H1212" i="9"/>
  <c r="I1212" i="9"/>
  <c r="J1212" i="9"/>
  <c r="G1213" i="9"/>
  <c r="H1213" i="9"/>
  <c r="I1213" i="9"/>
  <c r="J1213" i="9"/>
  <c r="G1214" i="9"/>
  <c r="H1214" i="9"/>
  <c r="I1214" i="9"/>
  <c r="J1214" i="9"/>
  <c r="G1215" i="9"/>
  <c r="H1215" i="9"/>
  <c r="I1215" i="9"/>
  <c r="J1215" i="9"/>
  <c r="G1216" i="9"/>
  <c r="H1216" i="9"/>
  <c r="I1216" i="9"/>
  <c r="J1216" i="9"/>
  <c r="G1217" i="9"/>
  <c r="H1217" i="9"/>
  <c r="I1217" i="9"/>
  <c r="J1217" i="9"/>
  <c r="G1218" i="9"/>
  <c r="H1218" i="9"/>
  <c r="I1218" i="9"/>
  <c r="J1218" i="9"/>
  <c r="G1219" i="9"/>
  <c r="H1219" i="9"/>
  <c r="I1219" i="9"/>
  <c r="J1219" i="9"/>
  <c r="G1220" i="9"/>
  <c r="H1220" i="9"/>
  <c r="I1220" i="9"/>
  <c r="J1220" i="9"/>
  <c r="G1221" i="9"/>
  <c r="H1221" i="9"/>
  <c r="I1221" i="9"/>
  <c r="J1221" i="9"/>
  <c r="G1222" i="9"/>
  <c r="H1222" i="9"/>
  <c r="I1222" i="9"/>
  <c r="J1222" i="9"/>
  <c r="G1223" i="9"/>
  <c r="H1223" i="9"/>
  <c r="I1223" i="9"/>
  <c r="J1223" i="9"/>
  <c r="G1224" i="9"/>
  <c r="H1224" i="9"/>
  <c r="I1224" i="9"/>
  <c r="J1224" i="9"/>
  <c r="G1225" i="9"/>
  <c r="H1225" i="9"/>
  <c r="I1225" i="9"/>
  <c r="J1225" i="9"/>
  <c r="G1226" i="9"/>
  <c r="H1226" i="9"/>
  <c r="I1226" i="9"/>
  <c r="J1226" i="9"/>
  <c r="G1227" i="9"/>
  <c r="H1227" i="9"/>
  <c r="I1227" i="9"/>
  <c r="J1227" i="9"/>
  <c r="G1228" i="9"/>
  <c r="H1228" i="9"/>
  <c r="I1228" i="9"/>
  <c r="J1228" i="9"/>
  <c r="G1229" i="9"/>
  <c r="H1229" i="9"/>
  <c r="I1229" i="9"/>
  <c r="J1229" i="9"/>
  <c r="G1230" i="9"/>
  <c r="H1230" i="9"/>
  <c r="I1230" i="9"/>
  <c r="J1230" i="9"/>
  <c r="G1231" i="9"/>
  <c r="H1231" i="9"/>
  <c r="I1231" i="9"/>
  <c r="J1231" i="9"/>
  <c r="G1232" i="9"/>
  <c r="H1232" i="9"/>
  <c r="I1232" i="9"/>
  <c r="J1232" i="9"/>
  <c r="G1233" i="9"/>
  <c r="H1233" i="9"/>
  <c r="I1233" i="9"/>
  <c r="J1233" i="9"/>
  <c r="G1234" i="9"/>
  <c r="H1234" i="9"/>
  <c r="I1234" i="9"/>
  <c r="J1234" i="9"/>
  <c r="G1235" i="9"/>
  <c r="H1235" i="9"/>
  <c r="I1235" i="9"/>
  <c r="J1235" i="9"/>
  <c r="G1236" i="9"/>
  <c r="H1236" i="9"/>
  <c r="I1236" i="9"/>
  <c r="J1236" i="9"/>
  <c r="G1237" i="9"/>
  <c r="H1237" i="9"/>
  <c r="I1237" i="9"/>
  <c r="J1237" i="9"/>
  <c r="G1238" i="9"/>
  <c r="H1238" i="9"/>
  <c r="I1238" i="9"/>
  <c r="J1238" i="9"/>
  <c r="G1239" i="9"/>
  <c r="H1239" i="9"/>
  <c r="I1239" i="9"/>
  <c r="J1239" i="9"/>
  <c r="G1240" i="9"/>
  <c r="H1240" i="9"/>
  <c r="I1240" i="9"/>
  <c r="J1240" i="9"/>
  <c r="G1241" i="9"/>
  <c r="H1241" i="9"/>
  <c r="I1241" i="9"/>
  <c r="J1241" i="9"/>
  <c r="G1242" i="9"/>
  <c r="H1242" i="9"/>
  <c r="I1242" i="9"/>
  <c r="J1242" i="9"/>
  <c r="G1243" i="9"/>
  <c r="H1243" i="9"/>
  <c r="I1243" i="9"/>
  <c r="J1243" i="9"/>
  <c r="G1244" i="9"/>
  <c r="H1244" i="9"/>
  <c r="I1244" i="9"/>
  <c r="J1244" i="9"/>
  <c r="G1245" i="9"/>
  <c r="H1245" i="9"/>
  <c r="I1245" i="9"/>
  <c r="J1245" i="9"/>
  <c r="G1246" i="9"/>
  <c r="H1246" i="9"/>
  <c r="I1246" i="9"/>
  <c r="J1246" i="9"/>
  <c r="G1247" i="9"/>
  <c r="H1247" i="9"/>
  <c r="I1247" i="9"/>
  <c r="J1247" i="9"/>
  <c r="G1248" i="9"/>
  <c r="H1248" i="9"/>
  <c r="I1248" i="9"/>
  <c r="J1248" i="9"/>
  <c r="G1249" i="9"/>
  <c r="H1249" i="9"/>
  <c r="I1249" i="9"/>
  <c r="J1249" i="9"/>
  <c r="G1250" i="9"/>
  <c r="H1250" i="9"/>
  <c r="I1250" i="9"/>
  <c r="J1250" i="9"/>
  <c r="G1251" i="9"/>
  <c r="H1251" i="9"/>
  <c r="I1251" i="9"/>
  <c r="J1251" i="9"/>
  <c r="G1252" i="9"/>
  <c r="H1252" i="9"/>
  <c r="I1252" i="9"/>
  <c r="J1252" i="9"/>
  <c r="G1253" i="9"/>
  <c r="H1253" i="9"/>
  <c r="I1253" i="9"/>
  <c r="J1253" i="9"/>
  <c r="G1254" i="9"/>
  <c r="H1254" i="9"/>
  <c r="I1254" i="9"/>
  <c r="J1254" i="9"/>
  <c r="G1255" i="9"/>
  <c r="H1255" i="9"/>
  <c r="I1255" i="9"/>
  <c r="J1255" i="9"/>
  <c r="G1256" i="9"/>
  <c r="H1256" i="9"/>
  <c r="I1256" i="9"/>
  <c r="J1256" i="9"/>
  <c r="G1257" i="9"/>
  <c r="H1257" i="9"/>
  <c r="I1257" i="9"/>
  <c r="J1257" i="9"/>
  <c r="G1258" i="9"/>
  <c r="H1258" i="9"/>
  <c r="I1258" i="9"/>
  <c r="J1258" i="9"/>
  <c r="G1259" i="9"/>
  <c r="H1259" i="9"/>
  <c r="I1259" i="9"/>
  <c r="J1259" i="9"/>
  <c r="G1260" i="9"/>
  <c r="H1260" i="9"/>
  <c r="I1260" i="9"/>
  <c r="J1260" i="9"/>
  <c r="G1261" i="9"/>
  <c r="H1261" i="9"/>
  <c r="I1261" i="9"/>
  <c r="J1261" i="9"/>
  <c r="G1262" i="9"/>
  <c r="H1262" i="9"/>
  <c r="I1262" i="9"/>
  <c r="J1262" i="9"/>
  <c r="G1263" i="9"/>
  <c r="H1263" i="9"/>
  <c r="I1263" i="9"/>
  <c r="J1263" i="9"/>
  <c r="G1264" i="9"/>
  <c r="H1264" i="9"/>
  <c r="I1264" i="9"/>
  <c r="J1264" i="9"/>
  <c r="G1265" i="9"/>
  <c r="H1265" i="9"/>
  <c r="I1265" i="9"/>
  <c r="J1265" i="9"/>
  <c r="G1266" i="9"/>
  <c r="H1266" i="9"/>
  <c r="I1266" i="9"/>
  <c r="J1266" i="9"/>
  <c r="G1267" i="9"/>
  <c r="H1267" i="9"/>
  <c r="I1267" i="9"/>
  <c r="J1267" i="9"/>
  <c r="G1268" i="9"/>
  <c r="H1268" i="9"/>
  <c r="I1268" i="9"/>
  <c r="J1268" i="9"/>
  <c r="G1269" i="9"/>
  <c r="H1269" i="9"/>
  <c r="I1269" i="9"/>
  <c r="J1269" i="9"/>
  <c r="G1270" i="9"/>
  <c r="H1270" i="9"/>
  <c r="I1270" i="9"/>
  <c r="J1270" i="9"/>
  <c r="G1271" i="9"/>
  <c r="H1271" i="9"/>
  <c r="I1271" i="9"/>
  <c r="J1271" i="9"/>
  <c r="G1272" i="9"/>
  <c r="H1272" i="9"/>
  <c r="I1272" i="9"/>
  <c r="J1272" i="9"/>
  <c r="G1273" i="9"/>
  <c r="H1273" i="9"/>
  <c r="I1273" i="9"/>
  <c r="J1273" i="9"/>
  <c r="G1274" i="9"/>
  <c r="H1274" i="9"/>
  <c r="I1274" i="9"/>
  <c r="J1274" i="9"/>
  <c r="G1275" i="9"/>
  <c r="H1275" i="9"/>
  <c r="I1275" i="9"/>
  <c r="J1275" i="9"/>
  <c r="G1276" i="9"/>
  <c r="H1276" i="9"/>
  <c r="I1276" i="9"/>
  <c r="J1276" i="9"/>
  <c r="G1277" i="9"/>
  <c r="H1277" i="9"/>
  <c r="I1277" i="9"/>
  <c r="J1277" i="9"/>
  <c r="G1278" i="9"/>
  <c r="H1278" i="9"/>
  <c r="I1278" i="9"/>
  <c r="J1278" i="9"/>
  <c r="G1279" i="9"/>
  <c r="H1279" i="9"/>
  <c r="I1279" i="9"/>
  <c r="J1279" i="9"/>
  <c r="G1280" i="9"/>
  <c r="H1280" i="9"/>
  <c r="I1280" i="9"/>
  <c r="J1280" i="9"/>
  <c r="G1281" i="9"/>
  <c r="H1281" i="9"/>
  <c r="I1281" i="9"/>
  <c r="J1281" i="9"/>
  <c r="G1282" i="9"/>
  <c r="H1282" i="9"/>
  <c r="I1282" i="9"/>
  <c r="J1282" i="9"/>
  <c r="G1283" i="9"/>
  <c r="H1283" i="9"/>
  <c r="I1283" i="9"/>
  <c r="J1283" i="9"/>
  <c r="G1284" i="9"/>
  <c r="H1284" i="9"/>
  <c r="I1284" i="9"/>
  <c r="J1284" i="9"/>
  <c r="G1285" i="9"/>
  <c r="H1285" i="9"/>
  <c r="I1285" i="9"/>
  <c r="J1285" i="9"/>
  <c r="G1286" i="9"/>
  <c r="H1286" i="9"/>
  <c r="I1286" i="9"/>
  <c r="J1286" i="9"/>
  <c r="G1287" i="9"/>
  <c r="H1287" i="9"/>
  <c r="I1287" i="9"/>
  <c r="J1287" i="9"/>
  <c r="G1288" i="9"/>
  <c r="H1288" i="9"/>
  <c r="I1288" i="9"/>
  <c r="J1288" i="9"/>
  <c r="G1289" i="9"/>
  <c r="H1289" i="9"/>
  <c r="I1289" i="9"/>
  <c r="J1289" i="9"/>
  <c r="G1290" i="9"/>
  <c r="H1290" i="9"/>
  <c r="I1290" i="9"/>
  <c r="J1290" i="9"/>
  <c r="G1291" i="9"/>
  <c r="H1291" i="9"/>
  <c r="I1291" i="9"/>
  <c r="J1291" i="9"/>
  <c r="G1292" i="9"/>
  <c r="H1292" i="9"/>
  <c r="I1292" i="9"/>
  <c r="J1292" i="9"/>
  <c r="G1293" i="9"/>
  <c r="H1293" i="9"/>
  <c r="I1293" i="9"/>
  <c r="J1293" i="9"/>
  <c r="G1294" i="9"/>
  <c r="H1294" i="9"/>
  <c r="I1294" i="9"/>
  <c r="J1294" i="9"/>
  <c r="G1295" i="9"/>
  <c r="H1295" i="9"/>
  <c r="I1295" i="9"/>
  <c r="J1295" i="9"/>
  <c r="G1296" i="9"/>
  <c r="H1296" i="9"/>
  <c r="I1296" i="9"/>
  <c r="J1296" i="9"/>
  <c r="G1297" i="9"/>
  <c r="H1297" i="9"/>
  <c r="I1297" i="9"/>
  <c r="J1297" i="9"/>
  <c r="G1298" i="9"/>
  <c r="H1298" i="9"/>
  <c r="I1298" i="9"/>
  <c r="J1298" i="9"/>
  <c r="G1299" i="9"/>
  <c r="H1299" i="9"/>
  <c r="I1299" i="9"/>
  <c r="J1299" i="9"/>
  <c r="G1300" i="9"/>
  <c r="H1300" i="9"/>
  <c r="I1300" i="9"/>
  <c r="J1300" i="9"/>
  <c r="G1301" i="9"/>
  <c r="H1301" i="9"/>
  <c r="I1301" i="9"/>
  <c r="J1301" i="9"/>
  <c r="G1302" i="9"/>
  <c r="H1302" i="9"/>
  <c r="I1302" i="9"/>
  <c r="J1302" i="9"/>
  <c r="G1303" i="9"/>
  <c r="H1303" i="9"/>
  <c r="I1303" i="9"/>
  <c r="J1303" i="9"/>
  <c r="G1304" i="9"/>
  <c r="H1304" i="9"/>
  <c r="I1304" i="9"/>
  <c r="J1304" i="9"/>
  <c r="G1305" i="9"/>
  <c r="H1305" i="9"/>
  <c r="I1305" i="9"/>
  <c r="J1305" i="9"/>
  <c r="G1306" i="9"/>
  <c r="H1306" i="9"/>
  <c r="I1306" i="9"/>
  <c r="J1306" i="9"/>
  <c r="G1307" i="9"/>
  <c r="H1307" i="9"/>
  <c r="I1307" i="9"/>
  <c r="J1307" i="9"/>
  <c r="G1308" i="9"/>
  <c r="H1308" i="9"/>
  <c r="I1308" i="9"/>
  <c r="J1308" i="9"/>
  <c r="G1309" i="9"/>
  <c r="H1309" i="9"/>
  <c r="I1309" i="9"/>
  <c r="J1309" i="9"/>
  <c r="G1310" i="9"/>
  <c r="H1310" i="9"/>
  <c r="I1310" i="9"/>
  <c r="J1310" i="9"/>
  <c r="G1311" i="9"/>
  <c r="H1311" i="9"/>
  <c r="I1311" i="9"/>
  <c r="J1311" i="9"/>
  <c r="G1312" i="9"/>
  <c r="H1312" i="9"/>
  <c r="I1312" i="9"/>
  <c r="J1312" i="9"/>
  <c r="G1313" i="9"/>
  <c r="H1313" i="9"/>
  <c r="I1313" i="9"/>
  <c r="J1313" i="9"/>
  <c r="G1314" i="9"/>
  <c r="H1314" i="9"/>
  <c r="I1314" i="9"/>
  <c r="J1314" i="9"/>
  <c r="G1315" i="9"/>
  <c r="H1315" i="9"/>
  <c r="I1315" i="9"/>
  <c r="J1315" i="9"/>
  <c r="G1316" i="9"/>
  <c r="H1316" i="9"/>
  <c r="I1316" i="9"/>
  <c r="J1316" i="9"/>
  <c r="G1317" i="9"/>
  <c r="H1317" i="9"/>
  <c r="I1317" i="9"/>
  <c r="J1317" i="9"/>
  <c r="G1318" i="9"/>
  <c r="H1318" i="9"/>
  <c r="I1318" i="9"/>
  <c r="J1318" i="9"/>
  <c r="G1319" i="9"/>
  <c r="H1319" i="9"/>
  <c r="I1319" i="9"/>
  <c r="J1319" i="9"/>
  <c r="G1320" i="9"/>
  <c r="H1320" i="9"/>
  <c r="I1320" i="9"/>
  <c r="J1320" i="9"/>
  <c r="G1321" i="9"/>
  <c r="H1321" i="9"/>
  <c r="I1321" i="9"/>
  <c r="J1321" i="9"/>
  <c r="G1322" i="9"/>
  <c r="H1322" i="9"/>
  <c r="I1322" i="9"/>
  <c r="J1322" i="9"/>
  <c r="G1323" i="9"/>
  <c r="H1323" i="9"/>
  <c r="I1323" i="9"/>
  <c r="J1323" i="9"/>
  <c r="G1324" i="9"/>
  <c r="H1324" i="9"/>
  <c r="I1324" i="9"/>
  <c r="J1324" i="9"/>
  <c r="G1325" i="9"/>
  <c r="H1325" i="9"/>
  <c r="I1325" i="9"/>
  <c r="J1325" i="9"/>
  <c r="G1326" i="9"/>
  <c r="H1326" i="9"/>
  <c r="I1326" i="9"/>
  <c r="J1326" i="9"/>
  <c r="G1327" i="9"/>
  <c r="H1327" i="9"/>
  <c r="I1327" i="9"/>
  <c r="J1327" i="9"/>
  <c r="G1328" i="9"/>
  <c r="H1328" i="9"/>
  <c r="I1328" i="9"/>
  <c r="J1328" i="9"/>
  <c r="G1329" i="9"/>
  <c r="H1329" i="9"/>
  <c r="I1329" i="9"/>
  <c r="J1329" i="9"/>
  <c r="G1330" i="9"/>
  <c r="H1330" i="9"/>
  <c r="I1330" i="9"/>
  <c r="J1330" i="9"/>
  <c r="G1331" i="9"/>
  <c r="H1331" i="9"/>
  <c r="I1331" i="9"/>
  <c r="J1331" i="9"/>
  <c r="G1332" i="9"/>
  <c r="H1332" i="9"/>
  <c r="I1332" i="9"/>
  <c r="J1332" i="9"/>
  <c r="G1333" i="9"/>
  <c r="H1333" i="9"/>
  <c r="I1333" i="9"/>
  <c r="J1333" i="9"/>
  <c r="G1334" i="9"/>
  <c r="H1334" i="9"/>
  <c r="I1334" i="9"/>
  <c r="J1334" i="9"/>
  <c r="G1335" i="9"/>
  <c r="H1335" i="9"/>
  <c r="I1335" i="9"/>
  <c r="J1335" i="9"/>
  <c r="G1336" i="9"/>
  <c r="H1336" i="9"/>
  <c r="I1336" i="9"/>
  <c r="J1336" i="9"/>
  <c r="G1337" i="9"/>
  <c r="H1337" i="9"/>
  <c r="I1337" i="9"/>
  <c r="J1337" i="9"/>
  <c r="G1338" i="9"/>
  <c r="H1338" i="9"/>
  <c r="I1338" i="9"/>
  <c r="J1338" i="9"/>
  <c r="G1339" i="9"/>
  <c r="H1339" i="9"/>
  <c r="I1339" i="9"/>
  <c r="J1339" i="9"/>
  <c r="G1340" i="9"/>
  <c r="H1340" i="9"/>
  <c r="I1340" i="9"/>
  <c r="J1340" i="9"/>
  <c r="G1341" i="9"/>
  <c r="H1341" i="9"/>
  <c r="I1341" i="9"/>
  <c r="J1341" i="9"/>
  <c r="G1342" i="9"/>
  <c r="H1342" i="9"/>
  <c r="I1342" i="9"/>
  <c r="J1342" i="9"/>
  <c r="G1343" i="9"/>
  <c r="H1343" i="9"/>
  <c r="I1343" i="9"/>
  <c r="J1343" i="9"/>
  <c r="G1344" i="9"/>
  <c r="H1344" i="9"/>
  <c r="I1344" i="9"/>
  <c r="J1344" i="9"/>
  <c r="G1345" i="9"/>
  <c r="H1345" i="9"/>
  <c r="I1345" i="9"/>
  <c r="J1345" i="9"/>
  <c r="G1346" i="9"/>
  <c r="H1346" i="9"/>
  <c r="I1346" i="9"/>
  <c r="J1346" i="9"/>
  <c r="G1347" i="9"/>
  <c r="H1347" i="9"/>
  <c r="I1347" i="9"/>
  <c r="J1347" i="9"/>
  <c r="G1348" i="9"/>
  <c r="H1348" i="9"/>
  <c r="I1348" i="9"/>
  <c r="J1348" i="9"/>
  <c r="G1349" i="9"/>
  <c r="H1349" i="9"/>
  <c r="I1349" i="9"/>
  <c r="J1349" i="9"/>
  <c r="G1350" i="9"/>
  <c r="H1350" i="9"/>
  <c r="I1350" i="9"/>
  <c r="J1350" i="9"/>
  <c r="G1351" i="9"/>
  <c r="H1351" i="9"/>
  <c r="I1351" i="9"/>
  <c r="J1351" i="9"/>
  <c r="G1352" i="9"/>
  <c r="H1352" i="9"/>
  <c r="I1352" i="9"/>
  <c r="J1352" i="9"/>
  <c r="G1353" i="9"/>
  <c r="H1353" i="9"/>
  <c r="I1353" i="9"/>
  <c r="J1353" i="9"/>
  <c r="G1354" i="9"/>
  <c r="H1354" i="9"/>
  <c r="I1354" i="9"/>
  <c r="J1354" i="9"/>
  <c r="G1355" i="9"/>
  <c r="H1355" i="9"/>
  <c r="I1355" i="9"/>
  <c r="J1355" i="9"/>
  <c r="G1356" i="9"/>
  <c r="H1356" i="9"/>
  <c r="I1356" i="9"/>
  <c r="J1356" i="9"/>
  <c r="G1357" i="9"/>
  <c r="H1357" i="9"/>
  <c r="I1357" i="9"/>
  <c r="J1357" i="9"/>
  <c r="G1358" i="9"/>
  <c r="H1358" i="9"/>
  <c r="I1358" i="9"/>
  <c r="J1358" i="9"/>
  <c r="G1359" i="9"/>
  <c r="H1359" i="9"/>
  <c r="I1359" i="9"/>
  <c r="J1359" i="9"/>
  <c r="G1360" i="9"/>
  <c r="H1360" i="9"/>
  <c r="I1360" i="9"/>
  <c r="J1360" i="9"/>
  <c r="G1361" i="9"/>
  <c r="H1361" i="9"/>
  <c r="I1361" i="9"/>
  <c r="J1361" i="9"/>
  <c r="G1362" i="9"/>
  <c r="H1362" i="9"/>
  <c r="I1362" i="9"/>
  <c r="J1362" i="9"/>
  <c r="G1363" i="9"/>
  <c r="H1363" i="9"/>
  <c r="I1363" i="9"/>
  <c r="J1363" i="9"/>
  <c r="G1364" i="9"/>
  <c r="H1364" i="9"/>
  <c r="I1364" i="9"/>
  <c r="J1364" i="9"/>
  <c r="G1365" i="9"/>
  <c r="H1365" i="9"/>
  <c r="I1365" i="9"/>
  <c r="J1365" i="9"/>
  <c r="G1366" i="9"/>
  <c r="H1366" i="9"/>
  <c r="I1366" i="9"/>
  <c r="J1366" i="9"/>
  <c r="G1367" i="9"/>
  <c r="H1367" i="9"/>
  <c r="I1367" i="9"/>
  <c r="J1367" i="9"/>
  <c r="G1368" i="9"/>
  <c r="H1368" i="9"/>
  <c r="I1368" i="9"/>
  <c r="J1368" i="9"/>
  <c r="G1369" i="9"/>
  <c r="H1369" i="9"/>
  <c r="I1369" i="9"/>
  <c r="J1369" i="9"/>
  <c r="G1370" i="9"/>
  <c r="H1370" i="9"/>
  <c r="I1370" i="9"/>
  <c r="J1370" i="9"/>
  <c r="G1371" i="9"/>
  <c r="H1371" i="9"/>
  <c r="I1371" i="9"/>
  <c r="J1371" i="9"/>
  <c r="G1372" i="9"/>
  <c r="H1372" i="9"/>
  <c r="I1372" i="9"/>
  <c r="J1372" i="9"/>
  <c r="G1373" i="9"/>
  <c r="H1373" i="9"/>
  <c r="I1373" i="9"/>
  <c r="J1373" i="9"/>
  <c r="G1374" i="9"/>
  <c r="H1374" i="9"/>
  <c r="I1374" i="9"/>
  <c r="J1374" i="9"/>
  <c r="G1375" i="9"/>
  <c r="H1375" i="9"/>
  <c r="I1375" i="9"/>
  <c r="J1375" i="9"/>
  <c r="G1376" i="9"/>
  <c r="H1376" i="9"/>
  <c r="I1376" i="9"/>
  <c r="J1376" i="9"/>
  <c r="G1377" i="9"/>
  <c r="H1377" i="9"/>
  <c r="I1377" i="9"/>
  <c r="J1377" i="9"/>
  <c r="G1378" i="9"/>
  <c r="H1378" i="9"/>
  <c r="I1378" i="9"/>
  <c r="J1378" i="9"/>
  <c r="G1379" i="9"/>
  <c r="H1379" i="9"/>
  <c r="I1379" i="9"/>
  <c r="J1379" i="9"/>
  <c r="G1380" i="9"/>
  <c r="H1380" i="9"/>
  <c r="I1380" i="9"/>
  <c r="J1380" i="9"/>
  <c r="G1381" i="9"/>
  <c r="H1381" i="9"/>
  <c r="I1381" i="9"/>
  <c r="J1381" i="9"/>
  <c r="G1382" i="9"/>
  <c r="H1382" i="9"/>
  <c r="I1382" i="9"/>
  <c r="J1382" i="9"/>
  <c r="G1383" i="9"/>
  <c r="H1383" i="9"/>
  <c r="I1383" i="9"/>
  <c r="J1383" i="9"/>
  <c r="G1384" i="9"/>
  <c r="H1384" i="9"/>
  <c r="I1384" i="9"/>
  <c r="J1384" i="9"/>
  <c r="G1385" i="9"/>
  <c r="H1385" i="9"/>
  <c r="I1385" i="9"/>
  <c r="J1385" i="9"/>
  <c r="G1386" i="9"/>
  <c r="H1386" i="9"/>
  <c r="I1386" i="9"/>
  <c r="J1386" i="9"/>
  <c r="G1387" i="9"/>
  <c r="H1387" i="9"/>
  <c r="I1387" i="9"/>
  <c r="J1387" i="9"/>
  <c r="G1388" i="9"/>
  <c r="H1388" i="9"/>
  <c r="I1388" i="9"/>
  <c r="J1388" i="9"/>
  <c r="G1389" i="9"/>
  <c r="H1389" i="9"/>
  <c r="I1389" i="9"/>
  <c r="J1389" i="9"/>
  <c r="G1390" i="9"/>
  <c r="H1390" i="9"/>
  <c r="I1390" i="9"/>
  <c r="J1390" i="9"/>
  <c r="G1391" i="9"/>
  <c r="H1391" i="9"/>
  <c r="I1391" i="9"/>
  <c r="J1391" i="9"/>
  <c r="G1392" i="9"/>
  <c r="H1392" i="9"/>
  <c r="I1392" i="9"/>
  <c r="J1392" i="9"/>
  <c r="G1393" i="9"/>
  <c r="H1393" i="9"/>
  <c r="I1393" i="9"/>
  <c r="J1393" i="9"/>
  <c r="G1394" i="9"/>
  <c r="H1394" i="9"/>
  <c r="I1394" i="9"/>
  <c r="J1394" i="9"/>
  <c r="G1395" i="9"/>
  <c r="H1395" i="9"/>
  <c r="I1395" i="9"/>
  <c r="J1395" i="9"/>
  <c r="G1396" i="9"/>
  <c r="H1396" i="9"/>
  <c r="I1396" i="9"/>
  <c r="J1396" i="9"/>
  <c r="G1397" i="9"/>
  <c r="H1397" i="9"/>
  <c r="I1397" i="9"/>
  <c r="J1397" i="9"/>
  <c r="G1398" i="9"/>
  <c r="H1398" i="9"/>
  <c r="I1398" i="9"/>
  <c r="J1398" i="9"/>
  <c r="G1399" i="9"/>
  <c r="H1399" i="9"/>
  <c r="I1399" i="9"/>
  <c r="J1399" i="9"/>
  <c r="G1400" i="9"/>
  <c r="H1400" i="9"/>
  <c r="I1400" i="9"/>
  <c r="J1400" i="9"/>
  <c r="G1401" i="9"/>
  <c r="H1401" i="9"/>
  <c r="I1401" i="9"/>
  <c r="J1401" i="9"/>
  <c r="G1402" i="9"/>
  <c r="H1402" i="9"/>
  <c r="I1402" i="9"/>
  <c r="J1402" i="9"/>
  <c r="G1403" i="9"/>
  <c r="H1403" i="9"/>
  <c r="I1403" i="9"/>
  <c r="J1403" i="9"/>
  <c r="G1404" i="9"/>
  <c r="H1404" i="9"/>
  <c r="I1404" i="9"/>
  <c r="J1404" i="9"/>
  <c r="G1405" i="9"/>
  <c r="H1405" i="9"/>
  <c r="I1405" i="9"/>
  <c r="J1405" i="9"/>
  <c r="G1406" i="9"/>
  <c r="H1406" i="9"/>
  <c r="I1406" i="9"/>
  <c r="J1406" i="9"/>
  <c r="G1407" i="9"/>
  <c r="H1407" i="9"/>
  <c r="I1407" i="9"/>
  <c r="J1407" i="9"/>
  <c r="G1408" i="9"/>
  <c r="H1408" i="9"/>
  <c r="I1408" i="9"/>
  <c r="J1408" i="9"/>
  <c r="G1409" i="9"/>
  <c r="H1409" i="9"/>
  <c r="I1409" i="9"/>
  <c r="J1409" i="9"/>
  <c r="G1410" i="9"/>
  <c r="H1410" i="9"/>
  <c r="I1410" i="9"/>
  <c r="J1410" i="9"/>
  <c r="G1411" i="9"/>
  <c r="H1411" i="9"/>
  <c r="I1411" i="9"/>
  <c r="J1411" i="9"/>
  <c r="G1412" i="9"/>
  <c r="H1412" i="9"/>
  <c r="I1412" i="9"/>
  <c r="J1412" i="9"/>
  <c r="G1413" i="9"/>
  <c r="H1413" i="9"/>
  <c r="I1413" i="9"/>
  <c r="J1413" i="9"/>
  <c r="G1414" i="9"/>
  <c r="H1414" i="9"/>
  <c r="I1414" i="9"/>
  <c r="J1414" i="9"/>
  <c r="G1415" i="9"/>
  <c r="H1415" i="9"/>
  <c r="I1415" i="9"/>
  <c r="J1415" i="9"/>
  <c r="G1416" i="9"/>
  <c r="H1416" i="9"/>
  <c r="I1416" i="9"/>
  <c r="J1416" i="9"/>
  <c r="G1417" i="9"/>
  <c r="H1417" i="9"/>
  <c r="I1417" i="9"/>
  <c r="J1417" i="9"/>
  <c r="G1418" i="9"/>
  <c r="H1418" i="9"/>
  <c r="I1418" i="9"/>
  <c r="J1418" i="9"/>
  <c r="G1419" i="9"/>
  <c r="H1419" i="9"/>
  <c r="I1419" i="9"/>
  <c r="J1419" i="9"/>
  <c r="G1420" i="9"/>
  <c r="H1420" i="9"/>
  <c r="I1420" i="9"/>
  <c r="J1420" i="9"/>
  <c r="G1421" i="9"/>
  <c r="H1421" i="9"/>
  <c r="I1421" i="9"/>
  <c r="J1421" i="9"/>
  <c r="G1422" i="9"/>
  <c r="H1422" i="9"/>
  <c r="I1422" i="9"/>
  <c r="J1422" i="9"/>
  <c r="G1423" i="9"/>
  <c r="H1423" i="9"/>
  <c r="I1423" i="9"/>
  <c r="J1423" i="9"/>
  <c r="G1424" i="9"/>
  <c r="H1424" i="9"/>
  <c r="I1424" i="9"/>
  <c r="J1424" i="9"/>
  <c r="G1425" i="9"/>
  <c r="H1425" i="9"/>
  <c r="I1425" i="9"/>
  <c r="J1425" i="9"/>
  <c r="G1426" i="9"/>
  <c r="H1426" i="9"/>
  <c r="I1426" i="9"/>
  <c r="J1426" i="9"/>
  <c r="G1427" i="9"/>
  <c r="H1427" i="9"/>
  <c r="I1427" i="9"/>
  <c r="J1427" i="9"/>
  <c r="G1428" i="9"/>
  <c r="H1428" i="9"/>
  <c r="I1428" i="9"/>
  <c r="J1428" i="9"/>
  <c r="G1429" i="9"/>
  <c r="H1429" i="9"/>
  <c r="I1429" i="9"/>
  <c r="J1429" i="9"/>
  <c r="G1430" i="9"/>
  <c r="H1430" i="9"/>
  <c r="I1430" i="9"/>
  <c r="J1430" i="9"/>
  <c r="G1431" i="9"/>
  <c r="H1431" i="9"/>
  <c r="I1431" i="9"/>
  <c r="J1431" i="9"/>
  <c r="G1432" i="9"/>
  <c r="H1432" i="9"/>
  <c r="I1432" i="9"/>
  <c r="J1432" i="9"/>
  <c r="G1433" i="9"/>
  <c r="H1433" i="9"/>
  <c r="I1433" i="9"/>
  <c r="J1433" i="9"/>
  <c r="G1434" i="9"/>
  <c r="H1434" i="9"/>
  <c r="I1434" i="9"/>
  <c r="J1434" i="9"/>
  <c r="G1435" i="9"/>
  <c r="H1435" i="9"/>
  <c r="I1435" i="9"/>
  <c r="J1435" i="9"/>
  <c r="G1436" i="9"/>
  <c r="H1436" i="9"/>
  <c r="I1436" i="9"/>
  <c r="J1436" i="9"/>
  <c r="G1437" i="9"/>
  <c r="H1437" i="9"/>
  <c r="I1437" i="9"/>
  <c r="J1437" i="9"/>
  <c r="G1438" i="9"/>
  <c r="H1438" i="9"/>
  <c r="I1438" i="9"/>
  <c r="J1438" i="9"/>
  <c r="G1439" i="9"/>
  <c r="H1439" i="9"/>
  <c r="I1439" i="9"/>
  <c r="J1439" i="9"/>
  <c r="G1440" i="9"/>
  <c r="H1440" i="9"/>
  <c r="I1440" i="9"/>
  <c r="J1440" i="9"/>
  <c r="G1441" i="9"/>
  <c r="H1441" i="9"/>
  <c r="I1441" i="9"/>
  <c r="J1441" i="9"/>
  <c r="G1442" i="9"/>
  <c r="H1442" i="9"/>
  <c r="I1442" i="9"/>
  <c r="J1442" i="9"/>
  <c r="G1443" i="9"/>
  <c r="H1443" i="9"/>
  <c r="I1443" i="9"/>
  <c r="J1443" i="9"/>
  <c r="G1444" i="9"/>
  <c r="H1444" i="9"/>
  <c r="I1444" i="9"/>
  <c r="J1444" i="9"/>
  <c r="G1445" i="9"/>
  <c r="H1445" i="9"/>
  <c r="I1445" i="9"/>
  <c r="J1445" i="9"/>
  <c r="G1446" i="9"/>
  <c r="H1446" i="9"/>
  <c r="I1446" i="9"/>
  <c r="J1446" i="9"/>
  <c r="G1447" i="9"/>
  <c r="H1447" i="9"/>
  <c r="I1447" i="9"/>
  <c r="J1447" i="9"/>
  <c r="G1448" i="9"/>
  <c r="H1448" i="9"/>
  <c r="I1448" i="9"/>
  <c r="J1448" i="9"/>
  <c r="G1449" i="9"/>
  <c r="H1449" i="9"/>
  <c r="I1449" i="9"/>
  <c r="J1449" i="9"/>
  <c r="G1450" i="9"/>
  <c r="H1450" i="9"/>
  <c r="I1450" i="9"/>
  <c r="J1450" i="9"/>
  <c r="G1451" i="9"/>
  <c r="H1451" i="9"/>
  <c r="I1451" i="9"/>
  <c r="J1451" i="9"/>
  <c r="G1452" i="9"/>
  <c r="H1452" i="9"/>
  <c r="I1452" i="9"/>
  <c r="J1452" i="9"/>
  <c r="G1453" i="9"/>
  <c r="H1453" i="9"/>
  <c r="I1453" i="9"/>
  <c r="J1453" i="9"/>
  <c r="G1454" i="9"/>
  <c r="H1454" i="9"/>
  <c r="I1454" i="9"/>
  <c r="J1454" i="9"/>
  <c r="G1455" i="9"/>
  <c r="H1455" i="9"/>
  <c r="I1455" i="9"/>
  <c r="J1455" i="9"/>
  <c r="G1456" i="9"/>
  <c r="H1456" i="9"/>
  <c r="I1456" i="9"/>
  <c r="J1456" i="9"/>
  <c r="G1457" i="9"/>
  <c r="H1457" i="9"/>
  <c r="I1457" i="9"/>
  <c r="J1457" i="9"/>
  <c r="G1458" i="9"/>
  <c r="H1458" i="9"/>
  <c r="I1458" i="9"/>
  <c r="J1458" i="9"/>
  <c r="G1459" i="9"/>
  <c r="H1459" i="9"/>
  <c r="I1459" i="9"/>
  <c r="J1459" i="9"/>
  <c r="G1460" i="9"/>
  <c r="H1460" i="9"/>
  <c r="I1460" i="9"/>
  <c r="J1460" i="9"/>
  <c r="G1461" i="9"/>
  <c r="H1461" i="9"/>
  <c r="I1461" i="9"/>
  <c r="J1461" i="9"/>
  <c r="G1462" i="9"/>
  <c r="H1462" i="9"/>
  <c r="I1462" i="9"/>
  <c r="J1462" i="9"/>
  <c r="G1463" i="9"/>
  <c r="H1463" i="9"/>
  <c r="I1463" i="9"/>
  <c r="J1463" i="9"/>
  <c r="G1464" i="9"/>
  <c r="H1464" i="9"/>
  <c r="I1464" i="9"/>
  <c r="J1464" i="9"/>
  <c r="G1465" i="9"/>
  <c r="H1465" i="9"/>
  <c r="I1465" i="9"/>
  <c r="J1465" i="9"/>
  <c r="G1466" i="9"/>
  <c r="H1466" i="9"/>
  <c r="I1466" i="9"/>
  <c r="J1466" i="9"/>
  <c r="G1467" i="9"/>
  <c r="H1467" i="9"/>
  <c r="I1467" i="9"/>
  <c r="J1467" i="9"/>
  <c r="G1468" i="9"/>
  <c r="H1468" i="9"/>
  <c r="I1468" i="9"/>
  <c r="J1468" i="9"/>
  <c r="G1469" i="9"/>
  <c r="H1469" i="9"/>
  <c r="I1469" i="9"/>
  <c r="J1469" i="9"/>
  <c r="G1470" i="9"/>
  <c r="H1470" i="9"/>
  <c r="I1470" i="9"/>
  <c r="J1470" i="9"/>
  <c r="G1471" i="9"/>
  <c r="H1471" i="9"/>
  <c r="I1471" i="9"/>
  <c r="J1471" i="9"/>
  <c r="G1472" i="9"/>
  <c r="H1472" i="9"/>
  <c r="I1472" i="9"/>
  <c r="J1472" i="9"/>
  <c r="G1473" i="9"/>
  <c r="H1473" i="9"/>
  <c r="I1473" i="9"/>
  <c r="J1473" i="9"/>
  <c r="G1474" i="9"/>
  <c r="H1474" i="9"/>
  <c r="I1474" i="9"/>
  <c r="J1474" i="9"/>
  <c r="G1475" i="9"/>
  <c r="H1475" i="9"/>
  <c r="I1475" i="9"/>
  <c r="J1475" i="9"/>
  <c r="G1476" i="9"/>
  <c r="H1476" i="9"/>
  <c r="I1476" i="9"/>
  <c r="J1476" i="9"/>
  <c r="G1477" i="9"/>
  <c r="H1477" i="9"/>
  <c r="I1477" i="9"/>
  <c r="J1477" i="9"/>
  <c r="G1478" i="9"/>
  <c r="H1478" i="9"/>
  <c r="I1478" i="9"/>
  <c r="J1478" i="9"/>
  <c r="G1479" i="9"/>
  <c r="H1479" i="9"/>
  <c r="I1479" i="9"/>
  <c r="J1479" i="9"/>
  <c r="G1480" i="9"/>
  <c r="H1480" i="9"/>
  <c r="I1480" i="9"/>
  <c r="J1480" i="9"/>
  <c r="G1481" i="9"/>
  <c r="H1481" i="9"/>
  <c r="I1481" i="9"/>
  <c r="J1481" i="9"/>
  <c r="G1482" i="9"/>
  <c r="H1482" i="9"/>
  <c r="I1482" i="9"/>
  <c r="J1482" i="9"/>
  <c r="G1483" i="9"/>
  <c r="H1483" i="9"/>
  <c r="I1483" i="9"/>
  <c r="J1483" i="9"/>
  <c r="G1484" i="9"/>
  <c r="H1484" i="9"/>
  <c r="I1484" i="9"/>
  <c r="J1484" i="9"/>
  <c r="G1485" i="9"/>
  <c r="H1485" i="9"/>
  <c r="I1485" i="9"/>
  <c r="J1485" i="9"/>
  <c r="G1486" i="9"/>
  <c r="H1486" i="9"/>
  <c r="I1486" i="9"/>
  <c r="J1486" i="9"/>
  <c r="G1487" i="9"/>
  <c r="H1487" i="9"/>
  <c r="I1487" i="9"/>
  <c r="J1487" i="9"/>
  <c r="G1488" i="9"/>
  <c r="H1488" i="9"/>
  <c r="I1488" i="9"/>
  <c r="J1488" i="9"/>
  <c r="G1489" i="9"/>
  <c r="H1489" i="9"/>
  <c r="I1489" i="9"/>
  <c r="J1489" i="9"/>
  <c r="G1490" i="9"/>
  <c r="H1490" i="9"/>
  <c r="I1490" i="9"/>
  <c r="J1490" i="9"/>
  <c r="G1491" i="9"/>
  <c r="H1491" i="9"/>
  <c r="I1491" i="9"/>
  <c r="J1491" i="9"/>
  <c r="G1492" i="9"/>
  <c r="H1492" i="9"/>
  <c r="I1492" i="9"/>
  <c r="J1492" i="9"/>
  <c r="G1493" i="9"/>
  <c r="H1493" i="9"/>
  <c r="I1493" i="9"/>
  <c r="J1493" i="9"/>
  <c r="G1494" i="9"/>
  <c r="H1494" i="9"/>
  <c r="I1494" i="9"/>
  <c r="J1494" i="9"/>
  <c r="G1495" i="9"/>
  <c r="H1495" i="9"/>
  <c r="I1495" i="9"/>
  <c r="J1495" i="9"/>
  <c r="G1496" i="9"/>
  <c r="H1496" i="9"/>
  <c r="I1496" i="9"/>
  <c r="J1496" i="9"/>
  <c r="G1497" i="9"/>
  <c r="H1497" i="9"/>
  <c r="I1497" i="9"/>
  <c r="J1497" i="9"/>
  <c r="G1498" i="9"/>
  <c r="H1498" i="9"/>
  <c r="I1498" i="9"/>
  <c r="J1498" i="9"/>
  <c r="G1499" i="9"/>
  <c r="H1499" i="9"/>
  <c r="I1499" i="9"/>
  <c r="J1499" i="9"/>
  <c r="G1500" i="9"/>
  <c r="H1500" i="9"/>
  <c r="I1500" i="9"/>
  <c r="J1500" i="9"/>
  <c r="G1501" i="9"/>
  <c r="H1501" i="9"/>
  <c r="I1501" i="9"/>
  <c r="J1501" i="9"/>
  <c r="G1502" i="9"/>
  <c r="H1502" i="9"/>
  <c r="I1502" i="9"/>
  <c r="J1502" i="9"/>
  <c r="G1503" i="9"/>
  <c r="H1503" i="9"/>
  <c r="I1503" i="9"/>
  <c r="J1503" i="9"/>
  <c r="G1504" i="9"/>
  <c r="H1504" i="9"/>
  <c r="I1504" i="9"/>
  <c r="J1504" i="9"/>
  <c r="G1505" i="9"/>
  <c r="H1505" i="9"/>
  <c r="I1505" i="9"/>
  <c r="J1505" i="9"/>
  <c r="G1506" i="9"/>
  <c r="H1506" i="9"/>
  <c r="I1506" i="9"/>
  <c r="J1506" i="9"/>
  <c r="G1507" i="9"/>
  <c r="H1507" i="9"/>
  <c r="I1507" i="9"/>
  <c r="J1507" i="9"/>
  <c r="G1508" i="9"/>
  <c r="H1508" i="9"/>
  <c r="I1508" i="9"/>
  <c r="J1508" i="9"/>
  <c r="G1509" i="9"/>
  <c r="H1509" i="9"/>
  <c r="I1509" i="9"/>
  <c r="J1509" i="9"/>
  <c r="G1510" i="9"/>
  <c r="H1510" i="9"/>
  <c r="I1510" i="9"/>
  <c r="J1510" i="9"/>
  <c r="G1511" i="9"/>
  <c r="H1511" i="9"/>
  <c r="I1511" i="9"/>
  <c r="J1511" i="9"/>
  <c r="G1512" i="9"/>
  <c r="H1512" i="9"/>
  <c r="I1512" i="9"/>
  <c r="J1512" i="9"/>
  <c r="G1513" i="9"/>
  <c r="H1513" i="9"/>
  <c r="I1513" i="9"/>
  <c r="J1513" i="9"/>
  <c r="G1514" i="9"/>
  <c r="H1514" i="9"/>
  <c r="I1514" i="9"/>
  <c r="J1514" i="9"/>
  <c r="G1515" i="9"/>
  <c r="H1515" i="9"/>
  <c r="I1515" i="9"/>
  <c r="J1515" i="9"/>
  <c r="G1516" i="9"/>
  <c r="H1516" i="9"/>
  <c r="I1516" i="9"/>
  <c r="J1516" i="9"/>
  <c r="G1517" i="9"/>
  <c r="H1517" i="9"/>
  <c r="I1517" i="9"/>
  <c r="J1517" i="9"/>
  <c r="G1518" i="9"/>
  <c r="H1518" i="9"/>
  <c r="I1518" i="9"/>
  <c r="J1518" i="9"/>
  <c r="G1519" i="9"/>
  <c r="H1519" i="9"/>
  <c r="I1519" i="9"/>
  <c r="J1519" i="9"/>
  <c r="G1520" i="9"/>
  <c r="H1520" i="9"/>
  <c r="I1520" i="9"/>
  <c r="J1520" i="9"/>
  <c r="G1521" i="9"/>
  <c r="H1521" i="9"/>
  <c r="I1521" i="9"/>
  <c r="J1521" i="9"/>
  <c r="G1522" i="9"/>
  <c r="H1522" i="9"/>
  <c r="I1522" i="9"/>
  <c r="J1522" i="9"/>
  <c r="G1523" i="9"/>
  <c r="H1523" i="9"/>
  <c r="I1523" i="9"/>
  <c r="J1523" i="9"/>
  <c r="G1524" i="9"/>
  <c r="H1524" i="9"/>
  <c r="I1524" i="9"/>
  <c r="J1524" i="9"/>
  <c r="G1525" i="9"/>
  <c r="H1525" i="9"/>
  <c r="I1525" i="9"/>
  <c r="J1525" i="9"/>
  <c r="G1526" i="9"/>
  <c r="H1526" i="9"/>
  <c r="I1526" i="9"/>
  <c r="J1526" i="9"/>
  <c r="G1527" i="9"/>
  <c r="H1527" i="9"/>
  <c r="I1527" i="9"/>
  <c r="J1527" i="9"/>
  <c r="G1528" i="9"/>
  <c r="H1528" i="9"/>
  <c r="I1528" i="9"/>
  <c r="J1528" i="9"/>
  <c r="G1529" i="9"/>
  <c r="H1529" i="9"/>
  <c r="I1529" i="9"/>
  <c r="J1529" i="9"/>
  <c r="G1530" i="9"/>
  <c r="H1530" i="9"/>
  <c r="I1530" i="9"/>
  <c r="J1530" i="9"/>
  <c r="G1531" i="9"/>
  <c r="H1531" i="9"/>
  <c r="I1531" i="9"/>
  <c r="J1531" i="9"/>
  <c r="G1532" i="9"/>
  <c r="H1532" i="9"/>
  <c r="I1532" i="9"/>
  <c r="J1532" i="9"/>
  <c r="G1533" i="9"/>
  <c r="H1533" i="9"/>
  <c r="I1533" i="9"/>
  <c r="J1533" i="9"/>
  <c r="G1534" i="9"/>
  <c r="H1534" i="9"/>
  <c r="I1534" i="9"/>
  <c r="J1534" i="9"/>
  <c r="G1535" i="9"/>
  <c r="H1535" i="9"/>
  <c r="I1535" i="9"/>
  <c r="J1535" i="9"/>
  <c r="G1536" i="9"/>
  <c r="H1536" i="9"/>
  <c r="I1536" i="9"/>
  <c r="J1536" i="9"/>
  <c r="G1537" i="9"/>
  <c r="H1537" i="9"/>
  <c r="I1537" i="9"/>
  <c r="J1537" i="9"/>
  <c r="G1538" i="9"/>
  <c r="H1538" i="9"/>
  <c r="I1538" i="9"/>
  <c r="J1538" i="9"/>
  <c r="G1539" i="9"/>
  <c r="H1539" i="9"/>
  <c r="I1539" i="9"/>
  <c r="J1539" i="9"/>
  <c r="G1540" i="9"/>
  <c r="H1540" i="9"/>
  <c r="I1540" i="9"/>
  <c r="J1540" i="9"/>
  <c r="G1541" i="9"/>
  <c r="H1541" i="9"/>
  <c r="I1541" i="9"/>
  <c r="J1541" i="9"/>
  <c r="G1542" i="9"/>
  <c r="H1542" i="9"/>
  <c r="I1542" i="9"/>
  <c r="J1542" i="9"/>
  <c r="G1543" i="9"/>
  <c r="H1543" i="9"/>
  <c r="I1543" i="9"/>
  <c r="J1543" i="9"/>
  <c r="G1544" i="9"/>
  <c r="H1544" i="9"/>
  <c r="I1544" i="9"/>
  <c r="J1544" i="9"/>
  <c r="G1545" i="9"/>
  <c r="H1545" i="9"/>
  <c r="I1545" i="9"/>
  <c r="J1545" i="9"/>
  <c r="G1546" i="9"/>
  <c r="H1546" i="9"/>
  <c r="I1546" i="9"/>
  <c r="J1546" i="9"/>
  <c r="G1547" i="9"/>
  <c r="H1547" i="9"/>
  <c r="I1547" i="9"/>
  <c r="J1547" i="9"/>
  <c r="G1548" i="9"/>
  <c r="H1548" i="9"/>
  <c r="I1548" i="9"/>
  <c r="J1548" i="9"/>
  <c r="G1549" i="9"/>
  <c r="H1549" i="9"/>
  <c r="I1549" i="9"/>
  <c r="J1549" i="9"/>
  <c r="G1550" i="9"/>
  <c r="H1550" i="9"/>
  <c r="I1550" i="9"/>
  <c r="J1550" i="9"/>
  <c r="G1551" i="9"/>
  <c r="H1551" i="9"/>
  <c r="I1551" i="9"/>
  <c r="J1551" i="9"/>
  <c r="G1552" i="9"/>
  <c r="H1552" i="9"/>
  <c r="I1552" i="9"/>
  <c r="J1552" i="9"/>
  <c r="G1553" i="9"/>
  <c r="H1553" i="9"/>
  <c r="I1553" i="9"/>
  <c r="J1553" i="9"/>
  <c r="G1554" i="9"/>
  <c r="H1554" i="9"/>
  <c r="I1554" i="9"/>
  <c r="J1554" i="9"/>
  <c r="G1555" i="9"/>
  <c r="H1555" i="9"/>
  <c r="I1555" i="9"/>
  <c r="J1555" i="9"/>
  <c r="G1556" i="9"/>
  <c r="H1556" i="9"/>
  <c r="I1556" i="9"/>
  <c r="J1556" i="9"/>
  <c r="G1557" i="9"/>
  <c r="H1557" i="9"/>
  <c r="I1557" i="9"/>
  <c r="J1557" i="9"/>
  <c r="G1558" i="9"/>
  <c r="H1558" i="9"/>
  <c r="I1558" i="9"/>
  <c r="J1558" i="9"/>
  <c r="G1559" i="9"/>
  <c r="H1559" i="9"/>
  <c r="I1559" i="9"/>
  <c r="J1559" i="9"/>
  <c r="G1560" i="9"/>
  <c r="H1560" i="9"/>
  <c r="I1560" i="9"/>
  <c r="J1560" i="9"/>
  <c r="G1561" i="9"/>
  <c r="H1561" i="9"/>
  <c r="I1561" i="9"/>
  <c r="J1561" i="9"/>
  <c r="G1562" i="9"/>
  <c r="H1562" i="9"/>
  <c r="I1562" i="9"/>
  <c r="J1562" i="9"/>
  <c r="G1563" i="9"/>
  <c r="H1563" i="9"/>
  <c r="I1563" i="9"/>
  <c r="J1563" i="9"/>
  <c r="G1564" i="9"/>
  <c r="H1564" i="9"/>
  <c r="I1564" i="9"/>
  <c r="J1564" i="9"/>
  <c r="G1565" i="9"/>
  <c r="H1565" i="9"/>
  <c r="I1565" i="9"/>
  <c r="J1565" i="9"/>
  <c r="G1566" i="9"/>
  <c r="H1566" i="9"/>
  <c r="I1566" i="9"/>
  <c r="J1566" i="9"/>
  <c r="G1567" i="9"/>
  <c r="H1567" i="9"/>
  <c r="I1567" i="9"/>
  <c r="J1567" i="9"/>
  <c r="G1568" i="9"/>
  <c r="H1568" i="9"/>
  <c r="I1568" i="9"/>
  <c r="J1568" i="9"/>
  <c r="G1569" i="9"/>
  <c r="H1569" i="9"/>
  <c r="I1569" i="9"/>
  <c r="J1569" i="9"/>
  <c r="G1570" i="9"/>
  <c r="H1570" i="9"/>
  <c r="I1570" i="9"/>
  <c r="J1570" i="9"/>
  <c r="G1571" i="9"/>
  <c r="H1571" i="9"/>
  <c r="I1571" i="9"/>
  <c r="J1571" i="9"/>
  <c r="G1572" i="9"/>
  <c r="H1572" i="9"/>
  <c r="I1572" i="9"/>
  <c r="J1572" i="9"/>
  <c r="G1573" i="9"/>
  <c r="H1573" i="9"/>
  <c r="I1573" i="9"/>
  <c r="J1573" i="9"/>
  <c r="G1574" i="9"/>
  <c r="H1574" i="9"/>
  <c r="I1574" i="9"/>
  <c r="J1574" i="9"/>
  <c r="G1575" i="9"/>
  <c r="H1575" i="9"/>
  <c r="I1575" i="9"/>
  <c r="J1575" i="9"/>
  <c r="G1576" i="9"/>
  <c r="H1576" i="9"/>
  <c r="I1576" i="9"/>
  <c r="J1576" i="9"/>
  <c r="G1577" i="9"/>
  <c r="H1577" i="9"/>
  <c r="I1577" i="9"/>
  <c r="J1577" i="9"/>
  <c r="G1578" i="9"/>
  <c r="H1578" i="9"/>
  <c r="I1578" i="9"/>
  <c r="J1578" i="9"/>
  <c r="G1579" i="9"/>
  <c r="H1579" i="9"/>
  <c r="I1579" i="9"/>
  <c r="J1579" i="9"/>
  <c r="G1580" i="9"/>
  <c r="H1580" i="9"/>
  <c r="I1580" i="9"/>
  <c r="J1580" i="9"/>
  <c r="G1581" i="9"/>
  <c r="H1581" i="9"/>
  <c r="I1581" i="9"/>
  <c r="J1581" i="9"/>
  <c r="G1582" i="9"/>
  <c r="H1582" i="9"/>
  <c r="I1582" i="9"/>
  <c r="J1582" i="9"/>
  <c r="G1583" i="9"/>
  <c r="H1583" i="9"/>
  <c r="I1583" i="9"/>
  <c r="J1583" i="9"/>
  <c r="G1584" i="9"/>
  <c r="H1584" i="9"/>
  <c r="I1584" i="9"/>
  <c r="J1584" i="9"/>
  <c r="G1585" i="9"/>
  <c r="H1585" i="9"/>
  <c r="I1585" i="9"/>
  <c r="J1585" i="9"/>
  <c r="G1586" i="9"/>
  <c r="H1586" i="9"/>
  <c r="I1586" i="9"/>
  <c r="J1586" i="9"/>
  <c r="G1587" i="9"/>
  <c r="H1587" i="9"/>
  <c r="I1587" i="9"/>
  <c r="J1587" i="9"/>
  <c r="G1588" i="9"/>
  <c r="H1588" i="9"/>
  <c r="I1588" i="9"/>
  <c r="J1588" i="9"/>
  <c r="G1589" i="9"/>
  <c r="H1589" i="9"/>
  <c r="I1589" i="9"/>
  <c r="J1589" i="9"/>
  <c r="G1590" i="9"/>
  <c r="H1590" i="9"/>
  <c r="I1590" i="9"/>
  <c r="J1590" i="9"/>
  <c r="G1591" i="9"/>
  <c r="H1591" i="9"/>
  <c r="I1591" i="9"/>
  <c r="J1591" i="9"/>
  <c r="G1592" i="9"/>
  <c r="H1592" i="9"/>
  <c r="I1592" i="9"/>
  <c r="J1592" i="9"/>
  <c r="G1593" i="9"/>
  <c r="H1593" i="9"/>
  <c r="I1593" i="9"/>
  <c r="J1593" i="9"/>
  <c r="G1594" i="9"/>
  <c r="H1594" i="9"/>
  <c r="I1594" i="9"/>
  <c r="J1594" i="9"/>
  <c r="G1595" i="9"/>
  <c r="H1595" i="9"/>
  <c r="I1595" i="9"/>
  <c r="J1595" i="9"/>
  <c r="G1596" i="9"/>
  <c r="H1596" i="9"/>
  <c r="I1596" i="9"/>
  <c r="J1596" i="9"/>
  <c r="G1597" i="9"/>
  <c r="H1597" i="9"/>
  <c r="I1597" i="9"/>
  <c r="J1597" i="9"/>
  <c r="G1598" i="9"/>
  <c r="H1598" i="9"/>
  <c r="I1598" i="9"/>
  <c r="J1598" i="9"/>
  <c r="G1599" i="9"/>
  <c r="H1599" i="9"/>
  <c r="I1599" i="9"/>
  <c r="J1599" i="9"/>
  <c r="G1600" i="9"/>
  <c r="H1600" i="9"/>
  <c r="I1600" i="9"/>
  <c r="J1600" i="9"/>
  <c r="G1601" i="9"/>
  <c r="H1601" i="9"/>
  <c r="I1601" i="9"/>
  <c r="J1601" i="9"/>
  <c r="G1602" i="9"/>
  <c r="H1602" i="9"/>
  <c r="I1602" i="9"/>
  <c r="J1602" i="9"/>
  <c r="G1603" i="9"/>
  <c r="H1603" i="9"/>
  <c r="I1603" i="9"/>
  <c r="J1603" i="9"/>
  <c r="G1604" i="9"/>
  <c r="H1604" i="9"/>
  <c r="I1604" i="9"/>
  <c r="J1604" i="9"/>
  <c r="G1605" i="9"/>
  <c r="H1605" i="9"/>
  <c r="I1605" i="9"/>
  <c r="J1605" i="9"/>
  <c r="G1606" i="9"/>
  <c r="H1606" i="9"/>
  <c r="I1606" i="9"/>
  <c r="J1606" i="9"/>
  <c r="G1607" i="9"/>
  <c r="H1607" i="9"/>
  <c r="I1607" i="9"/>
  <c r="J1607" i="9"/>
  <c r="G1608" i="9"/>
  <c r="H1608" i="9"/>
  <c r="I1608" i="9"/>
  <c r="J1608" i="9"/>
  <c r="G1609" i="9"/>
  <c r="H1609" i="9"/>
  <c r="I1609" i="9"/>
  <c r="J1609" i="9"/>
  <c r="G1610" i="9"/>
  <c r="H1610" i="9"/>
  <c r="I1610" i="9"/>
  <c r="J1610" i="9"/>
  <c r="G1611" i="9"/>
  <c r="H1611" i="9"/>
  <c r="I1611" i="9"/>
  <c r="J1611" i="9"/>
  <c r="G1612" i="9"/>
  <c r="H1612" i="9"/>
  <c r="I1612" i="9"/>
  <c r="J1612" i="9"/>
  <c r="G1613" i="9"/>
  <c r="H1613" i="9"/>
  <c r="I1613" i="9"/>
  <c r="J1613" i="9"/>
  <c r="G1614" i="9"/>
  <c r="H1614" i="9"/>
  <c r="I1614" i="9"/>
  <c r="J1614" i="9"/>
  <c r="G1615" i="9"/>
  <c r="H1615" i="9"/>
  <c r="I1615" i="9"/>
  <c r="J1615" i="9"/>
  <c r="G1616" i="9"/>
  <c r="H1616" i="9"/>
  <c r="I1616" i="9"/>
  <c r="J1616" i="9"/>
  <c r="G1617" i="9"/>
  <c r="H1617" i="9"/>
  <c r="I1617" i="9"/>
  <c r="J1617" i="9"/>
  <c r="G1618" i="9"/>
  <c r="H1618" i="9"/>
  <c r="I1618" i="9"/>
  <c r="J1618" i="9"/>
  <c r="G1619" i="9"/>
  <c r="H1619" i="9"/>
  <c r="I1619" i="9"/>
  <c r="J1619" i="9"/>
  <c r="G1620" i="9"/>
  <c r="H1620" i="9"/>
  <c r="I1620" i="9"/>
  <c r="J1620" i="9"/>
  <c r="G1621" i="9"/>
  <c r="H1621" i="9"/>
  <c r="I1621" i="9"/>
  <c r="J1621" i="9"/>
  <c r="G1622" i="9"/>
  <c r="H1622" i="9"/>
  <c r="I1622" i="9"/>
  <c r="J1622" i="9"/>
  <c r="G1623" i="9"/>
  <c r="H1623" i="9"/>
  <c r="I1623" i="9"/>
  <c r="J1623" i="9"/>
  <c r="G1624" i="9"/>
  <c r="H1624" i="9"/>
  <c r="I1624" i="9"/>
  <c r="J1624" i="9"/>
  <c r="G1625" i="9"/>
  <c r="H1625" i="9"/>
  <c r="I1625" i="9"/>
  <c r="J1625" i="9"/>
  <c r="G1626" i="9"/>
  <c r="H1626" i="9"/>
  <c r="I1626" i="9"/>
  <c r="J1626" i="9"/>
  <c r="G1627" i="9"/>
  <c r="H1627" i="9"/>
  <c r="I1627" i="9"/>
  <c r="J1627" i="9"/>
  <c r="G1628" i="9"/>
  <c r="H1628" i="9"/>
  <c r="I1628" i="9"/>
  <c r="J1628" i="9"/>
  <c r="G1629" i="9"/>
  <c r="H1629" i="9"/>
  <c r="I1629" i="9"/>
  <c r="J1629" i="9"/>
  <c r="G1630" i="9"/>
  <c r="H1630" i="9"/>
  <c r="I1630" i="9"/>
  <c r="J1630" i="9"/>
  <c r="G1631" i="9"/>
  <c r="H1631" i="9"/>
  <c r="I1631" i="9"/>
  <c r="J1631" i="9"/>
  <c r="G1632" i="9"/>
  <c r="H1632" i="9"/>
  <c r="I1632" i="9"/>
  <c r="J1632" i="9"/>
  <c r="G1633" i="9"/>
  <c r="H1633" i="9"/>
  <c r="I1633" i="9"/>
  <c r="J1633" i="9"/>
  <c r="G1634" i="9"/>
  <c r="H1634" i="9"/>
  <c r="I1634" i="9"/>
  <c r="J1634" i="9"/>
  <c r="G1635" i="9"/>
  <c r="H1635" i="9"/>
  <c r="I1635" i="9"/>
  <c r="J1635" i="9"/>
  <c r="G1636" i="9"/>
  <c r="H1636" i="9"/>
  <c r="I1636" i="9"/>
  <c r="J1636" i="9"/>
  <c r="G1637" i="9"/>
  <c r="H1637" i="9"/>
  <c r="I1637" i="9"/>
  <c r="J1637" i="9"/>
  <c r="G1638" i="9"/>
  <c r="H1638" i="9"/>
  <c r="I1638" i="9"/>
  <c r="J1638" i="9"/>
  <c r="G1639" i="9"/>
  <c r="H1639" i="9"/>
  <c r="I1639" i="9"/>
  <c r="J1639" i="9"/>
  <c r="G1640" i="9"/>
  <c r="H1640" i="9"/>
  <c r="I1640" i="9"/>
  <c r="J1640" i="9"/>
  <c r="G1641" i="9"/>
  <c r="H1641" i="9"/>
  <c r="I1641" i="9"/>
  <c r="J1641" i="9"/>
  <c r="G1642" i="9"/>
  <c r="H1642" i="9"/>
  <c r="I1642" i="9"/>
  <c r="J1642" i="9"/>
  <c r="G1643" i="9"/>
  <c r="H1643" i="9"/>
  <c r="I1643" i="9"/>
  <c r="J1643" i="9"/>
  <c r="G1644" i="9"/>
  <c r="H1644" i="9"/>
  <c r="I1644" i="9"/>
  <c r="J1644" i="9"/>
  <c r="G1645" i="9"/>
  <c r="H1645" i="9"/>
  <c r="I1645" i="9"/>
  <c r="J1645" i="9"/>
  <c r="G1646" i="9"/>
  <c r="H1646" i="9"/>
  <c r="I1646" i="9"/>
  <c r="J1646" i="9"/>
  <c r="G1647" i="9"/>
  <c r="H1647" i="9"/>
  <c r="I1647" i="9"/>
  <c r="J1647" i="9"/>
  <c r="G1648" i="9"/>
  <c r="H1648" i="9"/>
  <c r="I1648" i="9"/>
  <c r="J1648" i="9"/>
  <c r="G1649" i="9"/>
  <c r="H1649" i="9"/>
  <c r="I1649" i="9"/>
  <c r="J1649" i="9"/>
  <c r="G1650" i="9"/>
  <c r="H1650" i="9"/>
  <c r="I1650" i="9"/>
  <c r="J1650" i="9"/>
  <c r="G1651" i="9"/>
  <c r="H1651" i="9"/>
  <c r="I1651" i="9"/>
  <c r="J1651" i="9"/>
  <c r="G1652" i="9"/>
  <c r="H1652" i="9"/>
  <c r="I1652" i="9"/>
  <c r="J1652" i="9"/>
  <c r="G1653" i="9"/>
  <c r="H1653" i="9"/>
  <c r="I1653" i="9"/>
  <c r="J1653" i="9"/>
  <c r="G1654" i="9"/>
  <c r="H1654" i="9"/>
  <c r="I1654" i="9"/>
  <c r="J1654" i="9"/>
  <c r="G1655" i="9"/>
  <c r="H1655" i="9"/>
  <c r="I1655" i="9"/>
  <c r="J1655" i="9"/>
  <c r="G1656" i="9"/>
  <c r="H1656" i="9"/>
  <c r="I1656" i="9"/>
  <c r="J1656" i="9"/>
  <c r="G1657" i="9"/>
  <c r="H1657" i="9"/>
  <c r="I1657" i="9"/>
  <c r="J1657" i="9"/>
  <c r="G1658" i="9"/>
  <c r="H1658" i="9"/>
  <c r="I1658" i="9"/>
  <c r="J1658" i="9"/>
  <c r="G1659" i="9"/>
  <c r="H1659" i="9"/>
  <c r="I1659" i="9"/>
  <c r="J1659" i="9"/>
  <c r="G1660" i="9"/>
  <c r="H1660" i="9"/>
  <c r="I1660" i="9"/>
  <c r="J1660" i="9"/>
  <c r="G1661" i="9"/>
  <c r="H1661" i="9"/>
  <c r="I1661" i="9"/>
  <c r="J1661" i="9"/>
  <c r="G1662" i="9"/>
  <c r="H1662" i="9"/>
  <c r="I1662" i="9"/>
  <c r="J1662" i="9"/>
  <c r="G1663" i="9"/>
  <c r="H1663" i="9"/>
  <c r="I1663" i="9"/>
  <c r="J1663" i="9"/>
  <c r="G1664" i="9"/>
  <c r="H1664" i="9"/>
  <c r="I1664" i="9"/>
  <c r="J1664" i="9"/>
  <c r="G1665" i="9"/>
  <c r="H1665" i="9"/>
  <c r="I1665" i="9"/>
  <c r="J1665" i="9"/>
  <c r="G1666" i="9"/>
  <c r="H1666" i="9"/>
  <c r="I1666" i="9"/>
  <c r="J1666" i="9"/>
  <c r="G1667" i="9"/>
  <c r="H1667" i="9"/>
  <c r="I1667" i="9"/>
  <c r="J1667" i="9"/>
  <c r="G1668" i="9"/>
  <c r="H1668" i="9"/>
  <c r="I1668" i="9"/>
  <c r="J1668" i="9"/>
  <c r="G1669" i="9"/>
  <c r="H1669" i="9"/>
  <c r="I1669" i="9"/>
  <c r="J1669" i="9"/>
  <c r="G1670" i="9"/>
  <c r="H1670" i="9"/>
  <c r="I1670" i="9"/>
  <c r="J1670" i="9"/>
  <c r="G1671" i="9"/>
  <c r="H1671" i="9"/>
  <c r="I1671" i="9"/>
  <c r="J1671" i="9"/>
  <c r="G1672" i="9"/>
  <c r="H1672" i="9"/>
  <c r="I1672" i="9"/>
  <c r="J1672" i="9"/>
  <c r="G1673" i="9"/>
  <c r="H1673" i="9"/>
  <c r="I1673" i="9"/>
  <c r="J1673" i="9"/>
  <c r="G1674" i="9"/>
  <c r="H1674" i="9"/>
  <c r="I1674" i="9"/>
  <c r="J1674" i="9"/>
  <c r="G1675" i="9"/>
  <c r="H1675" i="9"/>
  <c r="I1675" i="9"/>
  <c r="J1675" i="9"/>
  <c r="G1676" i="9"/>
  <c r="H1676" i="9"/>
  <c r="I1676" i="9"/>
  <c r="J1676" i="9"/>
  <c r="G1677" i="9"/>
  <c r="H1677" i="9"/>
  <c r="I1677" i="9"/>
  <c r="J1677" i="9"/>
  <c r="G1678" i="9"/>
  <c r="H1678" i="9"/>
  <c r="I1678" i="9"/>
  <c r="J1678" i="9"/>
  <c r="G1679" i="9"/>
  <c r="H1679" i="9"/>
  <c r="I1679" i="9"/>
  <c r="J1679" i="9"/>
  <c r="G1680" i="9"/>
  <c r="H1680" i="9"/>
  <c r="I1680" i="9"/>
  <c r="J1680" i="9"/>
  <c r="G1681" i="9"/>
  <c r="H1681" i="9"/>
  <c r="I1681" i="9"/>
  <c r="J1681" i="9"/>
  <c r="G1682" i="9"/>
  <c r="H1682" i="9"/>
  <c r="I1682" i="9"/>
  <c r="J1682" i="9"/>
  <c r="G1683" i="9"/>
  <c r="H1683" i="9"/>
  <c r="I1683" i="9"/>
  <c r="J1683" i="9"/>
  <c r="G1684" i="9"/>
  <c r="H1684" i="9"/>
  <c r="I1684" i="9"/>
  <c r="J1684" i="9"/>
  <c r="G1685" i="9"/>
  <c r="H1685" i="9"/>
  <c r="I1685" i="9"/>
  <c r="J1685" i="9"/>
  <c r="G1686" i="9"/>
  <c r="H1686" i="9"/>
  <c r="I1686" i="9"/>
  <c r="J1686" i="9"/>
  <c r="G1687" i="9"/>
  <c r="H1687" i="9"/>
  <c r="I1687" i="9"/>
  <c r="J1687" i="9"/>
  <c r="G1688" i="9"/>
  <c r="H1688" i="9"/>
  <c r="I1688" i="9"/>
  <c r="J1688" i="9"/>
  <c r="G1689" i="9"/>
  <c r="H1689" i="9"/>
  <c r="I1689" i="9"/>
  <c r="J1689" i="9"/>
  <c r="G1690" i="9"/>
  <c r="H1690" i="9"/>
  <c r="I1690" i="9"/>
  <c r="J1690" i="9"/>
  <c r="G1691" i="9"/>
  <c r="H1691" i="9"/>
  <c r="I1691" i="9"/>
  <c r="J1691" i="9"/>
  <c r="G1692" i="9"/>
  <c r="H1692" i="9"/>
  <c r="I1692" i="9"/>
  <c r="J1692" i="9"/>
  <c r="G1693" i="9"/>
  <c r="H1693" i="9"/>
  <c r="I1693" i="9"/>
  <c r="J1693" i="9"/>
  <c r="G1694" i="9"/>
  <c r="H1694" i="9"/>
  <c r="I1694" i="9"/>
  <c r="J1694" i="9"/>
  <c r="G1695" i="9"/>
  <c r="H1695" i="9"/>
  <c r="I1695" i="9"/>
  <c r="J1695" i="9"/>
  <c r="G1696" i="9"/>
  <c r="H1696" i="9"/>
  <c r="I1696" i="9"/>
  <c r="J1696" i="9"/>
  <c r="G1697" i="9"/>
  <c r="H1697" i="9"/>
  <c r="I1697" i="9"/>
  <c r="J1697" i="9"/>
  <c r="G1698" i="9"/>
  <c r="H1698" i="9"/>
  <c r="I1698" i="9"/>
  <c r="J1698" i="9"/>
  <c r="G1699" i="9"/>
  <c r="H1699" i="9"/>
  <c r="I1699" i="9"/>
  <c r="J1699" i="9"/>
  <c r="G1700" i="9"/>
  <c r="H1700" i="9"/>
  <c r="I1700" i="9"/>
  <c r="J1700" i="9"/>
  <c r="G1701" i="9"/>
  <c r="H1701" i="9"/>
  <c r="I1701" i="9"/>
  <c r="J1701" i="9"/>
  <c r="G1702" i="9"/>
  <c r="H1702" i="9"/>
  <c r="I1702" i="9"/>
  <c r="J1702" i="9"/>
  <c r="G1703" i="9"/>
  <c r="H1703" i="9"/>
  <c r="I1703" i="9"/>
  <c r="J1703" i="9"/>
  <c r="G1704" i="9"/>
  <c r="H1704" i="9"/>
  <c r="I1704" i="9"/>
  <c r="J1704" i="9"/>
  <c r="G1705" i="9"/>
  <c r="H1705" i="9"/>
  <c r="I1705" i="9"/>
  <c r="J1705" i="9"/>
  <c r="G1706" i="9"/>
  <c r="H1706" i="9"/>
  <c r="I1706" i="9"/>
  <c r="J1706" i="9"/>
  <c r="G1707" i="9"/>
  <c r="H1707" i="9"/>
  <c r="I1707" i="9"/>
  <c r="J1707" i="9"/>
  <c r="G1708" i="9"/>
  <c r="H1708" i="9"/>
  <c r="I1708" i="9"/>
  <c r="J1708" i="9"/>
  <c r="G1709" i="9"/>
  <c r="H1709" i="9"/>
  <c r="I1709" i="9"/>
  <c r="J1709" i="9"/>
  <c r="G1710" i="9"/>
  <c r="H1710" i="9"/>
  <c r="I1710" i="9"/>
  <c r="J1710" i="9"/>
  <c r="G1711" i="9"/>
  <c r="H1711" i="9"/>
  <c r="I1711" i="9"/>
  <c r="J1711" i="9"/>
  <c r="G1712" i="9"/>
  <c r="H1712" i="9"/>
  <c r="I1712" i="9"/>
  <c r="J1712" i="9"/>
  <c r="G1713" i="9"/>
  <c r="H1713" i="9"/>
  <c r="I1713" i="9"/>
  <c r="J1713" i="9"/>
  <c r="G1714" i="9"/>
  <c r="H1714" i="9"/>
  <c r="I1714" i="9"/>
  <c r="J1714" i="9"/>
  <c r="G1715" i="9"/>
  <c r="H1715" i="9"/>
  <c r="I1715" i="9"/>
  <c r="J1715" i="9"/>
  <c r="G1716" i="9"/>
  <c r="H1716" i="9"/>
  <c r="I1716" i="9"/>
  <c r="J1716" i="9"/>
  <c r="G1717" i="9"/>
  <c r="H1717" i="9"/>
  <c r="I1717" i="9"/>
  <c r="J1717" i="9"/>
  <c r="G1718" i="9"/>
  <c r="H1718" i="9"/>
  <c r="I1718" i="9"/>
  <c r="J1718" i="9"/>
  <c r="G1719" i="9"/>
  <c r="H1719" i="9"/>
  <c r="I1719" i="9"/>
  <c r="J1719" i="9"/>
  <c r="G1720" i="9"/>
  <c r="H1720" i="9"/>
  <c r="I1720" i="9"/>
  <c r="J1720" i="9"/>
  <c r="G1721" i="9"/>
  <c r="H1721" i="9"/>
  <c r="I1721" i="9"/>
  <c r="J1721" i="9"/>
  <c r="G1722" i="9"/>
  <c r="H1722" i="9"/>
  <c r="I1722" i="9"/>
  <c r="J1722" i="9"/>
  <c r="G1723" i="9"/>
  <c r="H1723" i="9"/>
  <c r="I1723" i="9"/>
  <c r="J1723" i="9"/>
  <c r="G1724" i="9"/>
  <c r="H1724" i="9"/>
  <c r="I1724" i="9"/>
  <c r="J1724" i="9"/>
  <c r="G1725" i="9"/>
  <c r="H1725" i="9"/>
  <c r="I1725" i="9"/>
  <c r="J1725" i="9"/>
  <c r="G1726" i="9"/>
  <c r="H1726" i="9"/>
  <c r="I1726" i="9"/>
  <c r="J1726" i="9"/>
  <c r="G1727" i="9"/>
  <c r="H1727" i="9"/>
  <c r="I1727" i="9"/>
  <c r="J1727" i="9"/>
  <c r="G1728" i="9"/>
  <c r="H1728" i="9"/>
  <c r="I1728" i="9"/>
  <c r="J1728" i="9"/>
  <c r="G1729" i="9"/>
  <c r="H1729" i="9"/>
  <c r="I1729" i="9"/>
  <c r="J1729" i="9"/>
  <c r="G1730" i="9"/>
  <c r="H1730" i="9"/>
  <c r="I1730" i="9"/>
  <c r="J1730" i="9"/>
  <c r="G1731" i="9"/>
  <c r="H1731" i="9"/>
  <c r="I1731" i="9"/>
  <c r="J1731" i="9"/>
  <c r="G1732" i="9"/>
  <c r="H1732" i="9"/>
  <c r="I1732" i="9"/>
  <c r="J1732" i="9"/>
  <c r="G1733" i="9"/>
  <c r="H1733" i="9"/>
  <c r="I1733" i="9"/>
  <c r="J1733" i="9"/>
  <c r="G1734" i="9"/>
  <c r="H1734" i="9"/>
  <c r="I1734" i="9"/>
  <c r="J1734" i="9"/>
  <c r="G1735" i="9"/>
  <c r="H1735" i="9"/>
  <c r="I1735" i="9"/>
  <c r="J1735" i="9"/>
  <c r="G1736" i="9"/>
  <c r="H1736" i="9"/>
  <c r="I1736" i="9"/>
  <c r="J1736" i="9"/>
  <c r="G1737" i="9"/>
  <c r="H1737" i="9"/>
  <c r="I1737" i="9"/>
  <c r="J1737" i="9"/>
  <c r="G1738" i="9"/>
  <c r="H1738" i="9"/>
  <c r="I1738" i="9"/>
  <c r="J1738" i="9"/>
  <c r="G1739" i="9"/>
  <c r="H1739" i="9"/>
  <c r="I1739" i="9"/>
  <c r="J1739" i="9"/>
  <c r="G1740" i="9"/>
  <c r="H1740" i="9"/>
  <c r="I1740" i="9"/>
  <c r="J1740" i="9"/>
  <c r="G1741" i="9"/>
  <c r="H1741" i="9"/>
  <c r="I1741" i="9"/>
  <c r="J1741" i="9"/>
  <c r="G1742" i="9"/>
  <c r="H1742" i="9"/>
  <c r="I1742" i="9"/>
  <c r="J1742" i="9"/>
  <c r="G1743" i="9"/>
  <c r="H1743" i="9"/>
  <c r="I1743" i="9"/>
  <c r="J1743" i="9"/>
  <c r="G1744" i="9"/>
  <c r="H1744" i="9"/>
  <c r="I1744" i="9"/>
  <c r="J1744" i="9"/>
  <c r="G1745" i="9"/>
  <c r="H1745" i="9"/>
  <c r="I1745" i="9"/>
  <c r="J1745" i="9"/>
  <c r="G1746" i="9"/>
  <c r="H1746" i="9"/>
  <c r="I1746" i="9"/>
  <c r="J1746" i="9"/>
  <c r="G1747" i="9"/>
  <c r="H1747" i="9"/>
  <c r="I1747" i="9"/>
  <c r="J1747" i="9"/>
  <c r="G1748" i="9"/>
  <c r="H1748" i="9"/>
  <c r="I1748" i="9"/>
  <c r="J1748" i="9"/>
  <c r="G1749" i="9"/>
  <c r="H1749" i="9"/>
  <c r="I1749" i="9"/>
  <c r="J1749" i="9"/>
  <c r="G1750" i="9"/>
  <c r="H1750" i="9"/>
  <c r="I1750" i="9"/>
  <c r="J1750" i="9"/>
  <c r="G1751" i="9"/>
  <c r="H1751" i="9"/>
  <c r="I1751" i="9"/>
  <c r="J1751" i="9"/>
  <c r="G1752" i="9"/>
  <c r="H1752" i="9"/>
  <c r="I1752" i="9"/>
  <c r="J1752" i="9"/>
  <c r="G1753" i="9"/>
  <c r="H1753" i="9"/>
  <c r="I1753" i="9"/>
  <c r="J1753" i="9"/>
  <c r="G1754" i="9"/>
  <c r="H1754" i="9"/>
  <c r="I1754" i="9"/>
  <c r="J1754" i="9"/>
  <c r="G1755" i="9"/>
  <c r="H1755" i="9"/>
  <c r="I1755" i="9"/>
  <c r="J1755" i="9"/>
  <c r="G1756" i="9"/>
  <c r="H1756" i="9"/>
  <c r="I1756" i="9"/>
  <c r="J1756" i="9"/>
  <c r="G1757" i="9"/>
  <c r="H1757" i="9"/>
  <c r="I1757" i="9"/>
  <c r="J1757" i="9"/>
  <c r="G1758" i="9"/>
  <c r="H1758" i="9"/>
  <c r="I1758" i="9"/>
  <c r="J1758" i="9"/>
  <c r="G1759" i="9"/>
  <c r="H1759" i="9"/>
  <c r="I1759" i="9"/>
  <c r="J1759" i="9"/>
  <c r="G1760" i="9"/>
  <c r="H1760" i="9"/>
  <c r="I1760" i="9"/>
  <c r="J1760" i="9"/>
  <c r="G1761" i="9"/>
  <c r="H1761" i="9"/>
  <c r="I1761" i="9"/>
  <c r="J1761" i="9"/>
  <c r="G1762" i="9"/>
  <c r="H1762" i="9"/>
  <c r="I1762" i="9"/>
  <c r="J1762" i="9"/>
  <c r="G1763" i="9"/>
  <c r="H1763" i="9"/>
  <c r="I1763" i="9"/>
  <c r="J1763" i="9"/>
  <c r="G1764" i="9"/>
  <c r="H1764" i="9"/>
  <c r="I1764" i="9"/>
  <c r="J1764" i="9"/>
  <c r="G1765" i="9"/>
  <c r="H1765" i="9"/>
  <c r="I1765" i="9"/>
  <c r="J1765" i="9"/>
  <c r="G1766" i="9"/>
  <c r="H1766" i="9"/>
  <c r="I1766" i="9"/>
  <c r="J1766" i="9"/>
  <c r="G1767" i="9"/>
  <c r="H1767" i="9"/>
  <c r="I1767" i="9"/>
  <c r="J1767" i="9"/>
  <c r="G1768" i="9"/>
  <c r="H1768" i="9"/>
  <c r="I1768" i="9"/>
  <c r="J1768" i="9"/>
  <c r="G1769" i="9"/>
  <c r="H1769" i="9"/>
  <c r="I1769" i="9"/>
  <c r="J1769" i="9"/>
  <c r="G1770" i="9"/>
  <c r="H1770" i="9"/>
  <c r="I1770" i="9"/>
  <c r="J1770" i="9"/>
  <c r="G1771" i="9"/>
  <c r="H1771" i="9"/>
  <c r="I1771" i="9"/>
  <c r="J1771" i="9"/>
  <c r="G1772" i="9"/>
  <c r="H1772" i="9"/>
  <c r="I1772" i="9"/>
  <c r="J1772" i="9"/>
  <c r="G1773" i="9"/>
  <c r="H1773" i="9"/>
  <c r="I1773" i="9"/>
  <c r="J1773" i="9"/>
  <c r="G1774" i="9"/>
  <c r="H1774" i="9"/>
  <c r="I1774" i="9"/>
  <c r="J1774" i="9"/>
  <c r="G1775" i="9"/>
  <c r="H1775" i="9"/>
  <c r="I1775" i="9"/>
  <c r="J1775" i="9"/>
  <c r="G1776" i="9"/>
  <c r="H1776" i="9"/>
  <c r="I1776" i="9"/>
  <c r="J1776" i="9"/>
  <c r="G1777" i="9"/>
  <c r="H1777" i="9"/>
  <c r="I1777" i="9"/>
  <c r="J1777" i="9"/>
  <c r="G1778" i="9"/>
  <c r="H1778" i="9"/>
  <c r="I1778" i="9"/>
  <c r="J1778" i="9"/>
  <c r="G1779" i="9"/>
  <c r="H1779" i="9"/>
  <c r="I1779" i="9"/>
  <c r="J1779" i="9"/>
  <c r="G1780" i="9"/>
  <c r="H1780" i="9"/>
  <c r="I1780" i="9"/>
  <c r="J1780" i="9"/>
  <c r="G1781" i="9"/>
  <c r="H1781" i="9"/>
  <c r="I1781" i="9"/>
  <c r="J1781" i="9"/>
  <c r="G1782" i="9"/>
  <c r="H1782" i="9"/>
  <c r="I1782" i="9"/>
  <c r="J1782" i="9"/>
  <c r="G1783" i="9"/>
  <c r="H1783" i="9"/>
  <c r="I1783" i="9"/>
  <c r="J1783" i="9"/>
  <c r="G1784" i="9"/>
  <c r="H1784" i="9"/>
  <c r="I1784" i="9"/>
  <c r="J1784" i="9"/>
  <c r="G1785" i="9"/>
  <c r="H1785" i="9"/>
  <c r="I1785" i="9"/>
  <c r="J1785" i="9"/>
  <c r="G1786" i="9"/>
  <c r="H1786" i="9"/>
  <c r="I1786" i="9"/>
  <c r="J1786" i="9"/>
  <c r="G1787" i="9"/>
  <c r="H1787" i="9"/>
  <c r="I1787" i="9"/>
  <c r="J1787" i="9"/>
  <c r="G1788" i="9"/>
  <c r="H1788" i="9"/>
  <c r="I1788" i="9"/>
  <c r="J1788" i="9"/>
  <c r="G1789" i="9"/>
  <c r="H1789" i="9"/>
  <c r="I1789" i="9"/>
  <c r="J1789" i="9"/>
  <c r="G1790" i="9"/>
  <c r="H1790" i="9"/>
  <c r="I1790" i="9"/>
  <c r="J1790" i="9"/>
  <c r="G1791" i="9"/>
  <c r="H1791" i="9"/>
  <c r="I1791" i="9"/>
  <c r="J1791" i="9"/>
  <c r="G1792" i="9"/>
  <c r="H1792" i="9"/>
  <c r="I1792" i="9"/>
  <c r="J1792" i="9"/>
  <c r="G1793" i="9"/>
  <c r="H1793" i="9"/>
  <c r="I1793" i="9"/>
  <c r="J1793" i="9"/>
  <c r="G1794" i="9"/>
  <c r="H1794" i="9"/>
  <c r="I1794" i="9"/>
  <c r="J1794" i="9"/>
  <c r="G1795" i="9"/>
  <c r="H1795" i="9"/>
  <c r="I1795" i="9"/>
  <c r="J1795" i="9"/>
  <c r="G1796" i="9"/>
  <c r="H1796" i="9"/>
  <c r="I1796" i="9"/>
  <c r="J1796" i="9"/>
  <c r="G1797" i="9"/>
  <c r="H1797" i="9"/>
  <c r="I1797" i="9"/>
  <c r="J1797" i="9"/>
  <c r="G1798" i="9"/>
  <c r="H1798" i="9"/>
  <c r="I1798" i="9"/>
  <c r="J1798" i="9"/>
  <c r="G1799" i="9"/>
  <c r="H1799" i="9"/>
  <c r="I1799" i="9"/>
  <c r="J1799" i="9"/>
  <c r="G1800" i="9"/>
  <c r="H1800" i="9"/>
  <c r="I1800" i="9"/>
  <c r="J1800" i="9"/>
  <c r="G1801" i="9"/>
  <c r="H1801" i="9"/>
  <c r="I1801" i="9"/>
  <c r="J1801" i="9"/>
  <c r="G1802" i="9"/>
  <c r="H1802" i="9"/>
  <c r="I1802" i="9"/>
  <c r="J1802" i="9"/>
  <c r="G1803" i="9"/>
  <c r="H1803" i="9"/>
  <c r="I1803" i="9"/>
  <c r="J1803" i="9"/>
  <c r="G1804" i="9"/>
  <c r="H1804" i="9"/>
  <c r="I1804" i="9"/>
  <c r="J1804" i="9"/>
  <c r="G1805" i="9"/>
  <c r="H1805" i="9"/>
  <c r="I1805" i="9"/>
  <c r="J1805" i="9"/>
  <c r="G1806" i="9"/>
  <c r="H1806" i="9"/>
  <c r="I1806" i="9"/>
  <c r="J1806" i="9"/>
  <c r="G1807" i="9"/>
  <c r="H1807" i="9"/>
  <c r="I1807" i="9"/>
  <c r="J1807" i="9"/>
  <c r="G1808" i="9"/>
  <c r="H1808" i="9"/>
  <c r="I1808" i="9"/>
  <c r="J1808" i="9"/>
  <c r="G1809" i="9"/>
  <c r="H1809" i="9"/>
  <c r="I1809" i="9"/>
  <c r="J1809" i="9"/>
  <c r="G1810" i="9"/>
  <c r="H1810" i="9"/>
  <c r="I1810" i="9"/>
  <c r="J1810" i="9"/>
  <c r="G1811" i="9"/>
  <c r="H1811" i="9"/>
  <c r="I1811" i="9"/>
  <c r="J1811" i="9"/>
  <c r="G1812" i="9"/>
  <c r="H1812" i="9"/>
  <c r="I1812" i="9"/>
  <c r="J1812" i="9"/>
  <c r="G1813" i="9"/>
  <c r="H1813" i="9"/>
  <c r="I1813" i="9"/>
  <c r="J1813" i="9"/>
  <c r="G1814" i="9"/>
  <c r="H1814" i="9"/>
  <c r="I1814" i="9"/>
  <c r="J1814" i="9"/>
  <c r="G1815" i="9"/>
  <c r="H1815" i="9"/>
  <c r="I1815" i="9"/>
  <c r="J1815" i="9"/>
  <c r="G1816" i="9"/>
  <c r="H1816" i="9"/>
  <c r="I1816" i="9"/>
  <c r="J1816" i="9"/>
  <c r="G1817" i="9"/>
  <c r="H1817" i="9"/>
  <c r="I1817" i="9"/>
  <c r="J1817" i="9"/>
  <c r="G1818" i="9"/>
  <c r="H1818" i="9"/>
  <c r="I1818" i="9"/>
  <c r="J1818" i="9"/>
  <c r="G1819" i="9"/>
  <c r="H1819" i="9"/>
  <c r="I1819" i="9"/>
  <c r="J1819" i="9"/>
  <c r="G1820" i="9"/>
  <c r="H1820" i="9"/>
  <c r="I1820" i="9"/>
  <c r="J1820" i="9"/>
  <c r="G1821" i="9"/>
  <c r="H1821" i="9"/>
  <c r="I1821" i="9"/>
  <c r="J1821" i="9"/>
  <c r="G1822" i="9"/>
  <c r="H1822" i="9"/>
  <c r="I1822" i="9"/>
  <c r="J1822" i="9"/>
  <c r="G1823" i="9"/>
  <c r="H1823" i="9"/>
  <c r="I1823" i="9"/>
  <c r="J1823" i="9"/>
  <c r="G1824" i="9"/>
  <c r="H1824" i="9"/>
  <c r="I1824" i="9"/>
  <c r="J1824" i="9"/>
  <c r="G1825" i="9"/>
  <c r="H1825" i="9"/>
  <c r="I1825" i="9"/>
  <c r="J1825" i="9"/>
  <c r="G1826" i="9"/>
  <c r="H1826" i="9"/>
  <c r="I1826" i="9"/>
  <c r="J1826" i="9"/>
  <c r="G1827" i="9"/>
  <c r="H1827" i="9"/>
  <c r="I1827" i="9"/>
  <c r="J1827" i="9"/>
  <c r="G1828" i="9"/>
  <c r="H1828" i="9"/>
  <c r="I1828" i="9"/>
  <c r="J1828" i="9"/>
  <c r="G1829" i="9"/>
  <c r="H1829" i="9"/>
  <c r="I1829" i="9"/>
  <c r="J1829" i="9"/>
  <c r="G1830" i="9"/>
  <c r="H1830" i="9"/>
  <c r="I1830" i="9"/>
  <c r="J1830" i="9"/>
  <c r="G1831" i="9"/>
  <c r="H1831" i="9"/>
  <c r="I1831" i="9"/>
  <c r="J1831" i="9"/>
  <c r="G1832" i="9"/>
  <c r="H1832" i="9"/>
  <c r="I1832" i="9"/>
  <c r="J1832" i="9"/>
  <c r="G1833" i="9"/>
  <c r="H1833" i="9"/>
  <c r="I1833" i="9"/>
  <c r="J1833" i="9"/>
  <c r="G1834" i="9"/>
  <c r="H1834" i="9"/>
  <c r="I1834" i="9"/>
  <c r="J1834" i="9"/>
  <c r="G1835" i="9"/>
  <c r="H1835" i="9"/>
  <c r="I1835" i="9"/>
  <c r="J1835" i="9"/>
  <c r="G1836" i="9"/>
  <c r="H1836" i="9"/>
  <c r="I1836" i="9"/>
  <c r="J1836" i="9"/>
  <c r="G1837" i="9"/>
  <c r="H1837" i="9"/>
  <c r="I1837" i="9"/>
  <c r="J1837" i="9"/>
  <c r="G1838" i="9"/>
  <c r="H1838" i="9"/>
  <c r="I1838" i="9"/>
  <c r="J1838" i="9"/>
  <c r="G1839" i="9"/>
  <c r="H1839" i="9"/>
  <c r="I1839" i="9"/>
  <c r="J1839" i="9"/>
  <c r="G1840" i="9"/>
  <c r="H1840" i="9"/>
  <c r="I1840" i="9"/>
  <c r="J1840" i="9"/>
  <c r="G1841" i="9"/>
  <c r="H1841" i="9"/>
  <c r="I1841" i="9"/>
  <c r="J1841" i="9"/>
  <c r="G1842" i="9"/>
  <c r="H1842" i="9"/>
  <c r="I1842" i="9"/>
  <c r="J1842" i="9"/>
  <c r="G1843" i="9"/>
  <c r="H1843" i="9"/>
  <c r="I1843" i="9"/>
  <c r="J1843" i="9"/>
  <c r="G1844" i="9"/>
  <c r="H1844" i="9"/>
  <c r="I1844" i="9"/>
  <c r="J1844" i="9"/>
  <c r="G1845" i="9"/>
  <c r="H1845" i="9"/>
  <c r="I1845" i="9"/>
  <c r="J1845" i="9"/>
  <c r="G1846" i="9"/>
  <c r="H1846" i="9"/>
  <c r="I1846" i="9"/>
  <c r="J1846" i="9"/>
  <c r="G1847" i="9"/>
  <c r="H1847" i="9"/>
  <c r="I1847" i="9"/>
  <c r="J1847" i="9"/>
  <c r="G1848" i="9"/>
  <c r="H1848" i="9"/>
  <c r="I1848" i="9"/>
  <c r="J1848" i="9"/>
  <c r="G1849" i="9"/>
  <c r="H1849" i="9"/>
  <c r="I1849" i="9"/>
  <c r="J1849" i="9"/>
  <c r="G1850" i="9"/>
  <c r="H1850" i="9"/>
  <c r="I1850" i="9"/>
  <c r="J1850" i="9"/>
  <c r="G1851" i="9"/>
  <c r="H1851" i="9"/>
  <c r="I1851" i="9"/>
  <c r="J1851" i="9"/>
  <c r="G1852" i="9"/>
  <c r="H1852" i="9"/>
  <c r="I1852" i="9"/>
  <c r="J1852" i="9"/>
  <c r="G1853" i="9"/>
  <c r="H1853" i="9"/>
  <c r="I1853" i="9"/>
  <c r="J1853" i="9"/>
  <c r="G1854" i="9"/>
  <c r="H1854" i="9"/>
  <c r="I1854" i="9"/>
  <c r="J1854" i="9"/>
  <c r="G1855" i="9"/>
  <c r="H1855" i="9"/>
  <c r="I1855" i="9"/>
  <c r="J1855" i="9"/>
  <c r="G1856" i="9"/>
  <c r="H1856" i="9"/>
  <c r="I1856" i="9"/>
  <c r="J1856" i="9"/>
  <c r="G1857" i="9"/>
  <c r="H1857" i="9"/>
  <c r="I1857" i="9"/>
  <c r="J1857" i="9"/>
  <c r="G1858" i="9"/>
  <c r="H1858" i="9"/>
  <c r="I1858" i="9"/>
  <c r="J1858" i="9"/>
  <c r="G1859" i="9"/>
  <c r="H1859" i="9"/>
  <c r="I1859" i="9"/>
  <c r="J1859" i="9"/>
  <c r="G1860" i="9"/>
  <c r="H1860" i="9"/>
  <c r="I1860" i="9"/>
  <c r="J1860" i="9"/>
  <c r="G1861" i="9"/>
  <c r="H1861" i="9"/>
  <c r="I1861" i="9"/>
  <c r="J1861" i="9"/>
  <c r="G1862" i="9"/>
  <c r="H1862" i="9"/>
  <c r="I1862" i="9"/>
  <c r="J1862" i="9"/>
  <c r="G1863" i="9"/>
  <c r="H1863" i="9"/>
  <c r="I1863" i="9"/>
  <c r="J1863" i="9"/>
  <c r="G1864" i="9"/>
  <c r="H1864" i="9"/>
  <c r="I1864" i="9"/>
  <c r="J1864" i="9"/>
  <c r="G1865" i="9"/>
  <c r="H1865" i="9"/>
  <c r="I1865" i="9"/>
  <c r="J1865" i="9"/>
  <c r="G1866" i="9"/>
  <c r="H1866" i="9"/>
  <c r="I1866" i="9"/>
  <c r="J1866" i="9"/>
  <c r="G1867" i="9"/>
  <c r="H1867" i="9"/>
  <c r="I1867" i="9"/>
  <c r="J1867" i="9"/>
  <c r="G1868" i="9"/>
  <c r="H1868" i="9"/>
  <c r="I1868" i="9"/>
  <c r="J1868" i="9"/>
  <c r="G1869" i="9"/>
  <c r="H1869" i="9"/>
  <c r="I1869" i="9"/>
  <c r="J1869" i="9"/>
  <c r="G1870" i="9"/>
  <c r="H1870" i="9"/>
  <c r="I1870" i="9"/>
  <c r="J1870" i="9"/>
  <c r="G1871" i="9"/>
  <c r="H1871" i="9"/>
  <c r="I1871" i="9"/>
  <c r="J1871" i="9"/>
  <c r="G1872" i="9"/>
  <c r="H1872" i="9"/>
  <c r="I1872" i="9"/>
  <c r="J1872" i="9"/>
  <c r="G1873" i="9"/>
  <c r="H1873" i="9"/>
  <c r="I1873" i="9"/>
  <c r="J1873" i="9"/>
  <c r="G1874" i="9"/>
  <c r="H1874" i="9"/>
  <c r="I1874" i="9"/>
  <c r="J1874" i="9"/>
  <c r="G1875" i="9"/>
  <c r="H1875" i="9"/>
  <c r="I1875" i="9"/>
  <c r="J1875" i="9"/>
  <c r="G1876" i="9"/>
  <c r="H1876" i="9"/>
  <c r="I1876" i="9"/>
  <c r="J1876" i="9"/>
  <c r="G1877" i="9"/>
  <c r="H1877" i="9"/>
  <c r="I1877" i="9"/>
  <c r="J1877" i="9"/>
  <c r="G1878" i="9"/>
  <c r="H1878" i="9"/>
  <c r="I1878" i="9"/>
  <c r="J1878" i="9"/>
  <c r="G1879" i="9"/>
  <c r="H1879" i="9"/>
  <c r="I1879" i="9"/>
  <c r="J1879" i="9"/>
  <c r="G1880" i="9"/>
  <c r="H1880" i="9"/>
  <c r="I1880" i="9"/>
  <c r="J1880" i="9"/>
  <c r="G1881" i="9"/>
  <c r="H1881" i="9"/>
  <c r="I1881" i="9"/>
  <c r="J1881" i="9"/>
  <c r="G1882" i="9"/>
  <c r="H1882" i="9"/>
  <c r="I1882" i="9"/>
  <c r="J1882" i="9"/>
  <c r="G1883" i="9"/>
  <c r="H1883" i="9"/>
  <c r="I1883" i="9"/>
  <c r="J1883" i="9"/>
  <c r="G1884" i="9"/>
  <c r="H1884" i="9"/>
  <c r="I1884" i="9"/>
  <c r="J1884" i="9"/>
  <c r="G1885" i="9"/>
  <c r="H1885" i="9"/>
  <c r="I1885" i="9"/>
  <c r="J1885" i="9"/>
  <c r="G1886" i="9"/>
  <c r="H1886" i="9"/>
  <c r="I1886" i="9"/>
  <c r="J1886" i="9"/>
  <c r="G1887" i="9"/>
  <c r="H1887" i="9"/>
  <c r="I1887" i="9"/>
  <c r="J1887" i="9"/>
  <c r="G1888" i="9"/>
  <c r="H1888" i="9"/>
  <c r="I1888" i="9"/>
  <c r="J1888" i="9"/>
  <c r="G1889" i="9"/>
  <c r="H1889" i="9"/>
  <c r="I1889" i="9"/>
  <c r="J1889" i="9"/>
  <c r="G1890" i="9"/>
  <c r="H1890" i="9"/>
  <c r="I1890" i="9"/>
  <c r="J1890" i="9"/>
  <c r="G1891" i="9"/>
  <c r="H1891" i="9"/>
  <c r="I1891" i="9"/>
  <c r="J1891" i="9"/>
  <c r="G1892" i="9"/>
  <c r="H1892" i="9"/>
  <c r="I1892" i="9"/>
  <c r="J1892" i="9"/>
  <c r="G1893" i="9"/>
  <c r="H1893" i="9"/>
  <c r="I1893" i="9"/>
  <c r="J1893" i="9"/>
  <c r="G1894" i="9"/>
  <c r="H1894" i="9"/>
  <c r="I1894" i="9"/>
  <c r="J1894" i="9"/>
  <c r="G1895" i="9"/>
  <c r="H1895" i="9"/>
  <c r="I1895" i="9"/>
  <c r="J1895" i="9"/>
  <c r="G1896" i="9"/>
  <c r="H1896" i="9"/>
  <c r="I1896" i="9"/>
  <c r="J1896" i="9"/>
  <c r="G1897" i="9"/>
  <c r="H1897" i="9"/>
  <c r="I1897" i="9"/>
  <c r="J1897" i="9"/>
  <c r="G1898" i="9"/>
  <c r="H1898" i="9"/>
  <c r="I1898" i="9"/>
  <c r="J1898" i="9"/>
  <c r="G1899" i="9"/>
  <c r="H1899" i="9"/>
  <c r="I1899" i="9"/>
  <c r="J1899" i="9"/>
  <c r="G1900" i="9"/>
  <c r="H1900" i="9"/>
  <c r="I1900" i="9"/>
  <c r="J1900" i="9"/>
  <c r="G1901" i="9"/>
  <c r="H1901" i="9"/>
  <c r="I1901" i="9"/>
  <c r="J1901" i="9"/>
  <c r="G1902" i="9"/>
  <c r="H1902" i="9"/>
  <c r="I1902" i="9"/>
  <c r="J1902" i="9"/>
  <c r="G1903" i="9"/>
  <c r="H1903" i="9"/>
  <c r="I1903" i="9"/>
  <c r="J1903" i="9"/>
  <c r="G1904" i="9"/>
  <c r="H1904" i="9"/>
  <c r="I1904" i="9"/>
  <c r="J1904" i="9"/>
  <c r="G1905" i="9"/>
  <c r="H1905" i="9"/>
  <c r="I1905" i="9"/>
  <c r="J1905" i="9"/>
  <c r="G1906" i="9"/>
  <c r="H1906" i="9"/>
  <c r="I1906" i="9"/>
  <c r="J1906" i="9"/>
  <c r="G1907" i="9"/>
  <c r="H1907" i="9"/>
  <c r="I1907" i="9"/>
  <c r="J1907" i="9"/>
  <c r="G1908" i="9"/>
  <c r="H1908" i="9"/>
  <c r="I1908" i="9"/>
  <c r="J1908" i="9"/>
  <c r="G1909" i="9"/>
  <c r="H1909" i="9"/>
  <c r="I1909" i="9"/>
  <c r="J1909" i="9"/>
  <c r="G1910" i="9"/>
  <c r="H1910" i="9"/>
  <c r="I1910" i="9"/>
  <c r="J1910" i="9"/>
  <c r="G1911" i="9"/>
  <c r="H1911" i="9"/>
  <c r="I1911" i="9"/>
  <c r="J1911" i="9"/>
  <c r="G1912" i="9"/>
  <c r="H1912" i="9"/>
  <c r="I1912" i="9"/>
  <c r="J1912" i="9"/>
  <c r="G1913" i="9"/>
  <c r="H1913" i="9"/>
  <c r="I1913" i="9"/>
  <c r="J1913" i="9"/>
  <c r="G1914" i="9"/>
  <c r="H1914" i="9"/>
  <c r="I1914" i="9"/>
  <c r="J1914" i="9"/>
  <c r="G1915" i="9"/>
  <c r="H1915" i="9"/>
  <c r="I1915" i="9"/>
  <c r="J1915" i="9"/>
  <c r="G1916" i="9"/>
  <c r="H1916" i="9"/>
  <c r="I1916" i="9"/>
  <c r="J1916" i="9"/>
  <c r="G1917" i="9"/>
  <c r="H1917" i="9"/>
  <c r="I1917" i="9"/>
  <c r="J1917" i="9"/>
  <c r="G1918" i="9"/>
  <c r="H1918" i="9"/>
  <c r="I1918" i="9"/>
  <c r="J1918" i="9"/>
  <c r="G1919" i="9"/>
  <c r="H1919" i="9"/>
  <c r="I1919" i="9"/>
  <c r="J1919" i="9"/>
  <c r="G1920" i="9"/>
  <c r="H1920" i="9"/>
  <c r="I1920" i="9"/>
  <c r="J1920" i="9"/>
  <c r="G1921" i="9"/>
  <c r="H1921" i="9"/>
  <c r="I1921" i="9"/>
  <c r="J1921" i="9"/>
  <c r="G1922" i="9"/>
  <c r="H1922" i="9"/>
  <c r="I1922" i="9"/>
  <c r="J1922" i="9"/>
  <c r="G1923" i="9"/>
  <c r="H1923" i="9"/>
  <c r="I1923" i="9"/>
  <c r="J1923" i="9"/>
  <c r="G1924" i="9"/>
  <c r="H1924" i="9"/>
  <c r="I1924" i="9"/>
  <c r="J1924" i="9"/>
  <c r="G1925" i="9"/>
  <c r="H1925" i="9"/>
  <c r="I1925" i="9"/>
  <c r="J1925" i="9"/>
  <c r="G1926" i="9"/>
  <c r="H1926" i="9"/>
  <c r="I1926" i="9"/>
  <c r="J1926" i="9"/>
  <c r="G1927" i="9"/>
  <c r="H1927" i="9"/>
  <c r="I1927" i="9"/>
  <c r="J1927" i="9"/>
  <c r="G1928" i="9"/>
  <c r="H1928" i="9"/>
  <c r="I1928" i="9"/>
  <c r="J1928" i="9"/>
  <c r="G1929" i="9"/>
  <c r="H1929" i="9"/>
  <c r="I1929" i="9"/>
  <c r="J1929" i="9"/>
  <c r="G1930" i="9"/>
  <c r="H1930" i="9"/>
  <c r="I1930" i="9"/>
  <c r="J1930" i="9"/>
  <c r="G1931" i="9"/>
  <c r="H1931" i="9"/>
  <c r="I1931" i="9"/>
  <c r="J1931" i="9"/>
  <c r="G1932" i="9"/>
  <c r="H1932" i="9"/>
  <c r="I1932" i="9"/>
  <c r="J1932" i="9"/>
  <c r="G1933" i="9"/>
  <c r="H1933" i="9"/>
  <c r="I1933" i="9"/>
  <c r="J1933" i="9"/>
  <c r="G1934" i="9"/>
  <c r="H1934" i="9"/>
  <c r="I1934" i="9"/>
  <c r="J1934" i="9"/>
  <c r="G1935" i="9"/>
  <c r="H1935" i="9"/>
  <c r="I1935" i="9"/>
  <c r="J1935" i="9"/>
  <c r="G1936" i="9"/>
  <c r="H1936" i="9"/>
  <c r="I1936" i="9"/>
  <c r="J1936" i="9"/>
  <c r="G1937" i="9"/>
  <c r="H1937" i="9"/>
  <c r="I1937" i="9"/>
  <c r="J1937" i="9"/>
  <c r="G1938" i="9"/>
  <c r="H1938" i="9"/>
  <c r="I1938" i="9"/>
  <c r="J1938" i="9"/>
  <c r="G1939" i="9"/>
  <c r="H1939" i="9"/>
  <c r="I1939" i="9"/>
  <c r="J1939" i="9"/>
  <c r="G1940" i="9"/>
  <c r="H1940" i="9"/>
  <c r="I1940" i="9"/>
  <c r="J1940" i="9"/>
  <c r="G1941" i="9"/>
  <c r="H1941" i="9"/>
  <c r="I1941" i="9"/>
  <c r="J1941" i="9"/>
  <c r="G1942" i="9"/>
  <c r="H1942" i="9"/>
  <c r="I1942" i="9"/>
  <c r="J1942" i="9"/>
  <c r="G1943" i="9"/>
  <c r="H1943" i="9"/>
  <c r="I1943" i="9"/>
  <c r="J1943" i="9"/>
  <c r="G1944" i="9"/>
  <c r="H1944" i="9"/>
  <c r="I1944" i="9"/>
  <c r="J1944" i="9"/>
  <c r="G1945" i="9"/>
  <c r="H1945" i="9"/>
  <c r="I1945" i="9"/>
  <c r="J1945" i="9"/>
  <c r="G1946" i="9"/>
  <c r="H1946" i="9"/>
  <c r="I1946" i="9"/>
  <c r="J1946" i="9"/>
  <c r="G1947" i="9"/>
  <c r="H1947" i="9"/>
  <c r="I1947" i="9"/>
  <c r="J1947" i="9"/>
  <c r="G1948" i="9"/>
  <c r="H1948" i="9"/>
  <c r="I1948" i="9"/>
  <c r="J1948" i="9"/>
  <c r="G1949" i="9"/>
  <c r="H1949" i="9"/>
  <c r="I1949" i="9"/>
  <c r="J1949" i="9"/>
  <c r="G1950" i="9"/>
  <c r="H1950" i="9"/>
  <c r="I1950" i="9"/>
  <c r="J1950" i="9"/>
  <c r="G1951" i="9"/>
  <c r="H1951" i="9"/>
  <c r="I1951" i="9"/>
  <c r="J1951" i="9"/>
  <c r="G1952" i="9"/>
  <c r="H1952" i="9"/>
  <c r="I1952" i="9"/>
  <c r="J1952" i="9"/>
  <c r="G1953" i="9"/>
  <c r="H1953" i="9"/>
  <c r="I1953" i="9"/>
  <c r="J1953" i="9"/>
  <c r="G1954" i="9"/>
  <c r="H1954" i="9"/>
  <c r="I1954" i="9"/>
  <c r="J1954" i="9"/>
  <c r="G1955" i="9"/>
  <c r="H1955" i="9"/>
  <c r="I1955" i="9"/>
  <c r="J1955" i="9"/>
  <c r="G1956" i="9"/>
  <c r="H1956" i="9"/>
  <c r="I1956" i="9"/>
  <c r="J1956" i="9"/>
  <c r="G1957" i="9"/>
  <c r="H1957" i="9"/>
  <c r="I1957" i="9"/>
  <c r="J1957" i="9"/>
  <c r="G1958" i="9"/>
  <c r="H1958" i="9"/>
  <c r="I1958" i="9"/>
  <c r="J1958" i="9"/>
  <c r="G1959" i="9"/>
  <c r="H1959" i="9"/>
  <c r="I1959" i="9"/>
  <c r="J1959" i="9"/>
  <c r="G1960" i="9"/>
  <c r="H1960" i="9"/>
  <c r="I1960" i="9"/>
  <c r="J1960" i="9"/>
  <c r="G1961" i="9"/>
  <c r="H1961" i="9"/>
  <c r="I1961" i="9"/>
  <c r="J1961" i="9"/>
  <c r="G1962" i="9"/>
  <c r="H1962" i="9"/>
  <c r="I1962" i="9"/>
  <c r="J1962" i="9"/>
  <c r="G1963" i="9"/>
  <c r="H1963" i="9"/>
  <c r="I1963" i="9"/>
  <c r="J1963" i="9"/>
  <c r="G1964" i="9"/>
  <c r="H1964" i="9"/>
  <c r="I1964" i="9"/>
  <c r="J1964" i="9"/>
  <c r="G1965" i="9"/>
  <c r="H1965" i="9"/>
  <c r="I1965" i="9"/>
  <c r="J1965" i="9"/>
  <c r="G1966" i="9"/>
  <c r="H1966" i="9"/>
  <c r="I1966" i="9"/>
  <c r="J1966" i="9"/>
  <c r="G1967" i="9"/>
  <c r="H1967" i="9"/>
  <c r="I1967" i="9"/>
  <c r="J1967" i="9"/>
  <c r="G1968" i="9"/>
  <c r="H1968" i="9"/>
  <c r="I1968" i="9"/>
  <c r="J1968" i="9"/>
  <c r="G1969" i="9"/>
  <c r="H1969" i="9"/>
  <c r="I1969" i="9"/>
  <c r="J1969" i="9"/>
  <c r="G1970" i="9"/>
  <c r="H1970" i="9"/>
  <c r="I1970" i="9"/>
  <c r="J1970" i="9"/>
  <c r="G1971" i="9"/>
  <c r="H1971" i="9"/>
  <c r="I1971" i="9"/>
  <c r="J1971" i="9"/>
  <c r="G1972" i="9"/>
  <c r="H1972" i="9"/>
  <c r="I1972" i="9"/>
  <c r="J1972" i="9"/>
  <c r="G1973" i="9"/>
  <c r="H1973" i="9"/>
  <c r="I1973" i="9"/>
  <c r="J1973" i="9"/>
  <c r="G1974" i="9"/>
  <c r="H1974" i="9"/>
  <c r="I1974" i="9"/>
  <c r="J1974" i="9"/>
  <c r="G1975" i="9"/>
  <c r="H1975" i="9"/>
  <c r="I1975" i="9"/>
  <c r="J1975" i="9"/>
  <c r="G1976" i="9"/>
  <c r="H1976" i="9"/>
  <c r="I1976" i="9"/>
  <c r="J1976" i="9"/>
  <c r="G1977" i="9"/>
  <c r="H1977" i="9"/>
  <c r="I1977" i="9"/>
  <c r="J1977" i="9"/>
  <c r="G1978" i="9"/>
  <c r="H1978" i="9"/>
  <c r="I1978" i="9"/>
  <c r="J1978" i="9"/>
  <c r="G1979" i="9"/>
  <c r="H1979" i="9"/>
  <c r="I1979" i="9"/>
  <c r="J1979" i="9"/>
  <c r="G1980" i="9"/>
  <c r="H1980" i="9"/>
  <c r="I1980" i="9"/>
  <c r="J1980" i="9"/>
  <c r="G1981" i="9"/>
  <c r="H1981" i="9"/>
  <c r="I1981" i="9"/>
  <c r="J1981" i="9"/>
  <c r="G1982" i="9"/>
  <c r="H1982" i="9"/>
  <c r="I1982" i="9"/>
  <c r="J1982" i="9"/>
  <c r="G1983" i="9"/>
  <c r="H1983" i="9"/>
  <c r="I1983" i="9"/>
  <c r="J1983" i="9"/>
  <c r="G1984" i="9"/>
  <c r="H1984" i="9"/>
  <c r="I1984" i="9"/>
  <c r="J1984" i="9"/>
  <c r="G1985" i="9"/>
  <c r="H1985" i="9"/>
  <c r="I1985" i="9"/>
  <c r="J1985" i="9"/>
  <c r="G1986" i="9"/>
  <c r="H1986" i="9"/>
  <c r="I1986" i="9"/>
  <c r="J1986" i="9"/>
  <c r="G1987" i="9"/>
  <c r="H1987" i="9"/>
  <c r="I1987" i="9"/>
  <c r="J1987" i="9"/>
  <c r="G1988" i="9"/>
  <c r="H1988" i="9"/>
  <c r="I1988" i="9"/>
  <c r="J1988" i="9"/>
  <c r="G1989" i="9"/>
  <c r="H1989" i="9"/>
  <c r="I1989" i="9"/>
  <c r="J1989" i="9"/>
  <c r="G1990" i="9"/>
  <c r="H1990" i="9"/>
  <c r="I1990" i="9"/>
  <c r="J1990" i="9"/>
  <c r="G1991" i="9"/>
  <c r="H1991" i="9"/>
  <c r="I1991" i="9"/>
  <c r="J1991" i="9"/>
  <c r="G1992" i="9"/>
  <c r="H1992" i="9"/>
  <c r="I1992" i="9"/>
  <c r="J1992" i="9"/>
  <c r="G1993" i="9"/>
  <c r="H1993" i="9"/>
  <c r="I1993" i="9"/>
  <c r="J1993" i="9"/>
  <c r="G1994" i="9"/>
  <c r="H1994" i="9"/>
  <c r="I1994" i="9"/>
  <c r="J1994" i="9"/>
  <c r="G1995" i="9"/>
  <c r="H1995" i="9"/>
  <c r="I1995" i="9"/>
  <c r="J1995" i="9"/>
  <c r="G1996" i="9"/>
  <c r="H1996" i="9"/>
  <c r="I1996" i="9"/>
  <c r="J1996" i="9"/>
  <c r="G1997" i="9"/>
  <c r="H1997" i="9"/>
  <c r="I1997" i="9"/>
  <c r="J1997" i="9"/>
  <c r="G1998" i="9"/>
  <c r="H1998" i="9"/>
  <c r="I1998" i="9"/>
  <c r="J1998" i="9"/>
  <c r="G1999" i="9"/>
  <c r="H1999" i="9"/>
  <c r="I1999" i="9"/>
  <c r="J1999" i="9"/>
  <c r="G2000" i="9"/>
  <c r="H2000" i="9"/>
  <c r="I2000" i="9"/>
  <c r="J2000" i="9"/>
  <c r="G2001" i="9"/>
  <c r="H2001" i="9"/>
  <c r="I2001" i="9"/>
  <c r="J2001" i="9"/>
  <c r="G2002" i="9"/>
  <c r="H2002" i="9"/>
  <c r="I2002" i="9"/>
  <c r="J2002" i="9"/>
  <c r="G2003" i="9"/>
  <c r="H2003" i="9"/>
  <c r="I2003" i="9"/>
  <c r="J2003" i="9"/>
  <c r="G2004" i="9"/>
  <c r="H2004" i="9"/>
  <c r="I2004" i="9"/>
  <c r="J2004" i="9"/>
  <c r="G2005" i="9"/>
  <c r="H2005" i="9"/>
  <c r="I2005" i="9"/>
  <c r="J2005" i="9"/>
  <c r="G2006" i="9"/>
  <c r="H2006" i="9"/>
  <c r="I2006" i="9"/>
  <c r="J2006" i="9"/>
  <c r="G2007" i="9"/>
  <c r="H2007" i="9"/>
  <c r="I2007" i="9"/>
  <c r="J2007" i="9"/>
  <c r="G2008" i="9"/>
  <c r="H2008" i="9"/>
  <c r="I2008" i="9"/>
  <c r="J2008" i="9"/>
  <c r="G2009" i="9"/>
  <c r="H2009" i="9"/>
  <c r="I2009" i="9"/>
  <c r="J2009" i="9"/>
  <c r="G2010" i="9"/>
  <c r="H2010" i="9"/>
  <c r="I2010" i="9"/>
  <c r="J2010" i="9"/>
  <c r="G2011" i="9"/>
  <c r="H2011" i="9"/>
  <c r="I2011" i="9"/>
  <c r="J2011" i="9"/>
  <c r="G2012" i="9"/>
  <c r="H2012" i="9"/>
  <c r="I2012" i="9"/>
  <c r="J2012" i="9"/>
  <c r="G2013" i="9"/>
  <c r="H2013" i="9"/>
  <c r="I2013" i="9"/>
  <c r="J2013" i="9"/>
  <c r="G2014" i="9"/>
  <c r="H2014" i="9"/>
  <c r="I2014" i="9"/>
  <c r="J2014" i="9"/>
  <c r="G2015" i="9"/>
  <c r="H2015" i="9"/>
  <c r="I2015" i="9"/>
  <c r="J2015" i="9"/>
  <c r="G2016" i="9"/>
  <c r="H2016" i="9"/>
  <c r="I2016" i="9"/>
  <c r="J2016" i="9"/>
  <c r="G2017" i="9"/>
  <c r="H2017" i="9"/>
  <c r="I2017" i="9"/>
  <c r="J2017" i="9"/>
  <c r="G2018" i="9"/>
  <c r="H2018" i="9"/>
  <c r="I2018" i="9"/>
  <c r="J2018" i="9"/>
  <c r="G2019" i="9"/>
  <c r="H2019" i="9"/>
  <c r="I2019" i="9"/>
  <c r="J2019" i="9"/>
  <c r="G2020" i="9"/>
  <c r="H2020" i="9"/>
  <c r="I2020" i="9"/>
  <c r="J2020" i="9"/>
  <c r="G2021" i="9"/>
  <c r="H2021" i="9"/>
  <c r="I2021" i="9"/>
  <c r="J2021" i="9"/>
  <c r="G2022" i="9"/>
  <c r="H2022" i="9"/>
  <c r="I2022" i="9"/>
  <c r="J2022" i="9"/>
  <c r="G2023" i="9"/>
  <c r="H2023" i="9"/>
  <c r="I2023" i="9"/>
  <c r="J2023" i="9"/>
  <c r="G2024" i="9"/>
  <c r="H2024" i="9"/>
  <c r="I2024" i="9"/>
  <c r="J2024" i="9"/>
  <c r="G2025" i="9"/>
  <c r="H2025" i="9"/>
  <c r="I2025" i="9"/>
  <c r="J2025" i="9"/>
  <c r="G2026" i="9"/>
  <c r="H2026" i="9"/>
  <c r="I2026" i="9"/>
  <c r="J2026" i="9"/>
  <c r="G2027" i="9"/>
  <c r="H2027" i="9"/>
  <c r="I2027" i="9"/>
  <c r="J2027" i="9"/>
  <c r="G2028" i="9"/>
  <c r="H2028" i="9"/>
  <c r="I2028" i="9"/>
  <c r="J2028" i="9"/>
  <c r="G2029" i="9"/>
  <c r="H2029" i="9"/>
  <c r="I2029" i="9"/>
  <c r="J2029" i="9"/>
  <c r="G2030" i="9"/>
  <c r="H2030" i="9"/>
  <c r="I2030" i="9"/>
  <c r="J2030" i="9"/>
  <c r="G2031" i="9"/>
  <c r="H2031" i="9"/>
  <c r="I2031" i="9"/>
  <c r="J2031" i="9"/>
  <c r="G2032" i="9"/>
  <c r="H2032" i="9"/>
  <c r="I2032" i="9"/>
  <c r="J2032" i="9"/>
  <c r="G2033" i="9"/>
  <c r="H2033" i="9"/>
  <c r="I2033" i="9"/>
  <c r="J2033" i="9"/>
  <c r="G2034" i="9"/>
  <c r="H2034" i="9"/>
  <c r="I2034" i="9"/>
  <c r="J2034" i="9"/>
  <c r="G2035" i="9"/>
  <c r="H2035" i="9"/>
  <c r="I2035" i="9"/>
  <c r="J2035" i="9"/>
  <c r="G2036" i="9"/>
  <c r="H2036" i="9"/>
  <c r="I2036" i="9"/>
  <c r="J2036" i="9"/>
  <c r="G2037" i="9"/>
  <c r="H2037" i="9"/>
  <c r="I2037" i="9"/>
  <c r="J2037" i="9"/>
  <c r="G2038" i="9"/>
  <c r="H2038" i="9"/>
  <c r="I2038" i="9"/>
  <c r="J2038" i="9"/>
  <c r="G2039" i="9"/>
  <c r="H2039" i="9"/>
  <c r="I2039" i="9"/>
  <c r="J2039" i="9"/>
  <c r="G2040" i="9"/>
  <c r="H2040" i="9"/>
  <c r="I2040" i="9"/>
  <c r="J2040" i="9"/>
  <c r="G2041" i="9"/>
  <c r="H2041" i="9"/>
  <c r="I2041" i="9"/>
  <c r="J2041" i="9"/>
  <c r="G2042" i="9"/>
  <c r="H2042" i="9"/>
  <c r="I2042" i="9"/>
  <c r="J2042" i="9"/>
  <c r="G2043" i="9"/>
  <c r="H2043" i="9"/>
  <c r="I2043" i="9"/>
  <c r="J2043" i="9"/>
  <c r="G2044" i="9"/>
  <c r="H2044" i="9"/>
  <c r="I2044" i="9"/>
  <c r="J2044" i="9"/>
  <c r="G2045" i="9"/>
  <c r="H2045" i="9"/>
  <c r="I2045" i="9"/>
  <c r="J2045" i="9"/>
  <c r="G2046" i="9"/>
  <c r="H2046" i="9"/>
  <c r="I2046" i="9"/>
  <c r="J2046" i="9"/>
  <c r="G2047" i="9"/>
  <c r="H2047" i="9"/>
  <c r="I2047" i="9"/>
  <c r="J2047" i="9"/>
  <c r="G2048" i="9"/>
  <c r="H2048" i="9"/>
  <c r="I2048" i="9"/>
  <c r="J2048" i="9"/>
  <c r="G2049" i="9"/>
  <c r="H2049" i="9"/>
  <c r="I2049" i="9"/>
  <c r="J2049" i="9"/>
  <c r="G2050" i="9"/>
  <c r="H2050" i="9"/>
  <c r="I2050" i="9"/>
  <c r="J2050" i="9"/>
  <c r="G2051" i="9"/>
  <c r="H2051" i="9"/>
  <c r="I2051" i="9"/>
  <c r="J2051" i="9"/>
  <c r="G2052" i="9"/>
  <c r="H2052" i="9"/>
  <c r="I2052" i="9"/>
  <c r="J2052" i="9"/>
  <c r="G2053" i="9"/>
  <c r="H2053" i="9"/>
  <c r="I2053" i="9"/>
  <c r="J2053" i="9"/>
  <c r="G2054" i="9"/>
  <c r="H2054" i="9"/>
  <c r="I2054" i="9"/>
  <c r="J2054" i="9"/>
  <c r="G2055" i="9"/>
  <c r="H2055" i="9"/>
  <c r="I2055" i="9"/>
  <c r="J2055" i="9"/>
  <c r="G2056" i="9"/>
  <c r="H2056" i="9"/>
  <c r="I2056" i="9"/>
  <c r="J2056" i="9"/>
  <c r="G2057" i="9"/>
  <c r="H2057" i="9"/>
  <c r="I2057" i="9"/>
  <c r="J2057" i="9"/>
  <c r="G2058" i="9"/>
  <c r="H2058" i="9"/>
  <c r="I2058" i="9"/>
  <c r="J2058" i="9"/>
  <c r="G2059" i="9"/>
  <c r="H2059" i="9"/>
  <c r="I2059" i="9"/>
  <c r="J2059" i="9"/>
  <c r="G2060" i="9"/>
  <c r="H2060" i="9"/>
  <c r="I2060" i="9"/>
  <c r="J2060" i="9"/>
  <c r="G2061" i="9"/>
  <c r="H2061" i="9"/>
  <c r="I2061" i="9"/>
  <c r="J2061" i="9"/>
  <c r="G2062" i="9"/>
  <c r="H2062" i="9"/>
  <c r="I2062" i="9"/>
  <c r="J2062" i="9"/>
  <c r="G2063" i="9"/>
  <c r="H2063" i="9"/>
  <c r="I2063" i="9"/>
  <c r="J2063" i="9"/>
  <c r="G2064" i="9"/>
  <c r="H2064" i="9"/>
  <c r="I2064" i="9"/>
  <c r="J2064" i="9"/>
  <c r="G2065" i="9"/>
  <c r="H2065" i="9"/>
  <c r="I2065" i="9"/>
  <c r="J2065" i="9"/>
  <c r="G2066" i="9"/>
  <c r="H2066" i="9"/>
  <c r="I2066" i="9"/>
  <c r="J2066" i="9"/>
  <c r="G2067" i="9"/>
  <c r="H2067" i="9"/>
  <c r="I2067" i="9"/>
  <c r="J2067" i="9"/>
  <c r="G2068" i="9"/>
  <c r="H2068" i="9"/>
  <c r="I2068" i="9"/>
  <c r="J2068" i="9"/>
  <c r="G2069" i="9"/>
  <c r="H2069" i="9"/>
  <c r="I2069" i="9"/>
  <c r="J2069" i="9"/>
  <c r="G2070" i="9"/>
  <c r="H2070" i="9"/>
  <c r="I2070" i="9"/>
  <c r="J2070" i="9"/>
  <c r="G2071" i="9"/>
  <c r="H2071" i="9"/>
  <c r="I2071" i="9"/>
  <c r="J2071" i="9"/>
  <c r="G2072" i="9"/>
  <c r="H2072" i="9"/>
  <c r="I2072" i="9"/>
  <c r="J2072" i="9"/>
  <c r="G2073" i="9"/>
  <c r="H2073" i="9"/>
  <c r="I2073" i="9"/>
  <c r="J2073" i="9"/>
  <c r="G2074" i="9"/>
  <c r="H2074" i="9"/>
  <c r="I2074" i="9"/>
  <c r="J2074" i="9"/>
  <c r="G2075" i="9"/>
  <c r="H2075" i="9"/>
  <c r="I2075" i="9"/>
  <c r="J2075" i="9"/>
  <c r="G2076" i="9"/>
  <c r="H2076" i="9"/>
  <c r="I2076" i="9"/>
  <c r="J2076" i="9"/>
  <c r="G2077" i="9"/>
  <c r="H2077" i="9"/>
  <c r="I2077" i="9"/>
  <c r="J2077" i="9"/>
  <c r="G2078" i="9"/>
  <c r="H2078" i="9"/>
  <c r="I2078" i="9"/>
  <c r="J2078" i="9"/>
  <c r="G2079" i="9"/>
  <c r="H2079" i="9"/>
  <c r="I2079" i="9"/>
  <c r="J2079" i="9"/>
  <c r="G2080" i="9"/>
  <c r="H2080" i="9"/>
  <c r="I2080" i="9"/>
  <c r="J2080" i="9"/>
  <c r="G2081" i="9"/>
  <c r="H2081" i="9"/>
  <c r="I2081" i="9"/>
  <c r="J2081" i="9"/>
  <c r="G2082" i="9"/>
  <c r="H2082" i="9"/>
  <c r="I2082" i="9"/>
  <c r="J2082" i="9"/>
  <c r="G2083" i="9"/>
  <c r="H2083" i="9"/>
  <c r="I2083" i="9"/>
  <c r="J2083" i="9"/>
  <c r="G2084" i="9"/>
  <c r="H2084" i="9"/>
  <c r="I2084" i="9"/>
  <c r="J2084" i="9"/>
  <c r="G2085" i="9"/>
  <c r="H2085" i="9"/>
  <c r="I2085" i="9"/>
  <c r="J2085" i="9"/>
  <c r="G2086" i="9"/>
  <c r="H2086" i="9"/>
  <c r="I2086" i="9"/>
  <c r="J2086" i="9"/>
  <c r="G2087" i="9"/>
  <c r="H2087" i="9"/>
  <c r="I2087" i="9"/>
  <c r="J2087" i="9"/>
  <c r="G2088" i="9"/>
  <c r="H2088" i="9"/>
  <c r="I2088" i="9"/>
  <c r="J2088" i="9"/>
  <c r="G2089" i="9"/>
  <c r="H2089" i="9"/>
  <c r="I2089" i="9"/>
  <c r="J2089" i="9"/>
  <c r="G2090" i="9"/>
  <c r="H2090" i="9"/>
  <c r="I2090" i="9"/>
  <c r="J2090" i="9"/>
  <c r="G2091" i="9"/>
  <c r="H2091" i="9"/>
  <c r="I2091" i="9"/>
  <c r="J2091" i="9"/>
  <c r="G2092" i="9"/>
  <c r="H2092" i="9"/>
  <c r="I2092" i="9"/>
  <c r="J2092" i="9"/>
  <c r="G2093" i="9"/>
  <c r="H2093" i="9"/>
  <c r="I2093" i="9"/>
  <c r="J2093" i="9"/>
  <c r="G2094" i="9"/>
  <c r="H2094" i="9"/>
  <c r="I2094" i="9"/>
  <c r="J2094" i="9"/>
  <c r="G2095" i="9"/>
  <c r="H2095" i="9"/>
  <c r="I2095" i="9"/>
  <c r="J2095" i="9"/>
  <c r="G2096" i="9"/>
  <c r="H2096" i="9"/>
  <c r="I2096" i="9"/>
  <c r="J2096" i="9"/>
  <c r="G2097" i="9"/>
  <c r="H2097" i="9"/>
  <c r="I2097" i="9"/>
  <c r="J2097" i="9"/>
  <c r="G2098" i="9"/>
  <c r="H2098" i="9"/>
  <c r="I2098" i="9"/>
  <c r="J2098" i="9"/>
  <c r="G2099" i="9"/>
  <c r="H2099" i="9"/>
  <c r="I2099" i="9"/>
  <c r="J2099" i="9"/>
  <c r="G2100" i="9"/>
  <c r="H2100" i="9"/>
  <c r="I2100" i="9"/>
  <c r="J2100" i="9"/>
  <c r="G2101" i="9"/>
  <c r="H2101" i="9"/>
  <c r="I2101" i="9"/>
  <c r="J2101" i="9"/>
  <c r="G2102" i="9"/>
  <c r="H2102" i="9"/>
  <c r="I2102" i="9"/>
  <c r="J2102" i="9"/>
  <c r="G2103" i="9"/>
  <c r="H2103" i="9"/>
  <c r="I2103" i="9"/>
  <c r="J2103" i="9"/>
  <c r="G2104" i="9"/>
  <c r="H2104" i="9"/>
  <c r="I2104" i="9"/>
  <c r="J2104" i="9"/>
  <c r="G2105" i="9"/>
  <c r="H2105" i="9"/>
  <c r="I2105" i="9"/>
  <c r="J2105" i="9"/>
  <c r="G2106" i="9"/>
  <c r="H2106" i="9"/>
  <c r="I2106" i="9"/>
  <c r="J2106" i="9"/>
  <c r="G2107" i="9"/>
  <c r="H2107" i="9"/>
  <c r="I2107" i="9"/>
  <c r="J2107" i="9"/>
  <c r="G2108" i="9"/>
  <c r="H2108" i="9"/>
  <c r="I2108" i="9"/>
  <c r="J2108" i="9"/>
  <c r="G2109" i="9"/>
  <c r="H2109" i="9"/>
  <c r="I2109" i="9"/>
  <c r="J2109" i="9"/>
  <c r="G2110" i="9"/>
  <c r="H2110" i="9"/>
  <c r="I2110" i="9"/>
  <c r="J2110" i="9"/>
  <c r="G2111" i="9"/>
  <c r="H2111" i="9"/>
  <c r="I2111" i="9"/>
  <c r="J2111" i="9"/>
  <c r="G2112" i="9"/>
  <c r="H2112" i="9"/>
  <c r="I2112" i="9"/>
  <c r="J2112" i="9"/>
  <c r="G2113" i="9"/>
  <c r="H2113" i="9"/>
  <c r="I2113" i="9"/>
  <c r="J2113" i="9"/>
  <c r="G2114" i="9"/>
  <c r="H2114" i="9"/>
  <c r="I2114" i="9"/>
  <c r="J2114" i="9"/>
  <c r="G2115" i="9"/>
  <c r="H2115" i="9"/>
  <c r="I2115" i="9"/>
  <c r="J2115" i="9"/>
  <c r="G2116" i="9"/>
  <c r="H2116" i="9"/>
  <c r="I2116" i="9"/>
  <c r="J2116" i="9"/>
  <c r="G2117" i="9"/>
  <c r="H2117" i="9"/>
  <c r="I2117" i="9"/>
  <c r="J2117" i="9"/>
  <c r="G2118" i="9"/>
  <c r="H2118" i="9"/>
  <c r="I2118" i="9"/>
  <c r="J2118" i="9"/>
  <c r="G2119" i="9"/>
  <c r="H2119" i="9"/>
  <c r="I2119" i="9"/>
  <c r="J2119" i="9"/>
  <c r="G2120" i="9"/>
  <c r="H2120" i="9"/>
  <c r="I2120" i="9"/>
  <c r="J2120" i="9"/>
  <c r="G2121" i="9"/>
  <c r="H2121" i="9"/>
  <c r="I2121" i="9"/>
  <c r="J2121" i="9"/>
  <c r="G2122" i="9"/>
  <c r="H2122" i="9"/>
  <c r="I2122" i="9"/>
  <c r="J2122" i="9"/>
  <c r="G2123" i="9"/>
  <c r="H2123" i="9"/>
  <c r="I2123" i="9"/>
  <c r="J2123" i="9"/>
  <c r="G2124" i="9"/>
  <c r="H2124" i="9"/>
  <c r="I2124" i="9"/>
  <c r="J2124" i="9"/>
  <c r="G2125" i="9"/>
  <c r="H2125" i="9"/>
  <c r="I2125" i="9"/>
  <c r="J2125" i="9"/>
  <c r="G2126" i="9"/>
  <c r="H2126" i="9"/>
  <c r="I2126" i="9"/>
  <c r="J2126" i="9"/>
  <c r="G2127" i="9"/>
  <c r="H2127" i="9"/>
  <c r="I2127" i="9"/>
  <c r="J2127" i="9"/>
  <c r="G2128" i="9"/>
  <c r="H2128" i="9"/>
  <c r="I2128" i="9"/>
  <c r="J2128" i="9"/>
  <c r="G2129" i="9"/>
  <c r="H2129" i="9"/>
  <c r="I2129" i="9"/>
  <c r="J2129" i="9"/>
  <c r="G2130" i="9"/>
  <c r="H2130" i="9"/>
  <c r="I2130" i="9"/>
  <c r="J2130" i="9"/>
  <c r="G2131" i="9"/>
  <c r="H2131" i="9"/>
  <c r="I2131" i="9"/>
  <c r="J2131" i="9"/>
  <c r="G2132" i="9"/>
  <c r="H2132" i="9"/>
  <c r="I2132" i="9"/>
  <c r="J2132" i="9"/>
  <c r="G2133" i="9"/>
  <c r="H2133" i="9"/>
  <c r="I2133" i="9"/>
  <c r="J2133" i="9"/>
  <c r="G2134" i="9"/>
  <c r="H2134" i="9"/>
  <c r="I2134" i="9"/>
  <c r="J2134" i="9"/>
  <c r="G2135" i="9"/>
  <c r="H2135" i="9"/>
  <c r="I2135" i="9"/>
  <c r="J2135" i="9"/>
  <c r="G2136" i="9"/>
  <c r="H2136" i="9"/>
  <c r="I2136" i="9"/>
  <c r="J2136" i="9"/>
  <c r="G2137" i="9"/>
  <c r="H2137" i="9"/>
  <c r="I2137" i="9"/>
  <c r="J2137" i="9"/>
  <c r="G2138" i="9"/>
  <c r="H2138" i="9"/>
  <c r="I2138" i="9"/>
  <c r="J2138" i="9"/>
  <c r="G2139" i="9"/>
  <c r="H2139" i="9"/>
  <c r="I2139" i="9"/>
  <c r="J2139" i="9"/>
  <c r="G2140" i="9"/>
  <c r="H2140" i="9"/>
  <c r="I2140" i="9"/>
  <c r="J2140" i="9"/>
  <c r="G2141" i="9"/>
  <c r="H2141" i="9"/>
  <c r="I2141" i="9"/>
  <c r="J2141" i="9"/>
  <c r="G2142" i="9"/>
  <c r="H2142" i="9"/>
  <c r="I2142" i="9"/>
  <c r="J2142" i="9"/>
  <c r="G2143" i="9"/>
  <c r="H2143" i="9"/>
  <c r="I2143" i="9"/>
  <c r="J2143" i="9"/>
  <c r="G2144" i="9"/>
  <c r="H2144" i="9"/>
  <c r="I2144" i="9"/>
  <c r="J2144" i="9"/>
  <c r="G2145" i="9"/>
  <c r="H2145" i="9"/>
  <c r="I2145" i="9"/>
  <c r="J2145" i="9"/>
  <c r="G2146" i="9"/>
  <c r="H2146" i="9"/>
  <c r="I2146" i="9"/>
  <c r="J2146" i="9"/>
  <c r="G2147" i="9"/>
  <c r="H2147" i="9"/>
  <c r="I2147" i="9"/>
  <c r="J2147" i="9"/>
  <c r="G2148" i="9"/>
  <c r="H2148" i="9"/>
  <c r="I2148" i="9"/>
  <c r="J2148" i="9"/>
  <c r="G2149" i="9"/>
  <c r="H2149" i="9"/>
  <c r="I2149" i="9"/>
  <c r="J2149" i="9"/>
  <c r="G2150" i="9"/>
  <c r="H2150" i="9"/>
  <c r="I2150" i="9"/>
  <c r="J2150" i="9"/>
  <c r="G2151" i="9"/>
  <c r="H2151" i="9"/>
  <c r="I2151" i="9"/>
  <c r="J2151" i="9"/>
  <c r="G2152" i="9"/>
  <c r="H2152" i="9"/>
  <c r="I2152" i="9"/>
  <c r="J2152" i="9"/>
  <c r="G2153" i="9"/>
  <c r="H2153" i="9"/>
  <c r="I2153" i="9"/>
  <c r="J2153" i="9"/>
  <c r="G2154" i="9"/>
  <c r="H2154" i="9"/>
  <c r="I2154" i="9"/>
  <c r="J2154" i="9"/>
  <c r="G2155" i="9"/>
  <c r="H2155" i="9"/>
  <c r="I2155" i="9"/>
  <c r="J2155" i="9"/>
  <c r="G2156" i="9"/>
  <c r="H2156" i="9"/>
  <c r="I2156" i="9"/>
  <c r="J2156" i="9"/>
  <c r="G2157" i="9"/>
  <c r="H2157" i="9"/>
  <c r="I2157" i="9"/>
  <c r="J2157" i="9"/>
  <c r="G2158" i="9"/>
  <c r="H2158" i="9"/>
  <c r="I2158" i="9"/>
  <c r="J2158" i="9"/>
  <c r="G2159" i="9"/>
  <c r="H2159" i="9"/>
  <c r="I2159" i="9"/>
  <c r="J2159" i="9"/>
  <c r="G2160" i="9"/>
  <c r="H2160" i="9"/>
  <c r="I2160" i="9"/>
  <c r="J2160" i="9"/>
  <c r="G2161" i="9"/>
  <c r="H2161" i="9"/>
  <c r="I2161" i="9"/>
  <c r="J2161" i="9"/>
  <c r="G2162" i="9"/>
  <c r="H2162" i="9"/>
  <c r="I2162" i="9"/>
  <c r="J2162" i="9"/>
  <c r="G2163" i="9"/>
  <c r="H2163" i="9"/>
  <c r="I2163" i="9"/>
  <c r="J2163" i="9"/>
  <c r="G2164" i="9"/>
  <c r="H2164" i="9"/>
  <c r="I2164" i="9"/>
  <c r="J2164" i="9"/>
  <c r="G2165" i="9"/>
  <c r="H2165" i="9"/>
  <c r="I2165" i="9"/>
  <c r="J2165" i="9"/>
  <c r="G2166" i="9"/>
  <c r="H2166" i="9"/>
  <c r="I2166" i="9"/>
  <c r="J2166" i="9"/>
  <c r="G2167" i="9"/>
  <c r="H2167" i="9"/>
  <c r="I2167" i="9"/>
  <c r="J2167" i="9"/>
  <c r="G2168" i="9"/>
  <c r="H2168" i="9"/>
  <c r="I2168" i="9"/>
  <c r="J2168" i="9"/>
  <c r="G2169" i="9"/>
  <c r="H2169" i="9"/>
  <c r="I2169" i="9"/>
  <c r="J2169" i="9"/>
  <c r="G2170" i="9"/>
  <c r="H2170" i="9"/>
  <c r="I2170" i="9"/>
  <c r="J2170" i="9"/>
  <c r="G2171" i="9"/>
  <c r="H2171" i="9"/>
  <c r="I2171" i="9"/>
  <c r="J2171" i="9"/>
  <c r="G2172" i="9"/>
  <c r="H2172" i="9"/>
  <c r="I2172" i="9"/>
  <c r="J2172" i="9"/>
  <c r="G2173" i="9"/>
  <c r="H2173" i="9"/>
  <c r="I2173" i="9"/>
  <c r="J2173" i="9"/>
  <c r="G2174" i="9"/>
  <c r="H2174" i="9"/>
  <c r="I2174" i="9"/>
  <c r="J2174" i="9"/>
  <c r="G2175" i="9"/>
  <c r="H2175" i="9"/>
  <c r="I2175" i="9"/>
  <c r="J2175" i="9"/>
  <c r="G2176" i="9"/>
  <c r="H2176" i="9"/>
  <c r="I2176" i="9"/>
  <c r="J2176" i="9"/>
  <c r="G2177" i="9"/>
  <c r="H2177" i="9"/>
  <c r="I2177" i="9"/>
  <c r="J2177" i="9"/>
  <c r="G2178" i="9"/>
  <c r="H2178" i="9"/>
  <c r="I2178" i="9"/>
  <c r="J2178" i="9"/>
  <c r="G2179" i="9"/>
  <c r="H2179" i="9"/>
  <c r="I2179" i="9"/>
  <c r="J2179" i="9"/>
  <c r="G2180" i="9"/>
  <c r="H2180" i="9"/>
  <c r="I2180" i="9"/>
  <c r="J2180" i="9"/>
  <c r="G2181" i="9"/>
  <c r="H2181" i="9"/>
  <c r="I2181" i="9"/>
  <c r="J2181" i="9"/>
  <c r="G2182" i="9"/>
  <c r="H2182" i="9"/>
  <c r="I2182" i="9"/>
  <c r="J2182" i="9"/>
  <c r="G2183" i="9"/>
  <c r="H2183" i="9"/>
  <c r="I2183" i="9"/>
  <c r="J2183" i="9"/>
  <c r="G2184" i="9"/>
  <c r="H2184" i="9"/>
  <c r="I2184" i="9"/>
  <c r="J2184" i="9"/>
  <c r="G2185" i="9"/>
  <c r="H2185" i="9"/>
  <c r="I2185" i="9"/>
  <c r="J2185" i="9"/>
  <c r="G2186" i="9"/>
  <c r="H2186" i="9"/>
  <c r="I2186" i="9"/>
  <c r="J2186" i="9"/>
  <c r="G2187" i="9"/>
  <c r="H2187" i="9"/>
  <c r="I2187" i="9"/>
  <c r="J2187" i="9"/>
  <c r="G2188" i="9"/>
  <c r="H2188" i="9"/>
  <c r="I2188" i="9"/>
  <c r="J2188" i="9"/>
  <c r="G2189" i="9"/>
  <c r="H2189" i="9"/>
  <c r="I2189" i="9"/>
  <c r="J2189" i="9"/>
  <c r="G2190" i="9"/>
  <c r="H2190" i="9"/>
  <c r="I2190" i="9"/>
  <c r="J2190" i="9"/>
  <c r="G2191" i="9"/>
  <c r="H2191" i="9"/>
  <c r="I2191" i="9"/>
  <c r="J2191" i="9"/>
  <c r="G2192" i="9"/>
  <c r="H2192" i="9"/>
  <c r="I2192" i="9"/>
  <c r="J2192" i="9"/>
  <c r="G2193" i="9"/>
  <c r="H2193" i="9"/>
  <c r="I2193" i="9"/>
  <c r="J2193" i="9"/>
  <c r="G2194" i="9"/>
  <c r="H2194" i="9"/>
  <c r="I2194" i="9"/>
  <c r="J2194" i="9"/>
  <c r="G2195" i="9"/>
  <c r="H2195" i="9"/>
  <c r="I2195" i="9"/>
  <c r="J2195" i="9"/>
  <c r="G2196" i="9"/>
  <c r="H2196" i="9"/>
  <c r="I2196" i="9"/>
  <c r="J2196" i="9"/>
  <c r="G2197" i="9"/>
  <c r="H2197" i="9"/>
  <c r="I2197" i="9"/>
  <c r="J2197" i="9"/>
  <c r="G2198" i="9"/>
  <c r="H2198" i="9"/>
  <c r="I2198" i="9"/>
  <c r="J2198" i="9"/>
  <c r="G2199" i="9"/>
  <c r="H2199" i="9"/>
  <c r="I2199" i="9"/>
  <c r="J2199" i="9"/>
  <c r="G2200" i="9"/>
  <c r="H2200" i="9"/>
  <c r="I2200" i="9"/>
  <c r="J2200" i="9"/>
  <c r="G2201" i="9"/>
  <c r="H2201" i="9"/>
  <c r="I2201" i="9"/>
  <c r="J2201" i="9"/>
  <c r="G2202" i="9"/>
  <c r="H2202" i="9"/>
  <c r="I2202" i="9"/>
  <c r="J2202" i="9"/>
  <c r="G2203" i="9"/>
  <c r="H2203" i="9"/>
  <c r="I2203" i="9"/>
  <c r="J2203" i="9"/>
  <c r="G2204" i="9"/>
  <c r="H2204" i="9"/>
  <c r="I2204" i="9"/>
  <c r="J2204" i="9"/>
  <c r="G2205" i="9"/>
  <c r="H2205" i="9"/>
  <c r="I2205" i="9"/>
  <c r="J2205" i="9"/>
  <c r="G2206" i="9"/>
  <c r="H2206" i="9"/>
  <c r="I2206" i="9"/>
  <c r="J2206" i="9"/>
  <c r="G2207" i="9"/>
  <c r="H2207" i="9"/>
  <c r="I2207" i="9"/>
  <c r="J2207" i="9"/>
  <c r="G2208" i="9"/>
  <c r="H2208" i="9"/>
  <c r="I2208" i="9"/>
  <c r="J2208" i="9"/>
  <c r="G2209" i="9"/>
  <c r="H2209" i="9"/>
  <c r="I2209" i="9"/>
  <c r="J2209" i="9"/>
  <c r="G2210" i="9"/>
  <c r="H2210" i="9"/>
  <c r="I2210" i="9"/>
  <c r="J2210" i="9"/>
  <c r="G2211" i="9"/>
  <c r="H2211" i="9"/>
  <c r="I2211" i="9"/>
  <c r="J2211" i="9"/>
  <c r="G2212" i="9"/>
  <c r="H2212" i="9"/>
  <c r="I2212" i="9"/>
  <c r="J2212" i="9"/>
  <c r="G2213" i="9"/>
  <c r="H2213" i="9"/>
  <c r="I2213" i="9"/>
  <c r="J2213" i="9"/>
  <c r="G2214" i="9"/>
  <c r="H2214" i="9"/>
  <c r="I2214" i="9"/>
  <c r="J2214" i="9"/>
  <c r="G2215" i="9"/>
  <c r="H2215" i="9"/>
  <c r="I2215" i="9"/>
  <c r="J2215" i="9"/>
  <c r="G2216" i="9"/>
  <c r="H2216" i="9"/>
  <c r="I2216" i="9"/>
  <c r="J2216" i="9"/>
  <c r="G2217" i="9"/>
  <c r="H2217" i="9"/>
  <c r="I2217" i="9"/>
  <c r="J2217" i="9"/>
  <c r="G2218" i="9"/>
  <c r="H2218" i="9"/>
  <c r="I2218" i="9"/>
  <c r="J2218" i="9"/>
  <c r="G2219" i="9"/>
  <c r="H2219" i="9"/>
  <c r="I2219" i="9"/>
  <c r="J2219" i="9"/>
  <c r="G2220" i="9"/>
  <c r="H2220" i="9"/>
  <c r="I2220" i="9"/>
  <c r="J2220" i="9"/>
  <c r="G2221" i="9"/>
  <c r="H2221" i="9"/>
  <c r="I2221" i="9"/>
  <c r="J2221" i="9"/>
  <c r="G2222" i="9"/>
  <c r="H2222" i="9"/>
  <c r="I2222" i="9"/>
  <c r="J2222" i="9"/>
  <c r="G2223" i="9"/>
  <c r="H2223" i="9"/>
  <c r="I2223" i="9"/>
  <c r="J2223" i="9"/>
  <c r="G2224" i="9"/>
  <c r="H2224" i="9"/>
  <c r="I2224" i="9"/>
  <c r="J2224" i="9"/>
  <c r="G2225" i="9"/>
  <c r="H2225" i="9"/>
  <c r="I2225" i="9"/>
  <c r="J2225" i="9"/>
  <c r="G2226" i="9"/>
  <c r="H2226" i="9"/>
  <c r="I2226" i="9"/>
  <c r="J2226" i="9"/>
  <c r="G2227" i="9"/>
  <c r="H2227" i="9"/>
  <c r="I2227" i="9"/>
  <c r="J2227" i="9"/>
  <c r="G2228" i="9"/>
  <c r="H2228" i="9"/>
  <c r="I2228" i="9"/>
  <c r="J2228" i="9"/>
  <c r="G2229" i="9"/>
  <c r="H2229" i="9"/>
  <c r="I2229" i="9"/>
  <c r="J2229" i="9"/>
  <c r="G2230" i="9"/>
  <c r="H2230" i="9"/>
  <c r="I2230" i="9"/>
  <c r="J2230" i="9"/>
  <c r="G2231" i="9"/>
  <c r="H2231" i="9"/>
  <c r="I2231" i="9"/>
  <c r="J2231" i="9"/>
  <c r="G2232" i="9"/>
  <c r="H2232" i="9"/>
  <c r="I2232" i="9"/>
  <c r="J2232" i="9"/>
  <c r="G2233" i="9"/>
  <c r="H2233" i="9"/>
  <c r="I2233" i="9"/>
  <c r="J2233" i="9"/>
  <c r="G2234" i="9"/>
  <c r="H2234" i="9"/>
  <c r="I2234" i="9"/>
  <c r="J2234" i="9"/>
  <c r="G2235" i="9"/>
  <c r="H2235" i="9"/>
  <c r="I2235" i="9"/>
  <c r="J2235" i="9"/>
  <c r="G2236" i="9"/>
  <c r="H2236" i="9"/>
  <c r="I2236" i="9"/>
  <c r="J2236" i="9"/>
  <c r="G2237" i="9"/>
  <c r="H2237" i="9"/>
  <c r="I2237" i="9"/>
  <c r="J2237" i="9"/>
  <c r="G2238" i="9"/>
  <c r="H2238" i="9"/>
  <c r="I2238" i="9"/>
  <c r="J2238" i="9"/>
  <c r="G2239" i="9"/>
  <c r="H2239" i="9"/>
  <c r="I2239" i="9"/>
  <c r="J2239" i="9"/>
  <c r="G2240" i="9"/>
  <c r="H2240" i="9"/>
  <c r="I2240" i="9"/>
  <c r="J2240" i="9"/>
  <c r="G2241" i="9"/>
  <c r="H2241" i="9"/>
  <c r="I2241" i="9"/>
  <c r="J2241" i="9"/>
  <c r="G2242" i="9"/>
  <c r="H2242" i="9"/>
  <c r="I2242" i="9"/>
  <c r="J2242" i="9"/>
  <c r="G2243" i="9"/>
  <c r="H2243" i="9"/>
  <c r="I2243" i="9"/>
  <c r="J2243" i="9"/>
  <c r="G2244" i="9"/>
  <c r="H2244" i="9"/>
  <c r="I2244" i="9"/>
  <c r="J2244" i="9"/>
  <c r="G2245" i="9"/>
  <c r="H2245" i="9"/>
  <c r="I2245" i="9"/>
  <c r="J2245" i="9"/>
  <c r="G2246" i="9"/>
  <c r="H2246" i="9"/>
  <c r="I2246" i="9"/>
  <c r="J2246" i="9"/>
  <c r="G2247" i="9"/>
  <c r="H2247" i="9"/>
  <c r="I2247" i="9"/>
  <c r="J2247" i="9"/>
  <c r="G2248" i="9"/>
  <c r="H2248" i="9"/>
  <c r="I2248" i="9"/>
  <c r="J2248" i="9"/>
  <c r="G2249" i="9"/>
  <c r="H2249" i="9"/>
  <c r="I2249" i="9"/>
  <c r="J2249" i="9"/>
  <c r="G2250" i="9"/>
  <c r="H2250" i="9"/>
  <c r="I2250" i="9"/>
  <c r="J2250" i="9"/>
  <c r="G2251" i="9"/>
  <c r="H2251" i="9"/>
  <c r="I2251" i="9"/>
  <c r="J2251" i="9"/>
  <c r="G2252" i="9"/>
  <c r="H2252" i="9"/>
  <c r="I2252" i="9"/>
  <c r="J2252" i="9"/>
  <c r="G2253" i="9"/>
  <c r="H2253" i="9"/>
  <c r="I2253" i="9"/>
  <c r="J2253" i="9"/>
  <c r="G2254" i="9"/>
  <c r="H2254" i="9"/>
  <c r="I2254" i="9"/>
  <c r="J2254" i="9"/>
  <c r="G2255" i="9"/>
  <c r="H2255" i="9"/>
  <c r="I2255" i="9"/>
  <c r="J2255" i="9"/>
  <c r="G2256" i="9"/>
  <c r="H2256" i="9"/>
  <c r="I2256" i="9"/>
  <c r="J2256" i="9"/>
  <c r="G2257" i="9"/>
  <c r="H2257" i="9"/>
  <c r="I2257" i="9"/>
  <c r="J2257" i="9"/>
  <c r="G2258" i="9"/>
  <c r="H2258" i="9"/>
  <c r="I2258" i="9"/>
  <c r="J2258" i="9"/>
  <c r="G2259" i="9"/>
  <c r="H2259" i="9"/>
  <c r="I2259" i="9"/>
  <c r="J2259" i="9"/>
  <c r="G2260" i="9"/>
  <c r="H2260" i="9"/>
  <c r="I2260" i="9"/>
  <c r="J2260" i="9"/>
  <c r="G2261" i="9"/>
  <c r="H2261" i="9"/>
  <c r="I2261" i="9"/>
  <c r="J2261" i="9"/>
  <c r="G2262" i="9"/>
  <c r="H2262" i="9"/>
  <c r="I2262" i="9"/>
  <c r="J2262" i="9"/>
  <c r="G2263" i="9"/>
  <c r="H2263" i="9"/>
  <c r="I2263" i="9"/>
  <c r="J2263" i="9"/>
  <c r="G2264" i="9"/>
  <c r="H2264" i="9"/>
  <c r="I2264" i="9"/>
  <c r="J2264" i="9"/>
  <c r="G2265" i="9"/>
  <c r="H2265" i="9"/>
  <c r="I2265" i="9"/>
  <c r="J2265" i="9"/>
  <c r="G2266" i="9"/>
  <c r="H2266" i="9"/>
  <c r="I2266" i="9"/>
  <c r="J2266" i="9"/>
  <c r="G2267" i="9"/>
  <c r="H2267" i="9"/>
  <c r="I2267" i="9"/>
  <c r="J2267" i="9"/>
  <c r="G2268" i="9"/>
  <c r="H2268" i="9"/>
  <c r="I2268" i="9"/>
  <c r="J2268" i="9"/>
  <c r="G2269" i="9"/>
  <c r="H2269" i="9"/>
  <c r="I2269" i="9"/>
  <c r="J2269" i="9"/>
  <c r="G2270" i="9"/>
  <c r="H2270" i="9"/>
  <c r="I2270" i="9"/>
  <c r="J2270" i="9"/>
  <c r="G2271" i="9"/>
  <c r="H2271" i="9"/>
  <c r="I2271" i="9"/>
  <c r="J2271" i="9"/>
  <c r="G2272" i="9"/>
  <c r="H2272" i="9"/>
  <c r="I2272" i="9"/>
  <c r="J2272" i="9"/>
  <c r="G2273" i="9"/>
  <c r="H2273" i="9"/>
  <c r="I2273" i="9"/>
  <c r="J2273" i="9"/>
  <c r="G2274" i="9"/>
  <c r="H2274" i="9"/>
  <c r="I2274" i="9"/>
  <c r="J2274" i="9"/>
  <c r="G2275" i="9"/>
  <c r="H2275" i="9"/>
  <c r="I2275" i="9"/>
  <c r="J2275" i="9"/>
  <c r="G2276" i="9"/>
  <c r="H2276" i="9"/>
  <c r="I2276" i="9"/>
  <c r="J2276" i="9"/>
  <c r="G2277" i="9"/>
  <c r="H2277" i="9"/>
  <c r="I2277" i="9"/>
  <c r="J2277" i="9"/>
  <c r="G2278" i="9"/>
  <c r="H2278" i="9"/>
  <c r="I2278" i="9"/>
  <c r="J2278" i="9"/>
  <c r="G2279" i="9"/>
  <c r="H2279" i="9"/>
  <c r="I2279" i="9"/>
  <c r="J2279" i="9"/>
  <c r="G2280" i="9"/>
  <c r="H2280" i="9"/>
  <c r="I2280" i="9"/>
  <c r="J2280" i="9"/>
  <c r="G2281" i="9"/>
  <c r="H2281" i="9"/>
  <c r="I2281" i="9"/>
  <c r="J2281" i="9"/>
  <c r="G2282" i="9"/>
  <c r="H2282" i="9"/>
  <c r="I2282" i="9"/>
  <c r="J2282" i="9"/>
  <c r="G2283" i="9"/>
  <c r="H2283" i="9"/>
  <c r="I2283" i="9"/>
  <c r="J2283" i="9"/>
  <c r="G2284" i="9"/>
  <c r="H2284" i="9"/>
  <c r="I2284" i="9"/>
  <c r="J2284" i="9"/>
  <c r="G2285" i="9"/>
  <c r="H2285" i="9"/>
  <c r="I2285" i="9"/>
  <c r="J2285" i="9"/>
  <c r="G2286" i="9"/>
  <c r="H2286" i="9"/>
  <c r="I2286" i="9"/>
  <c r="J2286" i="9"/>
  <c r="G2287" i="9"/>
  <c r="H2287" i="9"/>
  <c r="I2287" i="9"/>
  <c r="J2287" i="9"/>
  <c r="G2288" i="9"/>
  <c r="H2288" i="9"/>
  <c r="I2288" i="9"/>
  <c r="J2288" i="9"/>
  <c r="G2289" i="9"/>
  <c r="H2289" i="9"/>
  <c r="I2289" i="9"/>
  <c r="J2289" i="9"/>
  <c r="G2290" i="9"/>
  <c r="H2290" i="9"/>
  <c r="I2290" i="9"/>
  <c r="J2290" i="9"/>
  <c r="G2291" i="9"/>
  <c r="H2291" i="9"/>
  <c r="I2291" i="9"/>
  <c r="J2291" i="9"/>
  <c r="G2292" i="9"/>
  <c r="H2292" i="9"/>
  <c r="I2292" i="9"/>
  <c r="J2292" i="9"/>
  <c r="G2293" i="9"/>
  <c r="H2293" i="9"/>
  <c r="I2293" i="9"/>
  <c r="J2293" i="9"/>
  <c r="G2294" i="9"/>
  <c r="H2294" i="9"/>
  <c r="I2294" i="9"/>
  <c r="J2294" i="9"/>
  <c r="G2295" i="9"/>
  <c r="H2295" i="9"/>
  <c r="I2295" i="9"/>
  <c r="J2295" i="9"/>
  <c r="G2296" i="9"/>
  <c r="H2296" i="9"/>
  <c r="I2296" i="9"/>
  <c r="J2296" i="9"/>
  <c r="G2297" i="9"/>
  <c r="H2297" i="9"/>
  <c r="I2297" i="9"/>
  <c r="J2297" i="9"/>
  <c r="G2298" i="9"/>
  <c r="H2298" i="9"/>
  <c r="I2298" i="9"/>
  <c r="J2298" i="9"/>
  <c r="G2299" i="9"/>
  <c r="H2299" i="9"/>
  <c r="I2299" i="9"/>
  <c r="J2299" i="9"/>
  <c r="G2300" i="9"/>
  <c r="H2300" i="9"/>
  <c r="I2300" i="9"/>
  <c r="J2300" i="9"/>
  <c r="G2301" i="9"/>
  <c r="H2301" i="9"/>
  <c r="I2301" i="9"/>
  <c r="J2301" i="9"/>
  <c r="G2302" i="9"/>
  <c r="H2302" i="9"/>
  <c r="I2302" i="9"/>
  <c r="J2302" i="9"/>
  <c r="G2303" i="9"/>
  <c r="H2303" i="9"/>
  <c r="I2303" i="9"/>
  <c r="J2303" i="9"/>
  <c r="G2304" i="9"/>
  <c r="H2304" i="9"/>
  <c r="I2304" i="9"/>
  <c r="J2304" i="9"/>
  <c r="G2305" i="9"/>
  <c r="H2305" i="9"/>
  <c r="I2305" i="9"/>
  <c r="J2305" i="9"/>
  <c r="G2306" i="9"/>
  <c r="H2306" i="9"/>
  <c r="I2306" i="9"/>
  <c r="J2306" i="9"/>
  <c r="G2307" i="9"/>
  <c r="H2307" i="9"/>
  <c r="I2307" i="9"/>
  <c r="J2307" i="9"/>
  <c r="G2308" i="9"/>
  <c r="H2308" i="9"/>
  <c r="I2308" i="9"/>
  <c r="J2308" i="9"/>
  <c r="G2309" i="9"/>
  <c r="H2309" i="9"/>
  <c r="I2309" i="9"/>
  <c r="J2309" i="9"/>
  <c r="G2310" i="9"/>
  <c r="H2310" i="9"/>
  <c r="I2310" i="9"/>
  <c r="J2310" i="9"/>
  <c r="G2311" i="9"/>
  <c r="H2311" i="9"/>
  <c r="I2311" i="9"/>
  <c r="J2311" i="9"/>
  <c r="G2312" i="9"/>
  <c r="H2312" i="9"/>
  <c r="I2312" i="9"/>
  <c r="J2312" i="9"/>
  <c r="G2313" i="9"/>
  <c r="H2313" i="9"/>
  <c r="I2313" i="9"/>
  <c r="J2313" i="9"/>
  <c r="G2314" i="9"/>
  <c r="H2314" i="9"/>
  <c r="I2314" i="9"/>
  <c r="J2314" i="9"/>
  <c r="G2315" i="9"/>
  <c r="H2315" i="9"/>
  <c r="I2315" i="9"/>
  <c r="J2315" i="9"/>
  <c r="G2316" i="9"/>
  <c r="H2316" i="9"/>
  <c r="I2316" i="9"/>
  <c r="J2316" i="9"/>
  <c r="G2317" i="9"/>
  <c r="H2317" i="9"/>
  <c r="I2317" i="9"/>
  <c r="J2317" i="9"/>
  <c r="G2318" i="9"/>
  <c r="H2318" i="9"/>
  <c r="I2318" i="9"/>
  <c r="J2318" i="9"/>
  <c r="G2319" i="9"/>
  <c r="H2319" i="9"/>
  <c r="I2319" i="9"/>
  <c r="J2319" i="9"/>
  <c r="G2320" i="9"/>
  <c r="H2320" i="9"/>
  <c r="I2320" i="9"/>
  <c r="J2320" i="9"/>
  <c r="G2321" i="9"/>
  <c r="H2321" i="9"/>
  <c r="I2321" i="9"/>
  <c r="J2321" i="9"/>
  <c r="G2322" i="9"/>
  <c r="H2322" i="9"/>
  <c r="I2322" i="9"/>
  <c r="J2322" i="9"/>
  <c r="G2323" i="9"/>
  <c r="H2323" i="9"/>
  <c r="I2323" i="9"/>
  <c r="J2323" i="9"/>
  <c r="G2324" i="9"/>
  <c r="H2324" i="9"/>
  <c r="I2324" i="9"/>
  <c r="J2324" i="9"/>
  <c r="G2325" i="9"/>
  <c r="H2325" i="9"/>
  <c r="I2325" i="9"/>
  <c r="J2325" i="9"/>
  <c r="G2326" i="9"/>
  <c r="H2326" i="9"/>
  <c r="I2326" i="9"/>
  <c r="J2326" i="9"/>
  <c r="G2327" i="9"/>
  <c r="H2327" i="9"/>
  <c r="I2327" i="9"/>
  <c r="J2327" i="9"/>
  <c r="G2328" i="9"/>
  <c r="H2328" i="9"/>
  <c r="I2328" i="9"/>
  <c r="J2328" i="9"/>
  <c r="G2329" i="9"/>
  <c r="H2329" i="9"/>
  <c r="I2329" i="9"/>
  <c r="J2329" i="9"/>
  <c r="G2330" i="9"/>
  <c r="H2330" i="9"/>
  <c r="I2330" i="9"/>
  <c r="J2330" i="9"/>
  <c r="G2331" i="9"/>
  <c r="H2331" i="9"/>
  <c r="I2331" i="9"/>
  <c r="J2331" i="9"/>
  <c r="G2332" i="9"/>
  <c r="H2332" i="9"/>
  <c r="I2332" i="9"/>
  <c r="J2332" i="9"/>
  <c r="G2333" i="9"/>
  <c r="H2333" i="9"/>
  <c r="I2333" i="9"/>
  <c r="J2333" i="9"/>
  <c r="G2334" i="9"/>
  <c r="H2334" i="9"/>
  <c r="I2334" i="9"/>
  <c r="J2334" i="9"/>
  <c r="G2335" i="9"/>
  <c r="H2335" i="9"/>
  <c r="I2335" i="9"/>
  <c r="J2335" i="9"/>
  <c r="G2336" i="9"/>
  <c r="H2336" i="9"/>
  <c r="I2336" i="9"/>
  <c r="J2336" i="9"/>
  <c r="G2337" i="9"/>
  <c r="H2337" i="9"/>
  <c r="I2337" i="9"/>
  <c r="J2337" i="9"/>
  <c r="G2338" i="9"/>
  <c r="H2338" i="9"/>
  <c r="I2338" i="9"/>
  <c r="J2338" i="9"/>
  <c r="G2339" i="9"/>
  <c r="H2339" i="9"/>
  <c r="I2339" i="9"/>
  <c r="J2339" i="9"/>
  <c r="G2340" i="9"/>
  <c r="H2340" i="9"/>
  <c r="I2340" i="9"/>
  <c r="J2340" i="9"/>
  <c r="G2341" i="9"/>
  <c r="H2341" i="9"/>
  <c r="I2341" i="9"/>
  <c r="J2341" i="9"/>
  <c r="G2342" i="9"/>
  <c r="H2342" i="9"/>
  <c r="I2342" i="9"/>
  <c r="J2342" i="9"/>
  <c r="G2343" i="9"/>
  <c r="H2343" i="9"/>
  <c r="I2343" i="9"/>
  <c r="J2343" i="9"/>
  <c r="G2344" i="9"/>
  <c r="H2344" i="9"/>
  <c r="I2344" i="9"/>
  <c r="J2344" i="9"/>
  <c r="G2345" i="9"/>
  <c r="H2345" i="9"/>
  <c r="I2345" i="9"/>
  <c r="J2345" i="9"/>
  <c r="G2346" i="9"/>
  <c r="H2346" i="9"/>
  <c r="I2346" i="9"/>
  <c r="J2346" i="9"/>
  <c r="G2347" i="9"/>
  <c r="H2347" i="9"/>
  <c r="I2347" i="9"/>
  <c r="J2347" i="9"/>
  <c r="G2348" i="9"/>
  <c r="H2348" i="9"/>
  <c r="I2348" i="9"/>
  <c r="J2348" i="9"/>
  <c r="G2349" i="9"/>
  <c r="H2349" i="9"/>
  <c r="I2349" i="9"/>
  <c r="J2349" i="9"/>
  <c r="G2350" i="9"/>
  <c r="H2350" i="9"/>
  <c r="I2350" i="9"/>
  <c r="J2350" i="9"/>
  <c r="G2351" i="9"/>
  <c r="H2351" i="9"/>
  <c r="I2351" i="9"/>
  <c r="J2351" i="9"/>
  <c r="G2352" i="9"/>
  <c r="H2352" i="9"/>
  <c r="I2352" i="9"/>
  <c r="J2352" i="9"/>
  <c r="G2353" i="9"/>
  <c r="H2353" i="9"/>
  <c r="I2353" i="9"/>
  <c r="J2353" i="9"/>
  <c r="G2354" i="9"/>
  <c r="H2354" i="9"/>
  <c r="I2354" i="9"/>
  <c r="J2354" i="9"/>
  <c r="G2355" i="9"/>
  <c r="H2355" i="9"/>
  <c r="I2355" i="9"/>
  <c r="J2355" i="9"/>
  <c r="G2356" i="9"/>
  <c r="H2356" i="9"/>
  <c r="I2356" i="9"/>
  <c r="J2356" i="9"/>
  <c r="G2357" i="9"/>
  <c r="H2357" i="9"/>
  <c r="I2357" i="9"/>
  <c r="J2357" i="9"/>
  <c r="G2358" i="9"/>
  <c r="H2358" i="9"/>
  <c r="I2358" i="9"/>
  <c r="J2358" i="9"/>
  <c r="G2359" i="9"/>
  <c r="H2359" i="9"/>
  <c r="I2359" i="9"/>
  <c r="J2359" i="9"/>
  <c r="G2360" i="9"/>
  <c r="H2360" i="9"/>
  <c r="I2360" i="9"/>
  <c r="J2360" i="9"/>
  <c r="G2361" i="9"/>
  <c r="H2361" i="9"/>
  <c r="I2361" i="9"/>
  <c r="J2361" i="9"/>
  <c r="G2362" i="9"/>
  <c r="H2362" i="9"/>
  <c r="I2362" i="9"/>
  <c r="J2362" i="9"/>
  <c r="G2363" i="9"/>
  <c r="H2363" i="9"/>
  <c r="I2363" i="9"/>
  <c r="J2363" i="9"/>
  <c r="G2364" i="9"/>
  <c r="H2364" i="9"/>
  <c r="I2364" i="9"/>
  <c r="J2364" i="9"/>
  <c r="G2365" i="9"/>
  <c r="H2365" i="9"/>
  <c r="I2365" i="9"/>
  <c r="J2365" i="9"/>
  <c r="G2366" i="9"/>
  <c r="H2366" i="9"/>
  <c r="I2366" i="9"/>
  <c r="J2366" i="9"/>
  <c r="G2367" i="9"/>
  <c r="H2367" i="9"/>
  <c r="I2367" i="9"/>
  <c r="J2367" i="9"/>
  <c r="G2368" i="9"/>
  <c r="H2368" i="9"/>
  <c r="I2368" i="9"/>
  <c r="J2368" i="9"/>
  <c r="G2369" i="9"/>
  <c r="H2369" i="9"/>
  <c r="I2369" i="9"/>
  <c r="J2369" i="9"/>
  <c r="G2370" i="9"/>
  <c r="H2370" i="9"/>
  <c r="I2370" i="9"/>
  <c r="J2370" i="9"/>
  <c r="G2371" i="9"/>
  <c r="H2371" i="9"/>
  <c r="I2371" i="9"/>
  <c r="J2371" i="9"/>
  <c r="G2372" i="9"/>
  <c r="H2372" i="9"/>
  <c r="I2372" i="9"/>
  <c r="J2372" i="9"/>
  <c r="G2373" i="9"/>
  <c r="H2373" i="9"/>
  <c r="I2373" i="9"/>
  <c r="J2373" i="9"/>
  <c r="G2374" i="9"/>
  <c r="H2374" i="9"/>
  <c r="I2374" i="9"/>
  <c r="J2374" i="9"/>
  <c r="G2375" i="9"/>
  <c r="H2375" i="9"/>
  <c r="I2375" i="9"/>
  <c r="J2375" i="9"/>
  <c r="G2376" i="9"/>
  <c r="H2376" i="9"/>
  <c r="I2376" i="9"/>
  <c r="J2376" i="9"/>
  <c r="G2377" i="9"/>
  <c r="H2377" i="9"/>
  <c r="I2377" i="9"/>
  <c r="J2377" i="9"/>
  <c r="G2378" i="9"/>
  <c r="H2378" i="9"/>
  <c r="I2378" i="9"/>
  <c r="J2378" i="9"/>
  <c r="G2379" i="9"/>
  <c r="H2379" i="9"/>
  <c r="I2379" i="9"/>
  <c r="J2379" i="9"/>
  <c r="G2380" i="9"/>
  <c r="H2380" i="9"/>
  <c r="I2380" i="9"/>
  <c r="J2380" i="9"/>
  <c r="G2381" i="9"/>
  <c r="H2381" i="9"/>
  <c r="I2381" i="9"/>
  <c r="J2381" i="9"/>
  <c r="G2382" i="9"/>
  <c r="H2382" i="9"/>
  <c r="I2382" i="9"/>
  <c r="J2382" i="9"/>
  <c r="G2383" i="9"/>
  <c r="H2383" i="9"/>
  <c r="I2383" i="9"/>
  <c r="J2383" i="9"/>
  <c r="G2384" i="9"/>
  <c r="H2384" i="9"/>
  <c r="I2384" i="9"/>
  <c r="J2384" i="9"/>
  <c r="G2385" i="9"/>
  <c r="H2385" i="9"/>
  <c r="I2385" i="9"/>
  <c r="J2385" i="9"/>
  <c r="G2386" i="9"/>
  <c r="H2386" i="9"/>
  <c r="I2386" i="9"/>
  <c r="J2386" i="9"/>
  <c r="G2387" i="9"/>
  <c r="H2387" i="9"/>
  <c r="I2387" i="9"/>
  <c r="J2387" i="9"/>
  <c r="G2388" i="9"/>
  <c r="H2388" i="9"/>
  <c r="I2388" i="9"/>
  <c r="J2388" i="9"/>
  <c r="G2389" i="9"/>
  <c r="H2389" i="9"/>
  <c r="I2389" i="9"/>
  <c r="J2389" i="9"/>
  <c r="G2390" i="9"/>
  <c r="H2390" i="9"/>
  <c r="I2390" i="9"/>
  <c r="J2390" i="9"/>
  <c r="G2391" i="9"/>
  <c r="H2391" i="9"/>
  <c r="I2391" i="9"/>
  <c r="J2391" i="9"/>
  <c r="G2392" i="9"/>
  <c r="H2392" i="9"/>
  <c r="I2392" i="9"/>
  <c r="J2392" i="9"/>
  <c r="G2393" i="9"/>
  <c r="H2393" i="9"/>
  <c r="I2393" i="9"/>
  <c r="J2393" i="9"/>
  <c r="G2394" i="9"/>
  <c r="H2394" i="9"/>
  <c r="I2394" i="9"/>
  <c r="J2394" i="9"/>
  <c r="G2395" i="9"/>
  <c r="H2395" i="9"/>
  <c r="I2395" i="9"/>
  <c r="J2395" i="9"/>
  <c r="G2396" i="9"/>
  <c r="H2396" i="9"/>
  <c r="I2396" i="9"/>
  <c r="J2396" i="9"/>
  <c r="G2397" i="9"/>
  <c r="H2397" i="9"/>
  <c r="I2397" i="9"/>
  <c r="J2397" i="9"/>
  <c r="G2398" i="9"/>
  <c r="H2398" i="9"/>
  <c r="I2398" i="9"/>
  <c r="J2398" i="9"/>
  <c r="G2399" i="9"/>
  <c r="H2399" i="9"/>
  <c r="I2399" i="9"/>
  <c r="J2399" i="9"/>
  <c r="G2400" i="9"/>
  <c r="H2400" i="9"/>
  <c r="I2400" i="9"/>
  <c r="J2400" i="9"/>
  <c r="G2401" i="9"/>
  <c r="H2401" i="9"/>
  <c r="I2401" i="9"/>
  <c r="J2401" i="9"/>
  <c r="G2402" i="9"/>
  <c r="H2402" i="9"/>
  <c r="I2402" i="9"/>
  <c r="J2402" i="9"/>
  <c r="G2403" i="9"/>
  <c r="H2403" i="9"/>
  <c r="I2403" i="9"/>
  <c r="J2403" i="9"/>
  <c r="G2404" i="9"/>
  <c r="H2404" i="9"/>
  <c r="I2404" i="9"/>
  <c r="J2404" i="9"/>
  <c r="G2405" i="9"/>
  <c r="H2405" i="9"/>
  <c r="I2405" i="9"/>
  <c r="J2405" i="9"/>
  <c r="G2406" i="9"/>
  <c r="H2406" i="9"/>
  <c r="I2406" i="9"/>
  <c r="J2406" i="9"/>
  <c r="G2407" i="9"/>
  <c r="H2407" i="9"/>
  <c r="I2407" i="9"/>
  <c r="J2407" i="9"/>
  <c r="G2408" i="9"/>
  <c r="H2408" i="9"/>
  <c r="I2408" i="9"/>
  <c r="J2408" i="9"/>
  <c r="G2409" i="9"/>
  <c r="H2409" i="9"/>
  <c r="I2409" i="9"/>
  <c r="J2409" i="9"/>
  <c r="G2410" i="9"/>
  <c r="H2410" i="9"/>
  <c r="I2410" i="9"/>
  <c r="J2410" i="9"/>
  <c r="G2411" i="9"/>
  <c r="H2411" i="9"/>
  <c r="I2411" i="9"/>
  <c r="J2411" i="9"/>
  <c r="G2412" i="9"/>
  <c r="H2412" i="9"/>
  <c r="I2412" i="9"/>
  <c r="J2412" i="9"/>
  <c r="G2413" i="9"/>
  <c r="H2413" i="9"/>
  <c r="I2413" i="9"/>
  <c r="J2413" i="9"/>
  <c r="G2414" i="9"/>
  <c r="H2414" i="9"/>
  <c r="I2414" i="9"/>
  <c r="J2414" i="9"/>
  <c r="G2415" i="9"/>
  <c r="H2415" i="9"/>
  <c r="I2415" i="9"/>
  <c r="J2415" i="9"/>
  <c r="G2416" i="9"/>
  <c r="H2416" i="9"/>
  <c r="I2416" i="9"/>
  <c r="J2416" i="9"/>
  <c r="G2417" i="9"/>
  <c r="H2417" i="9"/>
  <c r="I2417" i="9"/>
  <c r="J2417" i="9"/>
  <c r="G2418" i="9"/>
  <c r="H2418" i="9"/>
  <c r="I2418" i="9"/>
  <c r="J2418" i="9"/>
  <c r="G2419" i="9"/>
  <c r="H2419" i="9"/>
  <c r="I2419" i="9"/>
  <c r="J2419" i="9"/>
  <c r="G2420" i="9"/>
  <c r="H2420" i="9"/>
  <c r="I2420" i="9"/>
  <c r="J2420" i="9"/>
  <c r="G2421" i="9"/>
  <c r="H2421" i="9"/>
  <c r="I2421" i="9"/>
  <c r="J2421" i="9"/>
  <c r="G2422" i="9"/>
  <c r="H2422" i="9"/>
  <c r="I2422" i="9"/>
  <c r="J2422" i="9"/>
  <c r="G2423" i="9"/>
  <c r="H2423" i="9"/>
  <c r="I2423" i="9"/>
  <c r="J2423" i="9"/>
  <c r="G2424" i="9"/>
  <c r="H2424" i="9"/>
  <c r="I2424" i="9"/>
  <c r="J2424" i="9"/>
  <c r="G2425" i="9"/>
  <c r="H2425" i="9"/>
  <c r="I2425" i="9"/>
  <c r="J2425" i="9"/>
  <c r="G2426" i="9"/>
  <c r="H2426" i="9"/>
  <c r="I2426" i="9"/>
  <c r="J2426" i="9"/>
  <c r="G2427" i="9"/>
  <c r="H2427" i="9"/>
  <c r="I2427" i="9"/>
  <c r="J2427" i="9"/>
  <c r="G2428" i="9"/>
  <c r="H2428" i="9"/>
  <c r="I2428" i="9"/>
  <c r="J2428" i="9"/>
  <c r="G2429" i="9"/>
  <c r="H2429" i="9"/>
  <c r="I2429" i="9"/>
  <c r="J2429" i="9"/>
  <c r="G2430" i="9"/>
  <c r="H2430" i="9"/>
  <c r="I2430" i="9"/>
  <c r="J2430" i="9"/>
  <c r="G2431" i="9"/>
  <c r="H2431" i="9"/>
  <c r="I2431" i="9"/>
  <c r="J2431" i="9"/>
  <c r="G2432" i="9"/>
  <c r="H2432" i="9"/>
  <c r="I2432" i="9"/>
  <c r="J2432" i="9"/>
  <c r="G2433" i="9"/>
  <c r="H2433" i="9"/>
  <c r="I2433" i="9"/>
  <c r="J2433" i="9"/>
  <c r="G2434" i="9"/>
  <c r="H2434" i="9"/>
  <c r="I2434" i="9"/>
  <c r="J2434" i="9"/>
  <c r="G2435" i="9"/>
  <c r="H2435" i="9"/>
  <c r="I2435" i="9"/>
  <c r="J2435" i="9"/>
  <c r="G2436" i="9"/>
  <c r="H2436" i="9"/>
  <c r="I2436" i="9"/>
  <c r="J2436" i="9"/>
  <c r="G2437" i="9"/>
  <c r="H2437" i="9"/>
  <c r="I2437" i="9"/>
  <c r="J2437" i="9"/>
  <c r="G2438" i="9"/>
  <c r="H2438" i="9"/>
  <c r="I2438" i="9"/>
  <c r="J2438" i="9"/>
  <c r="G2439" i="9"/>
  <c r="H2439" i="9"/>
  <c r="I2439" i="9"/>
  <c r="J2439" i="9"/>
  <c r="G2440" i="9"/>
  <c r="H2440" i="9"/>
  <c r="I2440" i="9"/>
  <c r="J2440" i="9"/>
  <c r="G2441" i="9"/>
  <c r="H2441" i="9"/>
  <c r="I2441" i="9"/>
  <c r="J2441" i="9"/>
  <c r="G2442" i="9"/>
  <c r="H2442" i="9"/>
  <c r="I2442" i="9"/>
  <c r="J2442" i="9"/>
  <c r="G2443" i="9"/>
  <c r="H2443" i="9"/>
  <c r="I2443" i="9"/>
  <c r="J2443" i="9"/>
  <c r="G2444" i="9"/>
  <c r="H2444" i="9"/>
  <c r="I2444" i="9"/>
  <c r="J2444" i="9"/>
  <c r="G2445" i="9"/>
  <c r="H2445" i="9"/>
  <c r="I2445" i="9"/>
  <c r="J2445" i="9"/>
  <c r="G2446" i="9"/>
  <c r="H2446" i="9"/>
  <c r="I2446" i="9"/>
  <c r="J2446" i="9"/>
  <c r="G2447" i="9"/>
  <c r="H2447" i="9"/>
  <c r="I2447" i="9"/>
  <c r="J2447" i="9"/>
  <c r="G2448" i="9"/>
  <c r="H2448" i="9"/>
  <c r="I2448" i="9"/>
  <c r="J2448" i="9"/>
  <c r="G2449" i="9"/>
  <c r="H2449" i="9"/>
  <c r="I2449" i="9"/>
  <c r="J2449" i="9"/>
  <c r="G2450" i="9"/>
  <c r="H2450" i="9"/>
  <c r="I2450" i="9"/>
  <c r="J2450" i="9"/>
  <c r="G2451" i="9"/>
  <c r="H2451" i="9"/>
  <c r="I2451" i="9"/>
  <c r="J2451" i="9"/>
  <c r="G2452" i="9"/>
  <c r="H2452" i="9"/>
  <c r="I2452" i="9"/>
  <c r="J2452" i="9"/>
  <c r="G2453" i="9"/>
  <c r="H2453" i="9"/>
  <c r="I2453" i="9"/>
  <c r="J2453" i="9"/>
  <c r="G2454" i="9"/>
  <c r="H2454" i="9"/>
  <c r="I2454" i="9"/>
  <c r="J2454" i="9"/>
  <c r="G2455" i="9"/>
  <c r="H2455" i="9"/>
  <c r="I2455" i="9"/>
  <c r="J2455" i="9"/>
  <c r="G2456" i="9"/>
  <c r="H2456" i="9"/>
  <c r="I2456" i="9"/>
  <c r="J2456" i="9"/>
  <c r="G2457" i="9"/>
  <c r="H2457" i="9"/>
  <c r="I2457" i="9"/>
  <c r="J2457" i="9"/>
  <c r="G2458" i="9"/>
  <c r="H2458" i="9"/>
  <c r="I2458" i="9"/>
  <c r="J2458" i="9"/>
  <c r="G2459" i="9"/>
  <c r="H2459" i="9"/>
  <c r="I2459" i="9"/>
  <c r="J2459" i="9"/>
  <c r="G2460" i="9"/>
  <c r="H2460" i="9"/>
  <c r="I2460" i="9"/>
  <c r="J2460" i="9"/>
  <c r="G2461" i="9"/>
  <c r="H2461" i="9"/>
  <c r="I2461" i="9"/>
  <c r="J2461" i="9"/>
  <c r="G2462" i="9"/>
  <c r="H2462" i="9"/>
  <c r="I2462" i="9"/>
  <c r="J2462" i="9"/>
  <c r="G2463" i="9"/>
  <c r="H2463" i="9"/>
  <c r="I2463" i="9"/>
  <c r="J2463" i="9"/>
  <c r="G2464" i="9"/>
  <c r="H2464" i="9"/>
  <c r="I2464" i="9"/>
  <c r="J2464" i="9"/>
  <c r="G2465" i="9"/>
  <c r="H2465" i="9"/>
  <c r="I2465" i="9"/>
  <c r="J2465" i="9"/>
  <c r="G2466" i="9"/>
  <c r="H2466" i="9"/>
  <c r="I2466" i="9"/>
  <c r="J2466" i="9"/>
  <c r="G2467" i="9"/>
  <c r="H2467" i="9"/>
  <c r="I2467" i="9"/>
  <c r="J2467" i="9"/>
  <c r="G2468" i="9"/>
  <c r="H2468" i="9"/>
  <c r="I2468" i="9"/>
  <c r="J2468" i="9"/>
  <c r="G2469" i="9"/>
  <c r="H2469" i="9"/>
  <c r="I2469" i="9"/>
  <c r="J2469" i="9"/>
  <c r="G2470" i="9"/>
  <c r="H2470" i="9"/>
  <c r="I2470" i="9"/>
  <c r="J2470" i="9"/>
  <c r="G2471" i="9"/>
  <c r="H2471" i="9"/>
  <c r="I2471" i="9"/>
  <c r="J2471" i="9"/>
  <c r="G2472" i="9"/>
  <c r="H2472" i="9"/>
  <c r="I2472" i="9"/>
  <c r="J2472" i="9"/>
  <c r="H5" i="9"/>
  <c r="I5" i="9"/>
  <c r="J5" i="9"/>
  <c r="G5" i="9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B1" i="8" l="1"/>
  <c r="B1" i="4"/>
  <c r="F1" i="10" l="1"/>
  <c r="E1" i="10" l="1" a="1"/>
  <c r="E1" i="10" s="1"/>
  <c r="A1" i="10" s="1"/>
  <c r="C17" i="4"/>
  <c r="C63" i="4"/>
  <c r="E2" i="10" l="1" a="1"/>
  <c r="E2" i="10" s="1"/>
  <c r="D1" i="10"/>
  <c r="C1" i="10"/>
  <c r="B1" i="10"/>
  <c r="C55" i="4"/>
  <c r="C65" i="4"/>
  <c r="C64" i="4"/>
  <c r="C74" i="4"/>
  <c r="E74" i="4"/>
  <c r="C75" i="4"/>
  <c r="C77" i="4" s="1"/>
  <c r="E75" i="4"/>
  <c r="K2" i="1"/>
  <c r="C57" i="4"/>
  <c r="C43" i="4"/>
  <c r="C56" i="4"/>
  <c r="C15" i="4"/>
  <c r="C16" i="4"/>
  <c r="C40" i="4"/>
  <c r="C76" i="4"/>
  <c r="C82" i="4" s="1"/>
  <c r="C4" i="4"/>
  <c r="C7" i="4"/>
  <c r="C8" i="4"/>
  <c r="C10" i="4"/>
  <c r="C11" i="4"/>
  <c r="C12" i="4"/>
  <c r="C13" i="4"/>
  <c r="C14" i="4"/>
  <c r="C44" i="4"/>
  <c r="C45" i="4"/>
  <c r="C58" i="4"/>
  <c r="C59" i="4"/>
  <c r="C60" i="4"/>
  <c r="C61" i="4"/>
  <c r="C62" i="4"/>
  <c r="E76" i="4"/>
  <c r="E77" i="4"/>
  <c r="E78" i="4"/>
  <c r="E79" i="4"/>
  <c r="E80" i="4"/>
  <c r="E81" i="4"/>
  <c r="E82" i="4"/>
  <c r="E83" i="4"/>
  <c r="E84" i="4"/>
  <c r="E85" i="4"/>
  <c r="E86" i="4"/>
  <c r="E87" i="4"/>
  <c r="A5" i="5"/>
  <c r="E3" i="10" l="1" a="1"/>
  <c r="E3" i="10" s="1"/>
  <c r="A2" i="10"/>
  <c r="B2" i="10"/>
  <c r="C2" i="10"/>
  <c r="D2" i="10"/>
  <c r="C4" i="5"/>
  <c r="C79" i="4"/>
  <c r="C80" i="4" s="1"/>
  <c r="C81" i="4" s="1"/>
  <c r="C78" i="4"/>
  <c r="B7" i="5"/>
  <c r="A8" i="5" s="1"/>
  <c r="C83" i="4"/>
  <c r="C84" i="4" l="1"/>
  <c r="C85" i="4" s="1"/>
  <c r="C86" i="4" s="1"/>
  <c r="D90" i="4" s="1"/>
  <c r="D7" i="5"/>
  <c r="C8" i="5" s="1"/>
  <c r="F7" i="5" l="1"/>
  <c r="E8" i="5" s="1"/>
  <c r="C87" i="4"/>
  <c r="D89" i="4" l="1"/>
  <c r="C6" i="4" s="1"/>
  <c r="H7" i="5"/>
  <c r="G8" i="5" s="1"/>
  <c r="C42" i="4" l="1"/>
  <c r="C9" i="4"/>
  <c r="C5" i="4"/>
  <c r="C41" i="4"/>
  <c r="C39" i="4"/>
  <c r="J7" i="5"/>
  <c r="I8" i="5" s="1"/>
  <c r="G7" i="5" l="1"/>
  <c r="A7" i="5"/>
  <c r="C7" i="5"/>
  <c r="E7" i="5"/>
  <c r="I7" i="5"/>
  <c r="L7" i="5"/>
  <c r="K8" i="5" s="1"/>
  <c r="N7" i="5" l="1"/>
  <c r="M8" i="5" s="1"/>
  <c r="K7" i="5"/>
  <c r="M7" i="5" l="1"/>
  <c r="B9" i="5"/>
  <c r="A10" i="5" s="1"/>
  <c r="A9" i="5" l="1"/>
  <c r="D9" i="5"/>
  <c r="C10" i="5" s="1"/>
  <c r="C9" i="5" l="1"/>
  <c r="F9" i="5"/>
  <c r="E10" i="5" s="1"/>
  <c r="E9" i="5" l="1"/>
  <c r="H9" i="5"/>
  <c r="G10" i="5" s="1"/>
  <c r="G9" i="5" l="1"/>
  <c r="J9" i="5"/>
  <c r="I10" i="5" s="1"/>
  <c r="I9" i="5" l="1"/>
  <c r="L9" i="5"/>
  <c r="K10" i="5" s="1"/>
  <c r="N9" i="5" l="1"/>
  <c r="M10" i="5" s="1"/>
  <c r="K9" i="5"/>
  <c r="B11" i="5" l="1"/>
  <c r="M12" i="5" s="1"/>
  <c r="M9" i="5"/>
  <c r="A12" i="5" l="1"/>
  <c r="D11" i="5"/>
  <c r="C12" i="5" s="1"/>
  <c r="A11" i="5"/>
  <c r="F11" i="5" l="1"/>
  <c r="E12" i="5" s="1"/>
  <c r="C11" i="5"/>
  <c r="H11" i="5" l="1"/>
  <c r="G12" i="5" s="1"/>
  <c r="E11" i="5"/>
  <c r="G11" i="5" l="1"/>
  <c r="J11" i="5"/>
  <c r="I12" i="5" s="1"/>
  <c r="I11" i="5" l="1"/>
  <c r="L11" i="5"/>
  <c r="K12" i="5" s="1"/>
  <c r="N11" i="5" l="1"/>
  <c r="K11" i="5"/>
  <c r="B13" i="5" l="1"/>
  <c r="A14" i="5" s="1"/>
  <c r="M11" i="5"/>
  <c r="D13" i="5" l="1"/>
  <c r="C14" i="5" s="1"/>
  <c r="A13" i="5"/>
  <c r="F13" i="5" l="1"/>
  <c r="E14" i="5" s="1"/>
  <c r="C13" i="5"/>
  <c r="E13" i="5" l="1"/>
  <c r="H13" i="5"/>
  <c r="G14" i="5" l="1"/>
  <c r="J13" i="5"/>
  <c r="I14" i="5" s="1"/>
  <c r="G13" i="5"/>
  <c r="I13" i="5" l="1"/>
  <c r="L13" i="5"/>
  <c r="K14" i="5" s="1"/>
  <c r="N13" i="5" l="1"/>
  <c r="M14" i="5" s="1"/>
  <c r="K13" i="5"/>
  <c r="B15" i="5" l="1"/>
  <c r="A16" i="5" s="1"/>
  <c r="M13" i="5"/>
  <c r="A15" i="5" l="1"/>
  <c r="D15" i="5"/>
  <c r="C16" i="5" s="1"/>
  <c r="F15" i="5" l="1"/>
  <c r="E16" i="5" s="1"/>
  <c r="C15" i="5"/>
  <c r="H15" i="5" l="1"/>
  <c r="G16" i="5" s="1"/>
  <c r="E15" i="5"/>
  <c r="G15" i="5" l="1"/>
  <c r="J15" i="5"/>
  <c r="I16" i="5" s="1"/>
  <c r="L15" i="5" l="1"/>
  <c r="K16" i="5" s="1"/>
  <c r="I15" i="5"/>
  <c r="K15" i="5" l="1"/>
  <c r="N15" i="5"/>
  <c r="M16" i="5" s="1"/>
  <c r="B17" i="5" l="1"/>
  <c r="A18" i="5" s="1"/>
  <c r="D17" i="5" l="1"/>
  <c r="C18" i="5" s="1"/>
  <c r="A17" i="5"/>
  <c r="C17" i="5" l="1"/>
  <c r="F17" i="5"/>
  <c r="E18" i="5" s="1"/>
  <c r="H17" i="5" l="1"/>
  <c r="G18" i="5" s="1"/>
  <c r="E17" i="5"/>
  <c r="J17" i="5" l="1"/>
  <c r="I18" i="5" s="1"/>
  <c r="G17" i="5"/>
  <c r="L17" i="5" l="1"/>
  <c r="K18" i="5" s="1"/>
  <c r="I17" i="5"/>
  <c r="N17" i="5" l="1"/>
  <c r="M18" i="5" s="1"/>
  <c r="K17" i="5"/>
  <c r="M17" i="5" l="1"/>
  <c r="B3" i="10" l="1"/>
  <c r="C3" i="10"/>
  <c r="E4" i="10" a="1"/>
  <c r="E4" i="10" s="1"/>
  <c r="D3" i="10"/>
  <c r="A3" i="10"/>
  <c r="D4" i="10" l="1"/>
  <c r="C4" i="10"/>
  <c r="A4" i="10"/>
  <c r="B4" i="10"/>
  <c r="E5" i="10" a="1"/>
  <c r="E5" i="10" s="1"/>
  <c r="E6" i="10" l="1" a="1"/>
  <c r="E6" i="10" s="1"/>
  <c r="E7" i="10" s="1" a="1"/>
  <c r="E7" i="10" s="1"/>
  <c r="C5" i="10"/>
  <c r="D5" i="10"/>
  <c r="A5" i="10"/>
  <c r="B5" i="10"/>
  <c r="E8" i="10" l="1" a="1"/>
  <c r="E8" i="10" s="1"/>
  <c r="A6" i="10"/>
  <c r="C6" i="10"/>
  <c r="D6" i="10"/>
  <c r="B6" i="10"/>
  <c r="B7" i="10" l="1"/>
  <c r="C7" i="10"/>
  <c r="A7" i="10"/>
  <c r="D7" i="10"/>
  <c r="E9" i="10" l="1" a="1"/>
  <c r="E9" i="10" s="1"/>
  <c r="C8" i="10"/>
  <c r="D8" i="10"/>
  <c r="A8" i="10"/>
  <c r="B8" i="10"/>
  <c r="A9" i="10" l="1"/>
  <c r="D9" i="10"/>
  <c r="B9" i="10"/>
  <c r="C9" i="10"/>
  <c r="E10" i="10" a="1"/>
  <c r="E10" i="10" s="1"/>
  <c r="C10" i="10" l="1"/>
  <c r="D10" i="10"/>
  <c r="A10" i="10"/>
  <c r="B10" i="10"/>
  <c r="E11" i="10" a="1"/>
  <c r="E11" i="10" s="1"/>
  <c r="E12" i="10" s="1" a="1"/>
  <c r="E12" i="10" s="1"/>
  <c r="C12" i="10" l="1"/>
  <c r="A12" i="10"/>
  <c r="B12" i="10"/>
  <c r="D12" i="10"/>
  <c r="C11" i="10"/>
  <c r="D11" i="10"/>
  <c r="A11" i="10"/>
  <c r="B11" i="10"/>
  <c r="E13" i="10" a="1"/>
  <c r="E13" i="10" s="1"/>
  <c r="B13" i="10" l="1"/>
  <c r="C13" i="10"/>
  <c r="A13" i="10"/>
  <c r="D13" i="10"/>
</calcChain>
</file>

<file path=xl/comments1.xml><?xml version="1.0" encoding="utf-8"?>
<comments xmlns="http://schemas.openxmlformats.org/spreadsheetml/2006/main">
  <authors>
    <author>McDonald's Brasil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Ano do Calendário:</t>
        </r>
        <r>
          <rPr>
            <sz val="8"/>
            <color indexed="81"/>
            <rFont val="Tahoma"/>
            <family val="2"/>
          </rPr>
          <t xml:space="preserve">
Digite aqui o ano de interesse (4 dígitos) ou utilize o controle ao lado.</t>
        </r>
      </text>
    </comment>
  </commentList>
</comments>
</file>

<file path=xl/comments2.xml><?xml version="1.0" encoding="utf-8"?>
<comments xmlns="http://schemas.openxmlformats.org/spreadsheetml/2006/main">
  <authors>
    <author>Fernando de Carvalho Navarro</author>
    <author>NET</author>
    <author>Paulo</author>
  </authors>
  <commentList>
    <comment ref="B6" authorId="0" shapeId="0">
      <text>
        <r>
          <rPr>
            <b/>
            <sz val="8"/>
            <color indexed="81"/>
            <rFont val="Tahoma"/>
            <family val="2"/>
          </rPr>
          <t>Curiosidade:</t>
        </r>
        <r>
          <rPr>
            <sz val="8"/>
            <color indexed="81"/>
            <rFont val="Tahoma"/>
            <family val="2"/>
          </rPr>
          <t xml:space="preserve">
Todos os feriados eclesiásticos são calculados em função da Páscoa e esta é calculada em função da Lua Cheia.
A PÁSCOA ocorre no primeiro domingo após a primeira lua cheia que se verificar a partir de 21 de março (início da Primavera). A SEXTA-FEIRA DA PAIXÃO é a que antecede o DOMINGO DE PÁSCOA. A terça-feira de CARNAVAL ocorre 47 dias antes da Páscoa e a quinta-feira do CORPUS CHRISTI ocorre 60 dias após a Páscoa. DOMINGO DE RAMOS é o que antecede o domingo da Páscoa, a QUARESMA são os 40 dias entre o Carnaval e o DOMINGO DE RAMOS, a quinta-feira da ASCENSÃO ocorre 39 dias após a Páscoa e o domingo de PENTECOSTES vem 10 dias depois da Ascensão.
</t>
        </r>
        <r>
          <rPr>
            <b/>
            <sz val="8"/>
            <color indexed="81"/>
            <rFont val="Tahoma"/>
            <family val="2"/>
          </rPr>
          <t>Créditos deste texto: TELMO GHIORZI
www.geocities.com/ghiorzi.geo</t>
        </r>
      </text>
    </comment>
    <comment ref="B15" authorId="1" shapeId="0">
      <text>
        <r>
          <rPr>
            <b/>
            <sz val="8"/>
            <color indexed="81"/>
            <rFont val="Tahoma"/>
            <family val="2"/>
          </rPr>
          <t xml:space="preserve">ATENÇÃO:
</t>
        </r>
        <r>
          <rPr>
            <sz val="8"/>
            <color indexed="81"/>
            <rFont val="Tahoma"/>
            <family val="2"/>
          </rPr>
          <t xml:space="preserve">Se seu estado não for  São Paulo, altere esse feriado.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" authorId="2" shapeId="0">
      <text>
        <r>
          <rPr>
            <b/>
            <sz val="8"/>
            <color indexed="81"/>
            <rFont val="Tahoma"/>
            <family val="2"/>
          </rPr>
          <t>para alterar essa data</t>
        </r>
        <r>
          <rPr>
            <sz val="8"/>
            <color indexed="81"/>
            <rFont val="Tahoma"/>
            <family val="2"/>
          </rPr>
          <t xml:space="preserve">
coloque dentro do parenteses, após o primeiro ponto e vírgula o dia da data e após o segundo o mês da data </t>
        </r>
      </text>
    </comment>
    <comment ref="B16" authorId="1" shapeId="0">
      <text>
        <r>
          <rPr>
            <b/>
            <sz val="8"/>
            <color indexed="81"/>
            <rFont val="Tahoma"/>
            <family val="2"/>
          </rPr>
          <t xml:space="preserve">ATENÇÃO:
</t>
        </r>
        <r>
          <rPr>
            <sz val="8"/>
            <color indexed="81"/>
            <rFont val="Tahoma"/>
            <family val="2"/>
          </rPr>
          <t xml:space="preserve">Altere esse feriado para a data de fundação da sua cidade
</t>
        </r>
      </text>
    </comment>
    <comment ref="C16" authorId="2" shapeId="0">
      <text>
        <r>
          <rPr>
            <b/>
            <sz val="8"/>
            <color indexed="81"/>
            <rFont val="Tahoma"/>
            <family val="2"/>
          </rPr>
          <t xml:space="preserve">para alterar essa data
</t>
        </r>
        <r>
          <rPr>
            <sz val="8"/>
            <color indexed="81"/>
            <rFont val="Tahoma"/>
            <family val="2"/>
          </rPr>
          <t xml:space="preserve">coloque dentro do parenteses, após o primeiro ponto e vírgula o dia da data e após o segundo o mês da data </t>
        </r>
      </text>
    </comment>
    <comment ref="B73" authorId="0" shapeId="0">
      <text>
        <r>
          <rPr>
            <b/>
            <sz val="8"/>
            <color indexed="81"/>
            <rFont val="Tahoma"/>
            <family val="2"/>
          </rPr>
          <t>Fernando de Carvalho Navarro:</t>
        </r>
        <r>
          <rPr>
            <sz val="8"/>
            <color indexed="81"/>
            <rFont val="Tahoma"/>
            <family val="2"/>
          </rPr>
          <t xml:space="preserve">
Cálculo do dia e do mês da Páscoa, dado o ano de interesse. Utilizado o algoritmo de Delambre.
Jean Baptiste Joseph Delambre (astrônomo francês)
Maiores referências sobre outros métodos de cálculo:
</t>
        </r>
        <r>
          <rPr>
            <b/>
            <sz val="8"/>
            <color indexed="81"/>
            <rFont val="Tahoma"/>
            <family val="2"/>
          </rPr>
          <t>www.geocities.com/ghiorzi.geo/portug2.htm</t>
        </r>
      </text>
    </comment>
    <comment ref="E73" authorId="0" shapeId="0">
      <text>
        <r>
          <rPr>
            <b/>
            <sz val="8"/>
            <color indexed="81"/>
            <rFont val="Tahoma"/>
            <family val="2"/>
          </rPr>
          <t>Fernando de Carvalho Navarro:</t>
        </r>
        <r>
          <rPr>
            <sz val="8"/>
            <color indexed="81"/>
            <rFont val="Tahoma"/>
            <family val="2"/>
          </rPr>
          <t xml:space="preserve">
Aqui foram feitas as substituições de termos gradualmente até que todos eles dependessem apenas do Ano.</t>
        </r>
      </text>
    </comment>
  </commentList>
</comments>
</file>

<file path=xl/sharedStrings.xml><?xml version="1.0" encoding="utf-8"?>
<sst xmlns="http://schemas.openxmlformats.org/spreadsheetml/2006/main" count="183" uniqueCount="142">
  <si>
    <t>Data</t>
  </si>
  <si>
    <t>Ocorrência</t>
  </si>
  <si>
    <t>Tipo</t>
  </si>
  <si>
    <t>Fixo</t>
  </si>
  <si>
    <t>Móvel</t>
  </si>
  <si>
    <t>Dia 1 de Janeiro</t>
  </si>
  <si>
    <t>47 dias antes da Páscoa</t>
  </si>
  <si>
    <t>2 dias antes da Páscoa</t>
  </si>
  <si>
    <t>Depende das fases da Lua</t>
  </si>
  <si>
    <t>Dia 21 de Abril</t>
  </si>
  <si>
    <t>Dia 1 de Maio</t>
  </si>
  <si>
    <t>60 dias após a Páscoa</t>
  </si>
  <si>
    <t>Dia 7 de Setembro</t>
  </si>
  <si>
    <t>Dia 12 de Outubro</t>
  </si>
  <si>
    <t>Dia 2 de Novembro</t>
  </si>
  <si>
    <t>Dia 15 de Novembro</t>
  </si>
  <si>
    <t>Dia 25 de Dezembro</t>
  </si>
  <si>
    <t>Martin Luther King Day</t>
  </si>
  <si>
    <t>President's Day</t>
  </si>
  <si>
    <t>Memorial Day</t>
  </si>
  <si>
    <t>Independence Day</t>
  </si>
  <si>
    <t>Labor Day</t>
  </si>
  <si>
    <t>Veteran's Day</t>
  </si>
  <si>
    <t>Thanksgiving</t>
  </si>
  <si>
    <t>Paixão de Cristo</t>
  </si>
  <si>
    <t>Páscoa</t>
  </si>
  <si>
    <t>Tiradentes</t>
  </si>
  <si>
    <t>Dia do Trabalho</t>
  </si>
  <si>
    <t>Corpus Christi</t>
  </si>
  <si>
    <t>Finados</t>
  </si>
  <si>
    <t>Proclamação da República</t>
  </si>
  <si>
    <t>Natal</t>
  </si>
  <si>
    <t>Feriados nos EUA</t>
  </si>
  <si>
    <t>3ª segunda-feira de Janeiro</t>
  </si>
  <si>
    <t>3ª segunda-feira de Fevereiro</t>
  </si>
  <si>
    <t>Última segunda-feira de Maio</t>
  </si>
  <si>
    <t>Columbus Day</t>
  </si>
  <si>
    <t>4º dia de Julho</t>
  </si>
  <si>
    <t>11º dia de Novembro</t>
  </si>
  <si>
    <t>4ª quinta-feira de Novembro</t>
  </si>
  <si>
    <t>2ª segunda-feira de Outubro</t>
  </si>
  <si>
    <t>1ª segunda-feira de Setembro</t>
  </si>
  <si>
    <t>Datas Comemorativas</t>
  </si>
  <si>
    <t>2º domingo de Maio</t>
  </si>
  <si>
    <t>Dia das Mães</t>
  </si>
  <si>
    <t>Domingo de Ramos</t>
  </si>
  <si>
    <t>Domingo anterior à Páscoa</t>
  </si>
  <si>
    <t>Dia das Crianças</t>
  </si>
  <si>
    <t>Dia dos Pais</t>
  </si>
  <si>
    <t>Dia dos Namorados</t>
  </si>
  <si>
    <t>Dia 12 de Junho</t>
  </si>
  <si>
    <t>Dia da Secretária</t>
  </si>
  <si>
    <t>Sábado de Aleluia</t>
  </si>
  <si>
    <t>Sábado anterior à Páscoa</t>
  </si>
  <si>
    <t>2º domingo de Agosto</t>
  </si>
  <si>
    <t>Dia 30 de Setembro</t>
  </si>
  <si>
    <t>Feriados Nacionais:</t>
  </si>
  <si>
    <t>Datas Comemorativas:</t>
  </si>
  <si>
    <t>Feriados nos EUA:</t>
  </si>
  <si>
    <t>Ano:</t>
  </si>
  <si>
    <t>Dia 8 de março</t>
  </si>
  <si>
    <t>Fórmulas</t>
  </si>
  <si>
    <r>
      <t>A</t>
    </r>
    <r>
      <rPr>
        <sz val="8"/>
        <rFont val="Tahoma"/>
        <family val="2"/>
      </rPr>
      <t xml:space="preserve"> = o resto de (Ano ÷ 19)</t>
    </r>
  </si>
  <si>
    <r>
      <t>B</t>
    </r>
    <r>
      <rPr>
        <sz val="8"/>
        <rFont val="Tahoma"/>
        <family val="2"/>
      </rPr>
      <t xml:space="preserve"> = o inteiro de (Ano ÷ 100)</t>
    </r>
  </si>
  <si>
    <r>
      <t>C</t>
    </r>
    <r>
      <rPr>
        <sz val="8"/>
        <rFont val="Tahoma"/>
        <family val="2"/>
      </rPr>
      <t xml:space="preserve"> = o resto de (Ano ÷ 100)</t>
    </r>
  </si>
  <si>
    <r>
      <t>D</t>
    </r>
    <r>
      <rPr>
        <sz val="8"/>
        <rFont val="Tahoma"/>
        <family val="2"/>
      </rPr>
      <t xml:space="preserve"> = o inteiro de (B ÷ 4)</t>
    </r>
  </si>
  <si>
    <r>
      <t>E</t>
    </r>
    <r>
      <rPr>
        <sz val="8"/>
        <rFont val="Tahoma"/>
        <family val="2"/>
      </rPr>
      <t xml:space="preserve"> = o resto de (B ÷ 4)</t>
    </r>
  </si>
  <si>
    <r>
      <t>I</t>
    </r>
    <r>
      <rPr>
        <sz val="8"/>
        <rFont val="Tahoma"/>
        <family val="2"/>
      </rPr>
      <t xml:space="preserve"> = o inteiro de (C ÷ 4)</t>
    </r>
  </si>
  <si>
    <r>
      <t>K</t>
    </r>
    <r>
      <rPr>
        <sz val="8"/>
        <rFont val="Tahoma"/>
        <family val="2"/>
      </rPr>
      <t xml:space="preserve"> = o resto de (C ÷ 4)</t>
    </r>
  </si>
  <si>
    <r>
      <t xml:space="preserve">A Páscoa será no </t>
    </r>
    <r>
      <rPr>
        <b/>
        <u/>
        <sz val="8"/>
        <rFont val="Tahoma"/>
        <family val="2"/>
      </rPr>
      <t>dia</t>
    </r>
    <r>
      <rPr>
        <sz val="8"/>
        <rFont val="Tahoma"/>
        <family val="2"/>
      </rPr>
      <t xml:space="preserve"> </t>
    </r>
    <r>
      <rPr>
        <b/>
        <sz val="8"/>
        <color indexed="12"/>
        <rFont val="Tahoma"/>
        <family val="2"/>
      </rPr>
      <t>Q</t>
    </r>
    <r>
      <rPr>
        <sz val="8"/>
        <rFont val="Tahoma"/>
        <family val="2"/>
      </rPr>
      <t>+1:</t>
    </r>
  </si>
  <si>
    <r>
      <t xml:space="preserve">A Páscoa será no </t>
    </r>
    <r>
      <rPr>
        <b/>
        <u/>
        <sz val="8"/>
        <rFont val="Tahoma"/>
        <family val="2"/>
      </rPr>
      <t>mês</t>
    </r>
    <r>
      <rPr>
        <sz val="8"/>
        <rFont val="Tahoma"/>
        <family val="2"/>
      </rPr>
      <t xml:space="preserve"> </t>
    </r>
    <r>
      <rPr>
        <b/>
        <sz val="8"/>
        <color indexed="17"/>
        <rFont val="Tahoma"/>
        <family val="2"/>
      </rPr>
      <t>P</t>
    </r>
    <r>
      <rPr>
        <sz val="8"/>
        <rFont val="Tahoma"/>
        <family val="2"/>
      </rPr>
      <t>:</t>
    </r>
  </si>
  <si>
    <r>
      <t>H</t>
    </r>
    <r>
      <rPr>
        <sz val="8"/>
        <rFont val="Tahoma"/>
        <family val="2"/>
      </rPr>
      <t xml:space="preserve"> = o resto de (19 × A + B - D - G + 15) ÷ 30</t>
    </r>
  </si>
  <si>
    <r>
      <t>F</t>
    </r>
    <r>
      <rPr>
        <sz val="8"/>
        <rFont val="Tahoma"/>
        <family val="2"/>
      </rPr>
      <t xml:space="preserve"> = o inteiro de (B + 8) ÷ 25</t>
    </r>
  </si>
  <si>
    <r>
      <t>G</t>
    </r>
    <r>
      <rPr>
        <sz val="8"/>
        <rFont val="Tahoma"/>
        <family val="2"/>
      </rPr>
      <t xml:space="preserve"> = o inteiro de (B - F + 1) ÷ 3</t>
    </r>
  </si>
  <si>
    <r>
      <t>L</t>
    </r>
    <r>
      <rPr>
        <sz val="8"/>
        <rFont val="Tahoma"/>
        <family val="2"/>
      </rPr>
      <t xml:space="preserve"> = o resto de (32 + 2 × E + 2 × I - H - K) ÷ 7</t>
    </r>
  </si>
  <si>
    <r>
      <t>M</t>
    </r>
    <r>
      <rPr>
        <sz val="8"/>
        <rFont val="Tahoma"/>
        <family val="2"/>
      </rPr>
      <t xml:space="preserve"> = o inteiro de (A + 11 × H + 22 × L) ÷ 451</t>
    </r>
  </si>
  <si>
    <r>
      <t>P</t>
    </r>
    <r>
      <rPr>
        <sz val="8"/>
        <rFont val="Tahoma"/>
        <family val="2"/>
      </rPr>
      <t xml:space="preserve"> = o inteiro de (H + L - 7 × M + 114) ÷ 31</t>
    </r>
  </si>
  <si>
    <r>
      <t>Q</t>
    </r>
    <r>
      <rPr>
        <sz val="8"/>
        <rFont val="Tahoma"/>
        <family val="2"/>
      </rPr>
      <t xml:space="preserve"> = o resto de (H + L - 7 × M + 114) ÷ 31</t>
    </r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</si>
  <si>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</si>
  <si>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</si>
  <si>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</si>
  <si>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</si>
  <si>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</si>
  <si>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</si>
  <si>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</si>
  <si>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Nome</t>
  </si>
  <si>
    <t>Dia Internac. da Mulher</t>
  </si>
  <si>
    <t>Carnaval (Facultativo)</t>
  </si>
  <si>
    <t>Confratern. Universal</t>
  </si>
  <si>
    <t>Independ. do Brasil</t>
  </si>
  <si>
    <t>N. S. da Aparecida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</si>
  <si>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</si>
  <si>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</si>
  <si>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</si>
  <si>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</si>
  <si>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</si>
  <si>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</si>
  <si>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</si>
  <si>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</si>
  <si>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</si>
  <si>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</si>
  <si>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</si>
  <si>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</si>
  <si>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4º domingo de Outubro</t>
  </si>
  <si>
    <t>Revol. Const. São Paulo</t>
  </si>
  <si>
    <t>Fund. cidade SBCampo</t>
  </si>
  <si>
    <t>Dia 9 de Julho</t>
  </si>
  <si>
    <t>Dia 20 de Agosto</t>
  </si>
  <si>
    <t>Eleição2ºturno (se houver)</t>
  </si>
  <si>
    <t>[[</t>
  </si>
  <si>
    <t>Guerra dos Farrapos</t>
  </si>
  <si>
    <t>Dia 20 de setembro</t>
  </si>
  <si>
    <t>&lt;</t>
  </si>
  <si>
    <t>Atenção:</t>
  </si>
  <si>
    <t>A planilha encontra-se bloqueada antes do primeiro acesso.</t>
  </si>
  <si>
    <t xml:space="preserve">Clique em "habilitar conteúdo", "Habillitar edição" ou "Habilitar Macros" dependendo da sua versão. </t>
  </si>
  <si>
    <t>Os botões estão na parte superior da tela e após este processo a planilha estará liberada para uso</t>
  </si>
  <si>
    <t>Problemas com o desbloqueio? Clique aqui e veja como resolver</t>
  </si>
  <si>
    <t>Após habilitá-las o conteúdo será exibido na barra aqui embaixo</t>
  </si>
  <si>
    <t>?</t>
  </si>
  <si>
    <t>Feriados Nacionais/locais e tarefas</t>
  </si>
  <si>
    <t>Geração do Calendário Ano</t>
  </si>
  <si>
    <t>Trabalhador</t>
  </si>
  <si>
    <t>Data Início</t>
  </si>
  <si>
    <t>Data Termino</t>
  </si>
  <si>
    <t>Dias</t>
  </si>
  <si>
    <t>Observação</t>
  </si>
  <si>
    <t>Registro</t>
  </si>
  <si>
    <t>REGISTRO DE AGENDAMENTO DE FÉRIAS PARA TODOS OS ANOS</t>
  </si>
  <si>
    <t>REGISTRO DE EVENTOS</t>
  </si>
  <si>
    <t>Evento</t>
  </si>
  <si>
    <t>Acontecimento</t>
  </si>
  <si>
    <t>SAÍDA DE FÉRIAS</t>
  </si>
  <si>
    <t>LEMBRETE</t>
  </si>
  <si>
    <t>Ação</t>
  </si>
  <si>
    <t>testeste</t>
  </si>
  <si>
    <t>CHEGADA DE FÉRIAS</t>
  </si>
  <si>
    <t>Saída de Férias de wilson</t>
  </si>
  <si>
    <t>AVISOS URGÊNTES</t>
  </si>
  <si>
    <t>VALIDAÇÃO</t>
  </si>
  <si>
    <t>COMUNICADO</t>
  </si>
  <si>
    <t xml:space="preserve">Setor de Transporte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</si>
</sst>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d\,\ dd/mm/yyyy"/>
    <numFmt numFmtId="165" formatCode="d;;;"/>
    <numFmt numFmtId="166" formatCode="mmmm\ \•\ yyyy"/>
    <numFmt numFmtId="167" formatCode=";;;"/>
    <numFmt numFmtId="168" formatCode="[$-F800]dddd\,\ mmmm\ dd\,\ yyyy"/>
    <numFmt numFmtId="169" formatCode="d/m/yy\ h:mm;@"/>
  </numFmts>
  <fonts count="40" x14ac:knownFonts="1">
    <font>
      <sz val="10"/>
      <name val="Arial"/>
    </font>
    <font>
      <sz val="10"/>
      <name val="Tahoma"/>
      <family val="2"/>
    </font>
    <font>
      <b/>
      <sz val="10"/>
      <name val="Tahoma"/>
      <family val="2"/>
    </font>
    <font>
      <b/>
      <sz val="16"/>
      <color indexed="48"/>
      <name val="Tahoma"/>
      <family val="2"/>
    </font>
    <font>
      <sz val="8"/>
      <name val="Tahoma"/>
      <family val="2"/>
    </font>
    <font>
      <b/>
      <sz val="16"/>
      <color indexed="12"/>
      <name val="Tahoma"/>
      <family val="2"/>
    </font>
    <font>
      <b/>
      <sz val="12"/>
      <color indexed="9"/>
      <name val="Tahoma"/>
      <family val="2"/>
    </font>
    <font>
      <b/>
      <sz val="8"/>
      <name val="Tahoma"/>
      <family val="2"/>
    </font>
    <font>
      <b/>
      <sz val="16"/>
      <name val="Tahoma"/>
      <family val="2"/>
    </font>
    <font>
      <sz val="16"/>
      <name val="Tahoma"/>
      <family val="2"/>
    </font>
    <font>
      <b/>
      <sz val="8"/>
      <color indexed="81"/>
      <name val="Tahoma"/>
      <family val="2"/>
    </font>
    <font>
      <b/>
      <sz val="10"/>
      <color indexed="17"/>
      <name val="Tahoma"/>
      <family val="2"/>
    </font>
    <font>
      <b/>
      <sz val="10"/>
      <color indexed="12"/>
      <name val="Tahoma"/>
      <family val="2"/>
    </font>
    <font>
      <b/>
      <sz val="8"/>
      <color indexed="17"/>
      <name val="Tahoma"/>
      <family val="2"/>
    </font>
    <font>
      <b/>
      <sz val="8"/>
      <color indexed="12"/>
      <name val="Tahoma"/>
      <family val="2"/>
    </font>
    <font>
      <b/>
      <u/>
      <sz val="8"/>
      <name val="Tahoma"/>
      <family val="2"/>
    </font>
    <font>
      <sz val="8"/>
      <color indexed="10"/>
      <name val="Tahoma"/>
      <family val="2"/>
    </font>
    <font>
      <b/>
      <sz val="10"/>
      <color indexed="9"/>
      <name val="Tahoma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0"/>
      <name val="Wingdings 3"/>
      <family val="1"/>
      <charset val="2"/>
    </font>
    <font>
      <b/>
      <sz val="4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36"/>
      <color theme="0"/>
      <name val="Wingdings 3"/>
      <family val="1"/>
      <charset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4"/>
      <name val="Arial"/>
      <family val="2"/>
    </font>
    <font>
      <b/>
      <sz val="11"/>
      <color theme="3"/>
      <name val="Tahoma"/>
      <family val="2"/>
    </font>
    <font>
      <sz val="10"/>
      <color theme="0"/>
      <name val="Arial"/>
      <family val="2"/>
    </font>
    <font>
      <b/>
      <sz val="18"/>
      <name val="Tahoma"/>
      <family val="2"/>
    </font>
    <font>
      <sz val="10"/>
      <color rgb="FFFF0000"/>
      <name val="Tahoma"/>
      <family val="2"/>
    </font>
    <font>
      <sz val="11"/>
      <color rgb="FFFF0000"/>
      <name val="Tahoma"/>
      <family val="2"/>
    </font>
    <font>
      <b/>
      <sz val="18"/>
      <name val="Arial Black"/>
      <family val="2"/>
    </font>
    <font>
      <b/>
      <sz val="14"/>
      <name val="Tahoma"/>
      <family val="2"/>
    </font>
    <font>
      <b/>
      <sz val="48"/>
      <color theme="3"/>
      <name val="Tahoma"/>
      <family val="2"/>
    </font>
    <font>
      <b/>
      <sz val="36"/>
      <color theme="3"/>
      <name val="Arial Black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24744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46"/>
      </left>
      <right style="hair">
        <color indexed="46"/>
      </right>
      <top style="hair">
        <color indexed="46"/>
      </top>
      <bottom style="hair">
        <color indexed="46"/>
      </bottom>
      <diagonal/>
    </border>
    <border>
      <left style="hair">
        <color indexed="46"/>
      </left>
      <right style="hair">
        <color indexed="46"/>
      </right>
      <top style="hair">
        <color indexed="46"/>
      </top>
      <bottom style="hair">
        <color indexed="46"/>
      </bottom>
      <diagonal/>
    </border>
    <border>
      <left style="hair">
        <color indexed="46"/>
      </left>
      <right style="medium">
        <color indexed="46"/>
      </right>
      <top style="hair">
        <color indexed="46"/>
      </top>
      <bottom style="hair">
        <color indexed="46"/>
      </bottom>
      <diagonal/>
    </border>
    <border>
      <left style="medium">
        <color indexed="46"/>
      </left>
      <right style="hair">
        <color indexed="46"/>
      </right>
      <top style="hair">
        <color indexed="46"/>
      </top>
      <bottom style="medium">
        <color indexed="46"/>
      </bottom>
      <diagonal/>
    </border>
    <border>
      <left style="hair">
        <color indexed="46"/>
      </left>
      <right style="hair">
        <color indexed="46"/>
      </right>
      <top style="hair">
        <color indexed="46"/>
      </top>
      <bottom style="medium">
        <color indexed="46"/>
      </bottom>
      <diagonal/>
    </border>
    <border>
      <left style="hair">
        <color indexed="46"/>
      </left>
      <right style="medium">
        <color indexed="46"/>
      </right>
      <top style="hair">
        <color indexed="46"/>
      </top>
      <bottom style="medium">
        <color indexed="46"/>
      </bottom>
      <diagonal/>
    </border>
    <border>
      <left style="medium">
        <color indexed="46"/>
      </left>
      <right style="hair">
        <color indexed="46"/>
      </right>
      <top style="medium">
        <color indexed="46"/>
      </top>
      <bottom style="hair">
        <color indexed="46"/>
      </bottom>
      <diagonal/>
    </border>
    <border>
      <left style="hair">
        <color indexed="46"/>
      </left>
      <right style="hair">
        <color indexed="46"/>
      </right>
      <top style="medium">
        <color indexed="46"/>
      </top>
      <bottom style="hair">
        <color indexed="46"/>
      </bottom>
      <diagonal/>
    </border>
    <border>
      <left style="hair">
        <color indexed="46"/>
      </left>
      <right style="medium">
        <color indexed="46"/>
      </right>
      <top style="medium">
        <color indexed="46"/>
      </top>
      <bottom style="hair">
        <color indexed="46"/>
      </bottom>
      <diagonal/>
    </border>
    <border>
      <left style="medium">
        <color indexed="19"/>
      </left>
      <right style="thin">
        <color indexed="19"/>
      </right>
      <top style="medium">
        <color indexed="19"/>
      </top>
      <bottom style="thin">
        <color indexed="19"/>
      </bottom>
      <diagonal/>
    </border>
    <border>
      <left style="thin">
        <color indexed="19"/>
      </left>
      <right style="thin">
        <color indexed="19"/>
      </right>
      <top style="medium">
        <color indexed="19"/>
      </top>
      <bottom style="thin">
        <color indexed="19"/>
      </bottom>
      <diagonal/>
    </border>
    <border>
      <left style="thin">
        <color indexed="19"/>
      </left>
      <right style="medium">
        <color indexed="19"/>
      </right>
      <top style="medium">
        <color indexed="19"/>
      </top>
      <bottom style="thin">
        <color indexed="19"/>
      </bottom>
      <diagonal/>
    </border>
    <border>
      <left style="medium">
        <color indexed="19"/>
      </left>
      <right style="thin">
        <color indexed="19"/>
      </right>
      <top style="thin">
        <color indexed="19"/>
      </top>
      <bottom style="thin">
        <color indexed="19"/>
      </bottom>
      <diagonal/>
    </border>
    <border>
      <left style="thin">
        <color indexed="19"/>
      </left>
      <right style="thin">
        <color indexed="19"/>
      </right>
      <top style="thin">
        <color indexed="19"/>
      </top>
      <bottom style="thin">
        <color indexed="19"/>
      </bottom>
      <diagonal/>
    </border>
    <border>
      <left style="thin">
        <color indexed="19"/>
      </left>
      <right style="medium">
        <color indexed="19"/>
      </right>
      <top style="thin">
        <color indexed="19"/>
      </top>
      <bottom style="thin">
        <color indexed="19"/>
      </bottom>
      <diagonal/>
    </border>
    <border>
      <left style="medium">
        <color indexed="19"/>
      </left>
      <right style="thin">
        <color indexed="19"/>
      </right>
      <top style="thin">
        <color indexed="19"/>
      </top>
      <bottom style="medium">
        <color indexed="19"/>
      </bottom>
      <diagonal/>
    </border>
    <border>
      <left style="thin">
        <color indexed="19"/>
      </left>
      <right style="thin">
        <color indexed="19"/>
      </right>
      <top style="thin">
        <color indexed="19"/>
      </top>
      <bottom style="medium">
        <color indexed="19"/>
      </bottom>
      <diagonal/>
    </border>
    <border>
      <left style="thin">
        <color indexed="19"/>
      </left>
      <right style="medium">
        <color indexed="19"/>
      </right>
      <top style="thin">
        <color indexed="19"/>
      </top>
      <bottom style="medium">
        <color indexed="19"/>
      </bottom>
      <diagonal/>
    </border>
    <border>
      <left style="medium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 style="medium">
        <color indexed="53"/>
      </right>
      <top style="thin">
        <color indexed="53"/>
      </top>
      <bottom style="thin">
        <color indexed="53"/>
      </bottom>
      <diagonal/>
    </border>
    <border>
      <left style="medium">
        <color indexed="53"/>
      </left>
      <right style="thin">
        <color indexed="53"/>
      </right>
      <top style="thin">
        <color indexed="53"/>
      </top>
      <bottom style="medium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medium">
        <color indexed="53"/>
      </bottom>
      <diagonal/>
    </border>
    <border>
      <left style="thin">
        <color indexed="53"/>
      </left>
      <right style="medium">
        <color indexed="53"/>
      </right>
      <top style="thin">
        <color indexed="53"/>
      </top>
      <bottom style="medium">
        <color indexed="53"/>
      </bottom>
      <diagonal/>
    </border>
    <border>
      <left style="medium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medium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thin">
        <color indexed="21"/>
      </right>
      <top style="thin">
        <color indexed="21"/>
      </top>
      <bottom style="medium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medium">
        <color indexed="21"/>
      </bottom>
      <diagonal/>
    </border>
    <border>
      <left style="thin">
        <color indexed="21"/>
      </left>
      <right style="medium">
        <color indexed="21"/>
      </right>
      <top style="thin">
        <color indexed="21"/>
      </top>
      <bottom style="medium">
        <color indexed="21"/>
      </bottom>
      <diagonal/>
    </border>
    <border>
      <left style="medium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53"/>
      </left>
      <right style="medium">
        <color indexed="53"/>
      </right>
      <top/>
      <bottom style="thin">
        <color indexed="53"/>
      </bottom>
      <diagonal/>
    </border>
    <border>
      <left style="medium">
        <color indexed="23"/>
      </left>
      <right/>
      <top style="medium">
        <color indexed="23"/>
      </top>
      <bottom style="medium">
        <color indexed="9"/>
      </bottom>
      <diagonal/>
    </border>
    <border>
      <left/>
      <right/>
      <top style="medium">
        <color indexed="23"/>
      </top>
      <bottom style="medium">
        <color indexed="9"/>
      </bottom>
      <diagonal/>
    </border>
    <border>
      <left/>
      <right style="medium">
        <color indexed="9"/>
      </right>
      <top style="medium">
        <color indexed="23"/>
      </top>
      <bottom style="medium">
        <color indexed="9"/>
      </bottom>
      <diagonal/>
    </border>
    <border>
      <left/>
      <right style="medium">
        <color indexed="21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indexed="23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23"/>
      </left>
      <right/>
      <top/>
      <bottom style="medium">
        <color theme="0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9" fillId="0" borderId="0"/>
  </cellStyleXfs>
  <cellXfs count="148">
    <xf numFmtId="0" fontId="0" fillId="0" borderId="0" xfId="0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center"/>
    </xf>
    <xf numFmtId="0" fontId="4" fillId="0" borderId="0" xfId="0" applyFont="1"/>
    <xf numFmtId="0" fontId="1" fillId="2" borderId="0" xfId="0" applyFont="1" applyFill="1"/>
    <xf numFmtId="0" fontId="9" fillId="2" borderId="0" xfId="0" applyFont="1" applyFill="1"/>
    <xf numFmtId="0" fontId="8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7" fillId="0" borderId="2" xfId="0" applyFont="1" applyBorder="1" applyAlignment="1">
      <alignment horizontal="right" vertical="center"/>
    </xf>
    <xf numFmtId="0" fontId="4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1" fillId="0" borderId="5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1" fillId="0" borderId="5" xfId="0" applyNumberFormat="1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2" fillId="0" borderId="7" xfId="0" applyFont="1" applyBorder="1" applyAlignment="1">
      <alignment horizontal="left"/>
    </xf>
    <xf numFmtId="0" fontId="12" fillId="0" borderId="8" xfId="0" applyNumberFormat="1" applyFont="1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17" fillId="5" borderId="10" xfId="0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Continuous"/>
    </xf>
    <xf numFmtId="0" fontId="4" fillId="0" borderId="13" xfId="0" applyFont="1" applyBorder="1" applyAlignment="1">
      <alignment horizontal="left"/>
    </xf>
    <xf numFmtId="164" fontId="4" fillId="0" borderId="14" xfId="0" applyNumberFormat="1" applyFont="1" applyBorder="1"/>
    <xf numFmtId="164" fontId="4" fillId="0" borderId="14" xfId="0" applyNumberFormat="1" applyFont="1" applyBorder="1" applyAlignment="1">
      <alignment horizontal="center"/>
    </xf>
    <xf numFmtId="0" fontId="4" fillId="0" borderId="15" xfId="0" applyFont="1" applyBorder="1"/>
    <xf numFmtId="0" fontId="4" fillId="0" borderId="16" xfId="0" applyFont="1" applyBorder="1" applyAlignment="1">
      <alignment horizontal="left"/>
    </xf>
    <xf numFmtId="164" fontId="4" fillId="0" borderId="17" xfId="0" applyNumberFormat="1" applyFont="1" applyBorder="1"/>
    <xf numFmtId="164" fontId="4" fillId="0" borderId="17" xfId="0" applyNumberFormat="1" applyFont="1" applyBorder="1" applyAlignment="1">
      <alignment horizontal="center"/>
    </xf>
    <xf numFmtId="0" fontId="4" fillId="0" borderId="18" xfId="0" applyFont="1" applyBorder="1"/>
    <xf numFmtId="0" fontId="16" fillId="0" borderId="16" xfId="0" applyFont="1" applyBorder="1" applyAlignment="1">
      <alignment horizontal="left"/>
    </xf>
    <xf numFmtId="0" fontId="4" fillId="0" borderId="19" xfId="0" applyFont="1" applyBorder="1" applyAlignment="1">
      <alignment horizontal="left"/>
    </xf>
    <xf numFmtId="164" fontId="4" fillId="0" borderId="20" xfId="0" applyNumberFormat="1" applyFont="1" applyBorder="1"/>
    <xf numFmtId="164" fontId="4" fillId="0" borderId="20" xfId="0" applyNumberFormat="1" applyFont="1" applyBorder="1" applyAlignment="1">
      <alignment horizontal="center"/>
    </xf>
    <xf numFmtId="0" fontId="4" fillId="0" borderId="21" xfId="0" applyFont="1" applyBorder="1"/>
    <xf numFmtId="0" fontId="4" fillId="0" borderId="22" xfId="0" applyFont="1" applyBorder="1" applyAlignment="1">
      <alignment horizontal="left"/>
    </xf>
    <xf numFmtId="164" fontId="4" fillId="0" borderId="23" xfId="0" applyNumberFormat="1" applyFont="1" applyBorder="1"/>
    <xf numFmtId="164" fontId="4" fillId="0" borderId="23" xfId="0" applyNumberFormat="1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 applyAlignment="1">
      <alignment horizontal="left"/>
    </xf>
    <xf numFmtId="164" fontId="4" fillId="0" borderId="26" xfId="0" applyNumberFormat="1" applyFont="1" applyBorder="1"/>
    <xf numFmtId="164" fontId="4" fillId="0" borderId="26" xfId="0" applyNumberFormat="1" applyFont="1" applyBorder="1" applyAlignment="1">
      <alignment horizontal="center"/>
    </xf>
    <xf numFmtId="0" fontId="4" fillId="0" borderId="27" xfId="0" applyFont="1" applyBorder="1"/>
    <xf numFmtId="0" fontId="4" fillId="0" borderId="28" xfId="0" applyFont="1" applyBorder="1" applyAlignment="1">
      <alignment horizontal="left"/>
    </xf>
    <xf numFmtId="164" fontId="4" fillId="0" borderId="29" xfId="0" applyNumberFormat="1" applyFont="1" applyBorder="1"/>
    <xf numFmtId="164" fontId="4" fillId="0" borderId="29" xfId="0" applyNumberFormat="1" applyFont="1" applyBorder="1" applyAlignment="1">
      <alignment horizontal="center"/>
    </xf>
    <xf numFmtId="0" fontId="4" fillId="0" borderId="30" xfId="0" applyFont="1" applyBorder="1"/>
    <xf numFmtId="0" fontId="4" fillId="0" borderId="31" xfId="0" applyFont="1" applyBorder="1" applyAlignment="1">
      <alignment horizontal="left"/>
    </xf>
    <xf numFmtId="164" fontId="4" fillId="0" borderId="32" xfId="0" applyNumberFormat="1" applyFont="1" applyBorder="1"/>
    <xf numFmtId="164" fontId="4" fillId="0" borderId="32" xfId="0" applyNumberFormat="1" applyFont="1" applyBorder="1" applyAlignment="1">
      <alignment horizontal="center"/>
    </xf>
    <xf numFmtId="0" fontId="4" fillId="0" borderId="33" xfId="0" applyFont="1" applyBorder="1"/>
    <xf numFmtId="0" fontId="4" fillId="2" borderId="0" xfId="0" applyFont="1" applyFill="1" applyAlignment="1">
      <alignment vertical="center"/>
    </xf>
    <xf numFmtId="167" fontId="4" fillId="2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6" borderId="0" xfId="0" applyFont="1" applyFill="1" applyBorder="1" applyAlignment="1">
      <alignment horizontal="center"/>
    </xf>
    <xf numFmtId="0" fontId="4" fillId="0" borderId="34" xfId="0" applyFont="1" applyBorder="1" applyAlignment="1">
      <alignment horizontal="left"/>
    </xf>
    <xf numFmtId="164" fontId="4" fillId="0" borderId="35" xfId="0" applyNumberFormat="1" applyFont="1" applyBorder="1"/>
    <xf numFmtId="164" fontId="4" fillId="0" borderId="35" xfId="0" applyNumberFormat="1" applyFont="1" applyBorder="1" applyAlignment="1">
      <alignment horizontal="center"/>
    </xf>
    <xf numFmtId="0" fontId="4" fillId="0" borderId="36" xfId="0" applyFont="1" applyBorder="1"/>
    <xf numFmtId="0" fontId="4" fillId="7" borderId="16" xfId="0" applyFont="1" applyFill="1" applyBorder="1" applyAlignment="1">
      <alignment horizontal="left"/>
    </xf>
    <xf numFmtId="164" fontId="4" fillId="7" borderId="17" xfId="0" applyNumberFormat="1" applyFont="1" applyFill="1" applyBorder="1"/>
    <xf numFmtId="164" fontId="4" fillId="7" borderId="17" xfId="0" applyNumberFormat="1" applyFont="1" applyFill="1" applyBorder="1" applyAlignment="1">
      <alignment horizontal="center"/>
    </xf>
    <xf numFmtId="0" fontId="4" fillId="7" borderId="18" xfId="0" applyFont="1" applyFill="1" applyBorder="1"/>
    <xf numFmtId="0" fontId="0" fillId="11" borderId="0" xfId="0" applyFill="1" applyProtection="1"/>
    <xf numFmtId="0" fontId="21" fillId="11" borderId="0" xfId="0" applyFont="1" applyFill="1" applyAlignment="1" applyProtection="1">
      <alignment horizontal="center"/>
    </xf>
    <xf numFmtId="0" fontId="19" fillId="11" borderId="0" xfId="1" applyFill="1" applyProtection="1"/>
    <xf numFmtId="0" fontId="0" fillId="11" borderId="0" xfId="0" applyFill="1" applyAlignment="1" applyProtection="1">
      <alignment horizontal="center"/>
    </xf>
    <xf numFmtId="0" fontId="22" fillId="11" borderId="0" xfId="0" applyFont="1" applyFill="1" applyAlignment="1" applyProtection="1">
      <alignment horizontal="center"/>
    </xf>
    <xf numFmtId="0" fontId="23" fillId="11" borderId="0" xfId="0" applyFont="1" applyFill="1" applyAlignment="1" applyProtection="1"/>
    <xf numFmtId="0" fontId="23" fillId="11" borderId="0" xfId="0" applyFont="1" applyFill="1" applyAlignment="1" applyProtection="1">
      <alignment horizontal="center"/>
    </xf>
    <xf numFmtId="0" fontId="24" fillId="11" borderId="0" xfId="0" applyFont="1" applyFill="1" applyAlignment="1" applyProtection="1">
      <alignment vertical="center"/>
    </xf>
    <xf numFmtId="0" fontId="20" fillId="11" borderId="0" xfId="0" applyFont="1" applyFill="1" applyProtection="1"/>
    <xf numFmtId="0" fontId="25" fillId="11" borderId="0" xfId="0" applyFont="1" applyFill="1" applyProtection="1"/>
    <xf numFmtId="0" fontId="0" fillId="11" borderId="0" xfId="0" applyFill="1"/>
    <xf numFmtId="167" fontId="4" fillId="0" borderId="0" xfId="0" applyNumberFormat="1" applyFont="1" applyFill="1"/>
    <xf numFmtId="0" fontId="4" fillId="0" borderId="0" xfId="0" applyFont="1" applyFill="1"/>
    <xf numFmtId="0" fontId="4" fillId="0" borderId="46" xfId="0" applyFont="1" applyBorder="1"/>
    <xf numFmtId="0" fontId="4" fillId="0" borderId="47" xfId="0" applyFont="1" applyBorder="1"/>
    <xf numFmtId="0" fontId="4" fillId="0" borderId="48" xfId="0" applyFont="1" applyBorder="1"/>
    <xf numFmtId="0" fontId="4" fillId="0" borderId="51" xfId="0" applyFont="1" applyBorder="1"/>
    <xf numFmtId="0" fontId="4" fillId="0" borderId="44" xfId="0" applyFont="1" applyBorder="1"/>
    <xf numFmtId="14" fontId="4" fillId="0" borderId="0" xfId="0" applyNumberFormat="1" applyFont="1"/>
    <xf numFmtId="1" fontId="4" fillId="0" borderId="0" xfId="0" applyNumberFormat="1" applyFont="1"/>
    <xf numFmtId="0" fontId="0" fillId="0" borderId="0" xfId="0" applyAlignment="1">
      <alignment vertical="center"/>
    </xf>
    <xf numFmtId="0" fontId="29" fillId="15" borderId="0" xfId="0" applyFont="1" applyFill="1" applyAlignment="1">
      <alignment horizontal="center"/>
    </xf>
    <xf numFmtId="0" fontId="28" fillId="14" borderId="0" xfId="0" applyFont="1" applyFill="1" applyAlignment="1">
      <alignment horizontal="center"/>
    </xf>
    <xf numFmtId="49" fontId="0" fillId="0" borderId="54" xfId="0" applyNumberFormat="1" applyBorder="1" applyAlignment="1">
      <alignment horizontal="center" vertical="center"/>
    </xf>
    <xf numFmtId="168" fontId="0" fillId="0" borderId="54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49" fontId="0" fillId="0" borderId="54" xfId="0" applyNumberFormat="1" applyBorder="1" applyAlignment="1">
      <alignment horizontal="center" vertical="center" wrapText="1"/>
    </xf>
    <xf numFmtId="0" fontId="2" fillId="0" borderId="0" xfId="0" applyFont="1" applyFill="1" applyAlignment="1">
      <alignment horizontal="right" vertical="center"/>
    </xf>
    <xf numFmtId="49" fontId="26" fillId="0" borderId="54" xfId="0" applyNumberFormat="1" applyFont="1" applyBorder="1" applyAlignment="1">
      <alignment horizontal="center" vertical="center"/>
    </xf>
    <xf numFmtId="49" fontId="26" fillId="0" borderId="54" xfId="0" applyNumberFormat="1" applyFont="1" applyBorder="1" applyAlignment="1">
      <alignment horizontal="center" vertical="center" wrapText="1"/>
    </xf>
    <xf numFmtId="0" fontId="26" fillId="0" borderId="0" xfId="0" applyFont="1"/>
    <xf numFmtId="169" fontId="0" fillId="0" borderId="54" xfId="0" applyNumberFormat="1" applyBorder="1" applyAlignment="1">
      <alignment horizontal="center" vertical="center"/>
    </xf>
    <xf numFmtId="168" fontId="32" fillId="0" borderId="0" xfId="0" applyNumberFormat="1" applyFont="1"/>
    <xf numFmtId="168" fontId="26" fillId="0" borderId="0" xfId="0" applyNumberFormat="1" applyFont="1"/>
    <xf numFmtId="14" fontId="0" fillId="0" borderId="3" xfId="0" applyNumberFormat="1" applyBorder="1"/>
    <xf numFmtId="0" fontId="0" fillId="0" borderId="3" xfId="0" applyBorder="1"/>
    <xf numFmtId="169" fontId="26" fillId="0" borderId="3" xfId="0" applyNumberFormat="1" applyFont="1" applyBorder="1"/>
    <xf numFmtId="165" fontId="33" fillId="13" borderId="47" xfId="0" applyNumberFormat="1" applyFont="1" applyFill="1" applyBorder="1" applyAlignment="1">
      <alignment horizontal="center" vertical="center"/>
    </xf>
    <xf numFmtId="165" fontId="33" fillId="13" borderId="0" xfId="0" applyNumberFormat="1" applyFont="1" applyFill="1" applyBorder="1" applyAlignment="1">
      <alignment horizontal="center" vertical="center"/>
    </xf>
    <xf numFmtId="165" fontId="33" fillId="13" borderId="46" xfId="0" applyNumberFormat="1" applyFont="1" applyFill="1" applyBorder="1" applyAlignment="1">
      <alignment horizontal="center" vertical="center"/>
    </xf>
    <xf numFmtId="165" fontId="33" fillId="13" borderId="48" xfId="0" applyNumberFormat="1" applyFont="1" applyFill="1" applyBorder="1" applyAlignment="1">
      <alignment horizontal="center" vertical="center"/>
    </xf>
    <xf numFmtId="165" fontId="33" fillId="13" borderId="0" xfId="0" applyNumberFormat="1" applyFont="1" applyFill="1" applyBorder="1" applyAlignment="1">
      <alignment horizontal="right" vertical="center"/>
    </xf>
    <xf numFmtId="0" fontId="34" fillId="13" borderId="45" xfId="0" applyFont="1" applyFill="1" applyBorder="1" applyAlignment="1">
      <alignment horizontal="left" vertical="center" wrapText="1"/>
    </xf>
    <xf numFmtId="0" fontId="35" fillId="13" borderId="46" xfId="0" applyFont="1" applyFill="1" applyBorder="1" applyAlignment="1">
      <alignment horizontal="left" vertical="center" wrapText="1"/>
    </xf>
    <xf numFmtId="0" fontId="35" fillId="13" borderId="44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horizontal="left" vertical="center" wrapText="1"/>
    </xf>
    <xf numFmtId="0" fontId="35" fillId="13" borderId="45" xfId="0" applyFont="1" applyFill="1" applyBorder="1" applyAlignment="1">
      <alignment horizontal="left" vertical="center" wrapText="1"/>
    </xf>
    <xf numFmtId="14" fontId="28" fillId="14" borderId="0" xfId="0" applyNumberFormat="1" applyFont="1" applyFill="1" applyAlignment="1">
      <alignment horizontal="center"/>
    </xf>
    <xf numFmtId="22" fontId="28" fillId="14" borderId="0" xfId="0" applyNumberFormat="1" applyFont="1" applyFill="1" applyAlignment="1">
      <alignment horizontal="center"/>
    </xf>
    <xf numFmtId="168" fontId="26" fillId="0" borderId="54" xfId="0" applyNumberFormat="1" applyFont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35" fillId="13" borderId="42" xfId="0" applyFont="1" applyFill="1" applyBorder="1" applyAlignment="1">
      <alignment horizontal="left" vertical="center" wrapText="1"/>
    </xf>
    <xf numFmtId="0" fontId="22" fillId="11" borderId="0" xfId="0" applyFont="1" applyFill="1" applyAlignment="1" applyProtection="1">
      <alignment horizontal="center"/>
    </xf>
    <xf numFmtId="0" fontId="23" fillId="11" borderId="0" xfId="0" applyFont="1" applyFill="1" applyAlignment="1" applyProtection="1">
      <alignment horizontal="center"/>
    </xf>
    <xf numFmtId="0" fontId="23" fillId="11" borderId="0" xfId="0" applyFont="1" applyFill="1" applyAlignment="1" applyProtection="1">
      <alignment horizontal="left"/>
    </xf>
    <xf numFmtId="166" fontId="38" fillId="0" borderId="0" xfId="0" applyNumberFormat="1" applyFont="1" applyFill="1" applyAlignment="1">
      <alignment horizontal="center" vertical="center"/>
    </xf>
    <xf numFmtId="166" fontId="38" fillId="0" borderId="50" xfId="0" applyNumberFormat="1" applyFont="1" applyFill="1" applyBorder="1" applyAlignment="1">
      <alignment horizontal="center" vertical="center"/>
    </xf>
    <xf numFmtId="0" fontId="31" fillId="13" borderId="43" xfId="0" applyFont="1" applyFill="1" applyBorder="1" applyAlignment="1" applyProtection="1">
      <alignment horizontal="center" vertical="top" wrapText="1"/>
      <protection locked="0"/>
    </xf>
    <xf numFmtId="0" fontId="31" fillId="13" borderId="0" xfId="0" applyFont="1" applyFill="1" applyBorder="1" applyAlignment="1" applyProtection="1">
      <alignment horizontal="center" vertical="top" wrapText="1"/>
      <protection locked="0"/>
    </xf>
    <xf numFmtId="0" fontId="31" fillId="13" borderId="53" xfId="0" applyFont="1" applyFill="1" applyBorder="1" applyAlignment="1" applyProtection="1">
      <alignment horizontal="center" vertical="top" wrapText="1"/>
      <protection locked="0"/>
    </xf>
    <xf numFmtId="0" fontId="31" fillId="13" borderId="52" xfId="0" applyFont="1" applyFill="1" applyBorder="1" applyAlignment="1" applyProtection="1">
      <alignment horizontal="center" vertical="top" wrapText="1"/>
      <protection locked="0"/>
    </xf>
    <xf numFmtId="0" fontId="31" fillId="13" borderId="48" xfId="0" applyFont="1" applyFill="1" applyBorder="1" applyAlignment="1" applyProtection="1">
      <alignment horizontal="center" vertical="top" wrapText="1"/>
      <protection locked="0"/>
    </xf>
    <xf numFmtId="0" fontId="31" fillId="13" borderId="42" xfId="0" applyFont="1" applyFill="1" applyBorder="1" applyAlignment="1" applyProtection="1">
      <alignment horizontal="center" vertical="top" wrapText="1"/>
      <protection locked="0"/>
    </xf>
    <xf numFmtId="0" fontId="31" fillId="13" borderId="49" xfId="0" applyFont="1" applyFill="1" applyBorder="1" applyAlignment="1" applyProtection="1">
      <alignment horizontal="center" vertical="top" wrapText="1"/>
      <protection locked="0"/>
    </xf>
    <xf numFmtId="0" fontId="31" fillId="13" borderId="50" xfId="0" applyFont="1" applyFill="1" applyBorder="1" applyAlignment="1" applyProtection="1">
      <alignment horizontal="center" vertical="top" wrapText="1"/>
      <protection locked="0"/>
    </xf>
    <xf numFmtId="49" fontId="31" fillId="13" borderId="42" xfId="0" applyNumberFormat="1" applyFont="1" applyFill="1" applyBorder="1" applyAlignment="1" applyProtection="1">
      <alignment horizontal="center" vertical="top" wrapText="1"/>
      <protection locked="0"/>
    </xf>
    <xf numFmtId="49" fontId="31" fillId="13" borderId="0" xfId="0" applyNumberFormat="1" applyFont="1" applyFill="1" applyBorder="1" applyAlignment="1" applyProtection="1">
      <alignment horizontal="center" vertical="top" wrapText="1"/>
      <protection locked="0"/>
    </xf>
    <xf numFmtId="0" fontId="37" fillId="12" borderId="41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0" fillId="14" borderId="0" xfId="0" applyFont="1" applyFill="1" applyAlignment="1">
      <alignment horizontal="center" vertical="center" textRotation="90" wrapText="1"/>
    </xf>
    <xf numFmtId="0" fontId="36" fillId="0" borderId="0" xfId="0" applyFont="1" applyAlignment="1">
      <alignment horizontal="left" vertical="center"/>
    </xf>
    <xf numFmtId="0" fontId="3" fillId="4" borderId="37" xfId="0" applyFont="1" applyFill="1" applyBorder="1" applyAlignment="1" applyProtection="1">
      <alignment horizontal="center" vertical="center"/>
    </xf>
    <xf numFmtId="0" fontId="3" fillId="4" borderId="38" xfId="0" applyFont="1" applyFill="1" applyBorder="1" applyAlignment="1" applyProtection="1">
      <alignment horizontal="center" vertical="center"/>
    </xf>
    <xf numFmtId="0" fontId="3" fillId="4" borderId="39" xfId="0" applyFont="1" applyFill="1" applyBorder="1" applyAlignment="1" applyProtection="1">
      <alignment horizontal="center" vertical="center"/>
    </xf>
    <xf numFmtId="0" fontId="17" fillId="10" borderId="40" xfId="0" applyFont="1" applyFill="1" applyBorder="1" applyAlignment="1">
      <alignment horizontal="center" vertical="center" textRotation="90" wrapText="1"/>
    </xf>
    <xf numFmtId="0" fontId="17" fillId="8" borderId="0" xfId="0" applyFont="1" applyFill="1" applyBorder="1" applyAlignment="1">
      <alignment horizontal="center" vertical="center" textRotation="90" wrapText="1"/>
    </xf>
    <xf numFmtId="0" fontId="17" fillId="9" borderId="0" xfId="0" applyFont="1" applyFill="1" applyBorder="1" applyAlignment="1">
      <alignment horizontal="center" vertical="center" textRotation="90"/>
    </xf>
    <xf numFmtId="0" fontId="39" fillId="0" borderId="0" xfId="0" applyFont="1" applyAlignment="1">
      <alignment horizontal="left" vertical="center" textRotation="90" wrapText="1"/>
    </xf>
  </cellXfs>
  <cellStyles count="2">
    <cellStyle name="Normal" xfId="0" builtinId="0"/>
    <cellStyle name="Normal 2" xfId="1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3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CFEFFF"/>
      <rgbColor rgb="00EAEAEA"/>
      <rgbColor rgb="00000080"/>
      <rgbColor rgb="00FF00FF"/>
      <rgbColor rgb="00FFFF00"/>
      <rgbColor rgb="0000FFFF"/>
      <rgbColor rgb="00ECBF00"/>
      <rgbColor rgb="00800000"/>
      <rgbColor rgb="00DDDDDD"/>
      <rgbColor rgb="00F8F8F8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Spin" dx="15" fmlaLink="Ano" max="2050" min="1900" page="10" val="201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aprenderexcel.com.b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18</xdr:col>
      <xdr:colOff>161925</xdr:colOff>
      <xdr:row>5</xdr:row>
      <xdr:rowOff>276225</xdr:rowOff>
    </xdr:to>
    <xdr:pic>
      <xdr:nvPicPr>
        <xdr:cNvPr id="71686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61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7"/>
        <a:stretch>
          <a:fillRect/>
        </a:stretch>
      </xdr:blipFill>
      <xdr:spPr bwMode="auto">
        <a:xfrm>
          <a:off x="6705600" y="0"/>
          <a:ext cx="4429125" cy="179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762000</xdr:colOff>
          <xdr:row>7</xdr:row>
          <xdr:rowOff>638175</xdr:rowOff>
        </xdr:from>
        <xdr:to>
          <xdr:col>12</xdr:col>
          <xdr:colOff>2085975</xdr:colOff>
          <xdr:row>7</xdr:row>
          <xdr:rowOff>876300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9</xdr:row>
          <xdr:rowOff>590550</xdr:rowOff>
        </xdr:from>
        <xdr:to>
          <xdr:col>0</xdr:col>
          <xdr:colOff>2009775</xdr:colOff>
          <xdr:row>9</xdr:row>
          <xdr:rowOff>828675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7</xdr:row>
          <xdr:rowOff>590550</xdr:rowOff>
        </xdr:from>
        <xdr:to>
          <xdr:col>2</xdr:col>
          <xdr:colOff>2105025</xdr:colOff>
          <xdr:row>7</xdr:row>
          <xdr:rowOff>828675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7</xdr:row>
          <xdr:rowOff>619125</xdr:rowOff>
        </xdr:from>
        <xdr:to>
          <xdr:col>0</xdr:col>
          <xdr:colOff>2028825</xdr:colOff>
          <xdr:row>7</xdr:row>
          <xdr:rowOff>847725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714375</xdr:colOff>
          <xdr:row>7</xdr:row>
          <xdr:rowOff>619125</xdr:rowOff>
        </xdr:from>
        <xdr:to>
          <xdr:col>8</xdr:col>
          <xdr:colOff>2038350</xdr:colOff>
          <xdr:row>7</xdr:row>
          <xdr:rowOff>857250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7</xdr:row>
          <xdr:rowOff>590550</xdr:rowOff>
        </xdr:from>
        <xdr:to>
          <xdr:col>6</xdr:col>
          <xdr:colOff>2085975</xdr:colOff>
          <xdr:row>7</xdr:row>
          <xdr:rowOff>828675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7</xdr:row>
          <xdr:rowOff>619125</xdr:rowOff>
        </xdr:from>
        <xdr:to>
          <xdr:col>10</xdr:col>
          <xdr:colOff>2085975</xdr:colOff>
          <xdr:row>7</xdr:row>
          <xdr:rowOff>857250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590550</xdr:rowOff>
        </xdr:from>
        <xdr:to>
          <xdr:col>4</xdr:col>
          <xdr:colOff>2085975</xdr:colOff>
          <xdr:row>7</xdr:row>
          <xdr:rowOff>828675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9</xdr:row>
          <xdr:rowOff>609600</xdr:rowOff>
        </xdr:from>
        <xdr:to>
          <xdr:col>12</xdr:col>
          <xdr:colOff>2095500</xdr:colOff>
          <xdr:row>9</xdr:row>
          <xdr:rowOff>847725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800100</xdr:colOff>
          <xdr:row>9</xdr:row>
          <xdr:rowOff>590550</xdr:rowOff>
        </xdr:from>
        <xdr:to>
          <xdr:col>10</xdr:col>
          <xdr:colOff>2124075</xdr:colOff>
          <xdr:row>9</xdr:row>
          <xdr:rowOff>828675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9</xdr:row>
          <xdr:rowOff>590550</xdr:rowOff>
        </xdr:from>
        <xdr:to>
          <xdr:col>8</xdr:col>
          <xdr:colOff>2038350</xdr:colOff>
          <xdr:row>9</xdr:row>
          <xdr:rowOff>819150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9</xdr:row>
          <xdr:rowOff>561975</xdr:rowOff>
        </xdr:from>
        <xdr:to>
          <xdr:col>6</xdr:col>
          <xdr:colOff>2085975</xdr:colOff>
          <xdr:row>9</xdr:row>
          <xdr:rowOff>790575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13</xdr:row>
          <xdr:rowOff>561975</xdr:rowOff>
        </xdr:from>
        <xdr:to>
          <xdr:col>2</xdr:col>
          <xdr:colOff>2114550</xdr:colOff>
          <xdr:row>13</xdr:row>
          <xdr:rowOff>800100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561975</xdr:rowOff>
        </xdr:from>
        <xdr:to>
          <xdr:col>4</xdr:col>
          <xdr:colOff>2057400</xdr:colOff>
          <xdr:row>9</xdr:row>
          <xdr:rowOff>800100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9</xdr:row>
          <xdr:rowOff>561975</xdr:rowOff>
        </xdr:from>
        <xdr:to>
          <xdr:col>2</xdr:col>
          <xdr:colOff>2209800</xdr:colOff>
          <xdr:row>9</xdr:row>
          <xdr:rowOff>800100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781050</xdr:colOff>
          <xdr:row>11</xdr:row>
          <xdr:rowOff>609600</xdr:rowOff>
        </xdr:from>
        <xdr:to>
          <xdr:col>12</xdr:col>
          <xdr:colOff>2105025</xdr:colOff>
          <xdr:row>11</xdr:row>
          <xdr:rowOff>847725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11</xdr:row>
          <xdr:rowOff>590550</xdr:rowOff>
        </xdr:from>
        <xdr:to>
          <xdr:col>10</xdr:col>
          <xdr:colOff>2095500</xdr:colOff>
          <xdr:row>11</xdr:row>
          <xdr:rowOff>828675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11</xdr:row>
          <xdr:rowOff>590550</xdr:rowOff>
        </xdr:from>
        <xdr:to>
          <xdr:col>8</xdr:col>
          <xdr:colOff>2028825</xdr:colOff>
          <xdr:row>11</xdr:row>
          <xdr:rowOff>819150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11</xdr:row>
          <xdr:rowOff>561975</xdr:rowOff>
        </xdr:from>
        <xdr:to>
          <xdr:col>4</xdr:col>
          <xdr:colOff>2105025</xdr:colOff>
          <xdr:row>11</xdr:row>
          <xdr:rowOff>800100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11</xdr:row>
          <xdr:rowOff>561975</xdr:rowOff>
        </xdr:from>
        <xdr:to>
          <xdr:col>6</xdr:col>
          <xdr:colOff>2066925</xdr:colOff>
          <xdr:row>11</xdr:row>
          <xdr:rowOff>800100</xdr:rowOff>
        </xdr:to>
        <xdr:sp macro="" textlink="">
          <xdr:nvSpPr>
            <xdr:cNvPr id="6174" name="Button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11</xdr:row>
          <xdr:rowOff>561975</xdr:rowOff>
        </xdr:from>
        <xdr:to>
          <xdr:col>2</xdr:col>
          <xdr:colOff>2152650</xdr:colOff>
          <xdr:row>11</xdr:row>
          <xdr:rowOff>800100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11</xdr:row>
          <xdr:rowOff>590550</xdr:rowOff>
        </xdr:from>
        <xdr:to>
          <xdr:col>0</xdr:col>
          <xdr:colOff>1952625</xdr:colOff>
          <xdr:row>11</xdr:row>
          <xdr:rowOff>828675</xdr:rowOff>
        </xdr:to>
        <xdr:sp macro="" textlink="">
          <xdr:nvSpPr>
            <xdr:cNvPr id="6176" name="Button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13</xdr:row>
          <xdr:rowOff>590550</xdr:rowOff>
        </xdr:from>
        <xdr:to>
          <xdr:col>0</xdr:col>
          <xdr:colOff>1981200</xdr:colOff>
          <xdr:row>13</xdr:row>
          <xdr:rowOff>828675</xdr:rowOff>
        </xdr:to>
        <xdr:sp macro="" textlink="">
          <xdr:nvSpPr>
            <xdr:cNvPr id="6177" name="Button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13</xdr:row>
          <xdr:rowOff>561975</xdr:rowOff>
        </xdr:from>
        <xdr:to>
          <xdr:col>4</xdr:col>
          <xdr:colOff>2085975</xdr:colOff>
          <xdr:row>13</xdr:row>
          <xdr:rowOff>790575</xdr:rowOff>
        </xdr:to>
        <xdr:sp macro="" textlink="">
          <xdr:nvSpPr>
            <xdr:cNvPr id="6178" name="Button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13</xdr:row>
          <xdr:rowOff>590550</xdr:rowOff>
        </xdr:from>
        <xdr:to>
          <xdr:col>8</xdr:col>
          <xdr:colOff>2028825</xdr:colOff>
          <xdr:row>13</xdr:row>
          <xdr:rowOff>828675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13</xdr:row>
          <xdr:rowOff>561975</xdr:rowOff>
        </xdr:from>
        <xdr:to>
          <xdr:col>6</xdr:col>
          <xdr:colOff>2066925</xdr:colOff>
          <xdr:row>13</xdr:row>
          <xdr:rowOff>800100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13</xdr:row>
          <xdr:rowOff>590550</xdr:rowOff>
        </xdr:from>
        <xdr:to>
          <xdr:col>10</xdr:col>
          <xdr:colOff>2114550</xdr:colOff>
          <xdr:row>13</xdr:row>
          <xdr:rowOff>819150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790575</xdr:colOff>
          <xdr:row>13</xdr:row>
          <xdr:rowOff>609600</xdr:rowOff>
        </xdr:from>
        <xdr:to>
          <xdr:col>12</xdr:col>
          <xdr:colOff>2114550</xdr:colOff>
          <xdr:row>13</xdr:row>
          <xdr:rowOff>847725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15</xdr:row>
          <xdr:rowOff>590550</xdr:rowOff>
        </xdr:from>
        <xdr:to>
          <xdr:col>8</xdr:col>
          <xdr:colOff>2066925</xdr:colOff>
          <xdr:row>15</xdr:row>
          <xdr:rowOff>828675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15</xdr:row>
          <xdr:rowOff>590550</xdr:rowOff>
        </xdr:from>
        <xdr:to>
          <xdr:col>0</xdr:col>
          <xdr:colOff>1981200</xdr:colOff>
          <xdr:row>15</xdr:row>
          <xdr:rowOff>828675</xdr:rowOff>
        </xdr:to>
        <xdr:sp macro="" textlink="">
          <xdr:nvSpPr>
            <xdr:cNvPr id="6184" name="Button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15</xdr:row>
          <xdr:rowOff>561975</xdr:rowOff>
        </xdr:from>
        <xdr:to>
          <xdr:col>2</xdr:col>
          <xdr:colOff>2124075</xdr:colOff>
          <xdr:row>15</xdr:row>
          <xdr:rowOff>800100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828675</xdr:colOff>
          <xdr:row>17</xdr:row>
          <xdr:rowOff>619125</xdr:rowOff>
        </xdr:from>
        <xdr:to>
          <xdr:col>12</xdr:col>
          <xdr:colOff>2143125</xdr:colOff>
          <xdr:row>17</xdr:row>
          <xdr:rowOff>847725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15</xdr:row>
          <xdr:rowOff>561975</xdr:rowOff>
        </xdr:from>
        <xdr:to>
          <xdr:col>4</xdr:col>
          <xdr:colOff>2085975</xdr:colOff>
          <xdr:row>15</xdr:row>
          <xdr:rowOff>790575</xdr:rowOff>
        </xdr:to>
        <xdr:sp macro="" textlink="">
          <xdr:nvSpPr>
            <xdr:cNvPr id="6187" name="Button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15</xdr:row>
          <xdr:rowOff>561975</xdr:rowOff>
        </xdr:from>
        <xdr:to>
          <xdr:col>6</xdr:col>
          <xdr:colOff>2085975</xdr:colOff>
          <xdr:row>15</xdr:row>
          <xdr:rowOff>790575</xdr:rowOff>
        </xdr:to>
        <xdr:sp macro="" textlink="">
          <xdr:nvSpPr>
            <xdr:cNvPr id="6188" name="Button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790575</xdr:colOff>
          <xdr:row>15</xdr:row>
          <xdr:rowOff>609600</xdr:rowOff>
        </xdr:from>
        <xdr:to>
          <xdr:col>12</xdr:col>
          <xdr:colOff>2114550</xdr:colOff>
          <xdr:row>15</xdr:row>
          <xdr:rowOff>838200</xdr:rowOff>
        </xdr:to>
        <xdr:sp macro="" textlink="">
          <xdr:nvSpPr>
            <xdr:cNvPr id="6189" name="Button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819150</xdr:colOff>
          <xdr:row>15</xdr:row>
          <xdr:rowOff>590550</xdr:rowOff>
        </xdr:from>
        <xdr:to>
          <xdr:col>10</xdr:col>
          <xdr:colOff>2143125</xdr:colOff>
          <xdr:row>15</xdr:row>
          <xdr:rowOff>828675</xdr:rowOff>
        </xdr:to>
        <xdr:sp macro="" textlink="">
          <xdr:nvSpPr>
            <xdr:cNvPr id="6190" name="Button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17</xdr:row>
          <xdr:rowOff>590550</xdr:rowOff>
        </xdr:from>
        <xdr:to>
          <xdr:col>10</xdr:col>
          <xdr:colOff>2190750</xdr:colOff>
          <xdr:row>17</xdr:row>
          <xdr:rowOff>828675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17</xdr:row>
          <xdr:rowOff>590550</xdr:rowOff>
        </xdr:from>
        <xdr:to>
          <xdr:col>8</xdr:col>
          <xdr:colOff>2066925</xdr:colOff>
          <xdr:row>17</xdr:row>
          <xdr:rowOff>828675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17</xdr:row>
          <xdr:rowOff>561975</xdr:rowOff>
        </xdr:from>
        <xdr:to>
          <xdr:col>4</xdr:col>
          <xdr:colOff>2143125</xdr:colOff>
          <xdr:row>17</xdr:row>
          <xdr:rowOff>790575</xdr:rowOff>
        </xdr:to>
        <xdr:sp macro="" textlink="">
          <xdr:nvSpPr>
            <xdr:cNvPr id="6194" name="Button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17</xdr:row>
          <xdr:rowOff>561975</xdr:rowOff>
        </xdr:from>
        <xdr:to>
          <xdr:col>6</xdr:col>
          <xdr:colOff>2114550</xdr:colOff>
          <xdr:row>17</xdr:row>
          <xdr:rowOff>790575</xdr:rowOff>
        </xdr:to>
        <xdr:sp macro="" textlink="">
          <xdr:nvSpPr>
            <xdr:cNvPr id="6195" name="Button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17</xdr:row>
          <xdr:rowOff>590550</xdr:rowOff>
        </xdr:from>
        <xdr:to>
          <xdr:col>0</xdr:col>
          <xdr:colOff>1971675</xdr:colOff>
          <xdr:row>17</xdr:row>
          <xdr:rowOff>828675</xdr:rowOff>
        </xdr:to>
        <xdr:sp macro="" textlink="">
          <xdr:nvSpPr>
            <xdr:cNvPr id="6196" name="Button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17</xdr:row>
          <xdr:rowOff>561975</xdr:rowOff>
        </xdr:from>
        <xdr:to>
          <xdr:col>2</xdr:col>
          <xdr:colOff>2114550</xdr:colOff>
          <xdr:row>17</xdr:row>
          <xdr:rowOff>790575</xdr:rowOff>
        </xdr:to>
        <xdr:sp macro="" textlink="">
          <xdr:nvSpPr>
            <xdr:cNvPr id="6200" name="Button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570312</xdr:colOff>
      <xdr:row>3</xdr:row>
      <xdr:rowOff>167331</xdr:rowOff>
    </xdr:from>
    <xdr:to>
      <xdr:col>13</xdr:col>
      <xdr:colOff>257432</xdr:colOff>
      <xdr:row>4</xdr:row>
      <xdr:rowOff>420697</xdr:rowOff>
    </xdr:to>
    <xdr:sp macro="[0]!Clique" textlink="">
      <xdr:nvSpPr>
        <xdr:cNvPr id="2" name="Retângulo de cantos arredondados 1"/>
        <xdr:cNvSpPr/>
      </xdr:nvSpPr>
      <xdr:spPr bwMode="auto">
        <a:xfrm>
          <a:off x="17329163" y="167331"/>
          <a:ext cx="2068370" cy="53654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chemeClr val="accent6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pt-BR" sz="20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Próximo</a:t>
          </a:r>
          <a:r>
            <a:rPr lang="pt-BR" sz="2000" b="1" baseline="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 mês</a:t>
          </a:r>
          <a:endParaRPr lang="pt-BR" sz="2000" b="1">
            <a:solidFill>
              <a:schemeClr val="tx2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2265406</xdr:colOff>
      <xdr:row>3</xdr:row>
      <xdr:rowOff>257432</xdr:rowOff>
    </xdr:from>
    <xdr:to>
      <xdr:col>13</xdr:col>
      <xdr:colOff>129344</xdr:colOff>
      <xdr:row>4</xdr:row>
      <xdr:rowOff>283175</xdr:rowOff>
    </xdr:to>
    <xdr:sp macro="[0]!Clique" textlink="">
      <xdr:nvSpPr>
        <xdr:cNvPr id="3" name="Divisa 2"/>
        <xdr:cNvSpPr/>
      </xdr:nvSpPr>
      <xdr:spPr bwMode="auto">
        <a:xfrm>
          <a:off x="19024257" y="257432"/>
          <a:ext cx="245188" cy="308919"/>
        </a:xfrm>
        <a:prstGeom prst="chevron">
          <a:avLst/>
        </a:prstGeom>
        <a:solidFill>
          <a:schemeClr val="tx2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102973</xdr:colOff>
      <xdr:row>3</xdr:row>
      <xdr:rowOff>167331</xdr:rowOff>
    </xdr:from>
    <xdr:to>
      <xdr:col>0</xdr:col>
      <xdr:colOff>2136688</xdr:colOff>
      <xdr:row>4</xdr:row>
      <xdr:rowOff>411892</xdr:rowOff>
    </xdr:to>
    <xdr:sp macro="[0]!Calendário__Clique" textlink="">
      <xdr:nvSpPr>
        <xdr:cNvPr id="49" name="Retângulo de cantos arredondados 48"/>
        <xdr:cNvSpPr/>
      </xdr:nvSpPr>
      <xdr:spPr bwMode="auto">
        <a:xfrm>
          <a:off x="102973" y="167331"/>
          <a:ext cx="2033715" cy="52773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chemeClr val="accent6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Mês anterior    </a:t>
          </a:r>
        </a:p>
      </xdr:txBody>
    </xdr:sp>
    <xdr:clientData/>
  </xdr:twoCellAnchor>
  <xdr:twoCellAnchor>
    <xdr:from>
      <xdr:col>0</xdr:col>
      <xdr:colOff>167330</xdr:colOff>
      <xdr:row>3</xdr:row>
      <xdr:rowOff>270305</xdr:rowOff>
    </xdr:from>
    <xdr:to>
      <xdr:col>0</xdr:col>
      <xdr:colOff>386149</xdr:colOff>
      <xdr:row>4</xdr:row>
      <xdr:rowOff>257432</xdr:rowOff>
    </xdr:to>
    <xdr:sp macro="[0]!Calendário__Clique" textlink="">
      <xdr:nvSpPr>
        <xdr:cNvPr id="52" name="Divisa 51"/>
        <xdr:cNvSpPr/>
      </xdr:nvSpPr>
      <xdr:spPr bwMode="auto">
        <a:xfrm>
          <a:off x="167330" y="270305"/>
          <a:ext cx="218819" cy="270303"/>
        </a:xfrm>
        <a:custGeom>
          <a:avLst/>
          <a:gdLst>
            <a:gd name="connsiteX0" fmla="*/ 0 w 373278"/>
            <a:gd name="connsiteY0" fmla="*/ 0 h 334663"/>
            <a:gd name="connsiteX1" fmla="*/ 205947 w 373278"/>
            <a:gd name="connsiteY1" fmla="*/ 0 h 334663"/>
            <a:gd name="connsiteX2" fmla="*/ 373278 w 373278"/>
            <a:gd name="connsiteY2" fmla="*/ 167332 h 334663"/>
            <a:gd name="connsiteX3" fmla="*/ 205947 w 373278"/>
            <a:gd name="connsiteY3" fmla="*/ 334663 h 334663"/>
            <a:gd name="connsiteX4" fmla="*/ 0 w 373278"/>
            <a:gd name="connsiteY4" fmla="*/ 334663 h 334663"/>
            <a:gd name="connsiteX5" fmla="*/ 167332 w 373278"/>
            <a:gd name="connsiteY5" fmla="*/ 167332 h 334663"/>
            <a:gd name="connsiteX6" fmla="*/ 0 w 373278"/>
            <a:gd name="connsiteY6" fmla="*/ 0 h 334663"/>
            <a:gd name="connsiteX0" fmla="*/ 128716 w 501994"/>
            <a:gd name="connsiteY0" fmla="*/ 0 h 334663"/>
            <a:gd name="connsiteX1" fmla="*/ 334663 w 501994"/>
            <a:gd name="connsiteY1" fmla="*/ 0 h 334663"/>
            <a:gd name="connsiteX2" fmla="*/ 501994 w 501994"/>
            <a:gd name="connsiteY2" fmla="*/ 167332 h 334663"/>
            <a:gd name="connsiteX3" fmla="*/ 334663 w 501994"/>
            <a:gd name="connsiteY3" fmla="*/ 334663 h 334663"/>
            <a:gd name="connsiteX4" fmla="*/ 128716 w 501994"/>
            <a:gd name="connsiteY4" fmla="*/ 334663 h 334663"/>
            <a:gd name="connsiteX5" fmla="*/ 0 w 501994"/>
            <a:gd name="connsiteY5" fmla="*/ 180204 h 334663"/>
            <a:gd name="connsiteX6" fmla="*/ 128716 w 501994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218819 w 334663"/>
            <a:gd name="connsiteY2" fmla="*/ 154461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90102 w 334663"/>
            <a:gd name="connsiteY2" fmla="*/ 167333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167331 w 334663"/>
            <a:gd name="connsiteY2" fmla="*/ 167333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205946 w 334663"/>
            <a:gd name="connsiteY2" fmla="*/ 193076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205946 w 334663"/>
            <a:gd name="connsiteY2" fmla="*/ 180204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167331 w 334663"/>
            <a:gd name="connsiteY2" fmla="*/ 180204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334663" h="334663">
              <a:moveTo>
                <a:pt x="128716" y="0"/>
              </a:moveTo>
              <a:lnTo>
                <a:pt x="334663" y="0"/>
              </a:lnTo>
              <a:lnTo>
                <a:pt x="167331" y="180204"/>
              </a:lnTo>
              <a:lnTo>
                <a:pt x="334663" y="334663"/>
              </a:lnTo>
              <a:lnTo>
                <a:pt x="128716" y="334663"/>
              </a:lnTo>
              <a:lnTo>
                <a:pt x="0" y="180204"/>
              </a:lnTo>
              <a:lnTo>
                <a:pt x="128716" y="0"/>
              </a:lnTo>
              <a:close/>
            </a:path>
          </a:pathLst>
        </a:custGeom>
        <a:solidFill>
          <a:schemeClr val="tx2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oneCellAnchor>
    <xdr:from>
      <xdr:col>23</xdr:col>
      <xdr:colOff>360405</xdr:colOff>
      <xdr:row>11</xdr:row>
      <xdr:rowOff>90102</xdr:rowOff>
    </xdr:from>
    <xdr:ext cx="184731" cy="264560"/>
    <xdr:sp macro="" textlink="">
      <xdr:nvSpPr>
        <xdr:cNvPr id="5" name="CaixaDeTexto 4"/>
        <xdr:cNvSpPr txBox="1"/>
      </xdr:nvSpPr>
      <xdr:spPr>
        <a:xfrm>
          <a:off x="21804527" y="357831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</xdr:row>
      <xdr:rowOff>9525</xdr:rowOff>
    </xdr:from>
    <xdr:to>
      <xdr:col>6</xdr:col>
      <xdr:colOff>1895476</xdr:colOff>
      <xdr:row>1</xdr:row>
      <xdr:rowOff>571500</xdr:rowOff>
    </xdr:to>
    <xdr:sp macro="[0]!Retângulodecantosarredondados1_Clique" textlink="">
      <xdr:nvSpPr>
        <xdr:cNvPr id="2" name="Retângulo de cantos arredondados 1"/>
        <xdr:cNvSpPr/>
      </xdr:nvSpPr>
      <xdr:spPr bwMode="auto">
        <a:xfrm>
          <a:off x="13087350" y="123825"/>
          <a:ext cx="1562101" cy="561975"/>
        </a:xfrm>
        <a:prstGeom prst="round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="1">
              <a:solidFill>
                <a:schemeClr val="bg1"/>
              </a:solidFill>
              <a:latin typeface="Arial Black" panose="020B0A04020102020204" pitchFamily="34" charset="0"/>
            </a:rPr>
            <a:t>Registrar</a:t>
          </a:r>
          <a:r>
            <a:rPr lang="pt-BR" sz="1100" b="1" baseline="0">
              <a:solidFill>
                <a:schemeClr val="bg1"/>
              </a:solidFill>
              <a:latin typeface="Arial Black" panose="020B0A04020102020204" pitchFamily="34" charset="0"/>
            </a:rPr>
            <a:t> Saída de Férias</a:t>
          </a:r>
          <a:endParaRPr lang="pt-BR" sz="11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2514600</xdr:colOff>
      <xdr:row>0</xdr:row>
      <xdr:rowOff>85725</xdr:rowOff>
    </xdr:from>
    <xdr:to>
      <xdr:col>4</xdr:col>
      <xdr:colOff>4076701</xdr:colOff>
      <xdr:row>1</xdr:row>
      <xdr:rowOff>485775</xdr:rowOff>
    </xdr:to>
    <xdr:sp macro="[0]!Eventos_Retângulodecantosarredondados1_Clique" textlink="">
      <xdr:nvSpPr>
        <xdr:cNvPr id="2" name="Retângulo de cantos arredondados 1"/>
        <xdr:cNvSpPr/>
      </xdr:nvSpPr>
      <xdr:spPr bwMode="auto">
        <a:xfrm>
          <a:off x="10915650" y="85725"/>
          <a:ext cx="1562101" cy="561975"/>
        </a:xfrm>
        <a:prstGeom prst="round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="1">
              <a:solidFill>
                <a:schemeClr val="bg1"/>
              </a:solidFill>
              <a:latin typeface="Arial Black" panose="020B0A04020102020204" pitchFamily="34" charset="0"/>
            </a:rPr>
            <a:t>Registrar</a:t>
          </a:r>
          <a:r>
            <a:rPr lang="pt-BR" sz="1100" b="1" baseline="0">
              <a:solidFill>
                <a:schemeClr val="bg1"/>
              </a:solidFill>
              <a:latin typeface="Arial Black" panose="020B0A04020102020204" pitchFamily="34" charset="0"/>
            </a:rPr>
            <a:t> Novo Evento</a:t>
          </a:r>
          <a:endParaRPr lang="pt-BR" sz="11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161925</xdr:rowOff>
        </xdr:from>
        <xdr:to>
          <xdr:col>6</xdr:col>
          <xdr:colOff>9525</xdr:colOff>
          <xdr:row>2</xdr:row>
          <xdr:rowOff>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xmlns="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aprenderexcel.com.br/2015/tutoriais/problemas-com-os-downloads-do-site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17"/>
  <sheetViews>
    <sheetView workbookViewId="0">
      <selection activeCell="E17" sqref="E17"/>
    </sheetView>
  </sheetViews>
  <sheetFormatPr defaultRowHeight="12.75" x14ac:dyDescent="0.2"/>
  <cols>
    <col min="1" max="16384" width="9.140625" style="79"/>
  </cols>
  <sheetData>
    <row r="1" spans="1:20" ht="59.25" x14ac:dyDescent="0.75">
      <c r="A1" s="69"/>
      <c r="B1" s="69"/>
      <c r="C1" s="69"/>
      <c r="D1" s="69"/>
      <c r="E1" s="69"/>
      <c r="F1" s="70" t="s">
        <v>112</v>
      </c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71"/>
    </row>
    <row r="2" spans="1:20" ht="1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71"/>
    </row>
    <row r="3" spans="1:20" ht="15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71"/>
    </row>
    <row r="4" spans="1:20" ht="15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71"/>
    </row>
    <row r="5" spans="1:20" ht="15" x14ac:dyDescent="0.25">
      <c r="A5" s="69"/>
      <c r="B5" s="69"/>
      <c r="C5" s="69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69"/>
      <c r="R5" s="69"/>
      <c r="S5" s="69"/>
      <c r="T5" s="71"/>
    </row>
    <row r="6" spans="1:20" ht="61.5" x14ac:dyDescent="0.9">
      <c r="A6" s="69"/>
      <c r="B6" s="69"/>
      <c r="C6" s="69"/>
      <c r="D6" s="72"/>
      <c r="E6" s="122" t="s">
        <v>113</v>
      </c>
      <c r="F6" s="122"/>
      <c r="G6" s="122"/>
      <c r="H6" s="122"/>
      <c r="I6" s="122"/>
      <c r="J6" s="122"/>
      <c r="K6" s="122"/>
      <c r="L6" s="122"/>
      <c r="M6" s="122"/>
      <c r="N6" s="122"/>
      <c r="O6" s="72"/>
      <c r="P6" s="72"/>
      <c r="Q6" s="69"/>
      <c r="R6" s="69"/>
      <c r="S6" s="69"/>
      <c r="T6" s="71"/>
    </row>
    <row r="7" spans="1:20" ht="15.75" customHeight="1" x14ac:dyDescent="0.9">
      <c r="A7" s="69"/>
      <c r="B7" s="69"/>
      <c r="C7" s="69"/>
      <c r="D7" s="72"/>
      <c r="E7" s="73"/>
      <c r="F7" s="73"/>
      <c r="G7" s="73"/>
      <c r="H7" s="73"/>
      <c r="I7" s="73"/>
      <c r="J7" s="73"/>
      <c r="K7" s="73"/>
      <c r="L7" s="73"/>
      <c r="M7" s="73"/>
      <c r="N7" s="73"/>
      <c r="O7" s="72"/>
      <c r="P7" s="72"/>
      <c r="Q7" s="69"/>
      <c r="R7" s="69"/>
      <c r="S7" s="69"/>
      <c r="T7" s="71"/>
    </row>
    <row r="8" spans="1:20" ht="18.75" x14ac:dyDescent="0.3">
      <c r="A8" s="69"/>
      <c r="B8" s="69"/>
      <c r="C8" s="69"/>
      <c r="D8" s="72"/>
      <c r="E8" s="123" t="s">
        <v>114</v>
      </c>
      <c r="F8" s="123"/>
      <c r="G8" s="123"/>
      <c r="H8" s="123"/>
      <c r="I8" s="123"/>
      <c r="J8" s="123"/>
      <c r="K8" s="123"/>
      <c r="L8" s="123"/>
      <c r="M8" s="123"/>
      <c r="N8" s="123"/>
      <c r="O8" s="72"/>
      <c r="P8" s="72"/>
      <c r="Q8" s="69"/>
      <c r="R8" s="69"/>
      <c r="S8" s="69"/>
      <c r="T8" s="71"/>
    </row>
    <row r="9" spans="1:20" ht="18.75" x14ac:dyDescent="0.3">
      <c r="A9" s="69"/>
      <c r="B9" s="69"/>
      <c r="C9" s="69"/>
      <c r="D9" s="74" t="s">
        <v>115</v>
      </c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2"/>
      <c r="Q9" s="69"/>
      <c r="R9" s="69"/>
      <c r="S9" s="69"/>
      <c r="T9" s="71"/>
    </row>
    <row r="10" spans="1:20" ht="18.75" x14ac:dyDescent="0.3">
      <c r="A10" s="69"/>
      <c r="B10" s="69"/>
      <c r="C10" s="69"/>
      <c r="D10" s="123" t="s">
        <v>116</v>
      </c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69"/>
      <c r="S10" s="69"/>
      <c r="T10" s="71"/>
    </row>
    <row r="11" spans="1:20" ht="18.75" x14ac:dyDescent="0.3">
      <c r="A11" s="69"/>
      <c r="B11" s="69"/>
      <c r="C11" s="69"/>
      <c r="D11" s="72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2"/>
      <c r="P11" s="72"/>
      <c r="Q11" s="69"/>
      <c r="R11" s="69"/>
      <c r="S11" s="69"/>
      <c r="T11" s="71"/>
    </row>
    <row r="12" spans="1:20" ht="18.75" x14ac:dyDescent="0.3">
      <c r="A12" s="69"/>
      <c r="B12" s="69"/>
      <c r="C12" s="69"/>
      <c r="D12" s="72"/>
      <c r="E12" s="75"/>
      <c r="F12" s="124" t="s">
        <v>117</v>
      </c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69"/>
      <c r="S12" s="69"/>
      <c r="T12" s="71"/>
    </row>
    <row r="13" spans="1:20" ht="15" x14ac:dyDescent="0.25">
      <c r="A13" s="69"/>
      <c r="B13" s="69"/>
      <c r="C13" s="69"/>
      <c r="D13" s="72"/>
      <c r="E13" s="72"/>
      <c r="F13" s="72"/>
      <c r="G13" s="72"/>
      <c r="H13" s="72"/>
      <c r="I13" s="72"/>
      <c r="J13" s="72"/>
      <c r="K13" s="72"/>
      <c r="L13" s="72"/>
      <c r="M13" s="69"/>
      <c r="N13" s="69"/>
      <c r="O13" s="69"/>
      <c r="P13" s="69"/>
      <c r="Q13" s="69"/>
      <c r="R13" s="69"/>
      <c r="S13" s="69"/>
      <c r="T13" s="71"/>
    </row>
    <row r="14" spans="1:20" ht="23.25" x14ac:dyDescent="0.25">
      <c r="A14" s="69"/>
      <c r="B14" s="76" t="s">
        <v>118</v>
      </c>
      <c r="C14" s="76"/>
      <c r="D14" s="76"/>
      <c r="E14" s="76"/>
      <c r="F14" s="76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71"/>
    </row>
    <row r="15" spans="1:20" ht="44.25" x14ac:dyDescent="0.55000000000000004">
      <c r="A15" s="69"/>
      <c r="B15" s="77"/>
      <c r="C15" s="78" t="s">
        <v>119</v>
      </c>
      <c r="D15" s="77"/>
      <c r="E15" s="77"/>
      <c r="F15" s="77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71"/>
    </row>
    <row r="16" spans="1:20" ht="15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71"/>
    </row>
    <row r="17" spans="1:20" ht="15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71"/>
    </row>
  </sheetData>
  <mergeCells count="4">
    <mergeCell ref="E6:N6"/>
    <mergeCell ref="E8:N8"/>
    <mergeCell ref="D10:Q10"/>
    <mergeCell ref="F12:Q12"/>
  </mergeCells>
  <hyperlinks>
    <hyperlink ref="F12" r:id="rId1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AG19"/>
  <sheetViews>
    <sheetView showGridLines="0" showRowColHeaders="0" tabSelected="1" topLeftCell="A4" zoomScale="74" zoomScaleNormal="74" workbookViewId="0">
      <selection activeCell="C4" sqref="C4:K5"/>
    </sheetView>
  </sheetViews>
  <sheetFormatPr defaultRowHeight="10.5" x14ac:dyDescent="0.15"/>
  <cols>
    <col min="1" max="1" width="35.7109375" style="4" customWidth="1"/>
    <col min="2" max="2" width="6.140625" style="4" customWidth="1"/>
    <col min="3" max="3" width="35.7109375" style="4" customWidth="1"/>
    <col min="4" max="4" width="6.140625" style="4" customWidth="1"/>
    <col min="5" max="5" width="35.7109375" style="4" customWidth="1"/>
    <col min="6" max="6" width="6.140625" style="4" customWidth="1"/>
    <col min="7" max="7" width="35.7109375" style="4" customWidth="1"/>
    <col min="8" max="8" width="6.140625" style="4" customWidth="1"/>
    <col min="9" max="9" width="35.7109375" style="4" customWidth="1"/>
    <col min="10" max="10" width="6.140625" style="4" customWidth="1"/>
    <col min="11" max="11" width="35.7109375" style="4" customWidth="1"/>
    <col min="12" max="12" width="6.140625" style="4" customWidth="1"/>
    <col min="13" max="13" width="35.7109375" style="4" customWidth="1"/>
    <col min="14" max="14" width="6.140625" style="4" customWidth="1"/>
    <col min="15" max="15" width="9.140625" style="4"/>
    <col min="16" max="16" width="9.85546875" style="4" hidden="1" customWidth="1"/>
    <col min="17" max="17" width="15.5703125" style="4" hidden="1" customWidth="1"/>
    <col min="18" max="16384" width="9.140625" style="4"/>
  </cols>
  <sheetData>
    <row r="1" spans="1:33" s="59" customFormat="1" hidden="1" x14ac:dyDescent="0.2">
      <c r="A1" s="57"/>
      <c r="B1" s="57"/>
      <c r="C1" s="57"/>
      <c r="D1" s="57"/>
      <c r="E1" s="57"/>
      <c r="F1" s="57"/>
      <c r="G1" s="57"/>
      <c r="H1" s="57"/>
      <c r="I1" s="58" t="b">
        <v>1</v>
      </c>
      <c r="J1" s="57"/>
      <c r="K1" s="57"/>
      <c r="L1" s="57"/>
      <c r="N1" s="57"/>
    </row>
    <row r="2" spans="1:33" s="59" customFormat="1" hidden="1" x14ac:dyDescent="0.2">
      <c r="A2" s="57"/>
      <c r="B2" s="57"/>
      <c r="C2" s="57"/>
      <c r="D2" s="57"/>
      <c r="E2" s="57"/>
      <c r="F2" s="57"/>
      <c r="G2" s="57"/>
      <c r="H2" s="57"/>
      <c r="I2" s="58" t="b">
        <v>1</v>
      </c>
      <c r="J2" s="57"/>
      <c r="K2" s="57"/>
      <c r="L2" s="57"/>
      <c r="M2" s="58">
        <v>1</v>
      </c>
      <c r="N2" s="57"/>
      <c r="AE2" s="59" t="b">
        <v>1</v>
      </c>
      <c r="AG2" s="59" t="b">
        <v>1</v>
      </c>
    </row>
    <row r="3" spans="1:33" s="59" customFormat="1" hidden="1" x14ac:dyDescent="0.2">
      <c r="A3" s="57"/>
      <c r="B3" s="57"/>
      <c r="C3" s="57"/>
      <c r="D3" s="57"/>
      <c r="E3" s="57"/>
      <c r="F3" s="57"/>
      <c r="G3" s="57"/>
      <c r="H3" s="57"/>
      <c r="I3" s="58" t="b">
        <v>0</v>
      </c>
      <c r="J3" s="57"/>
      <c r="K3" s="57"/>
      <c r="L3" s="57"/>
      <c r="N3" s="57"/>
    </row>
    <row r="4" spans="1:33" ht="22.5" customHeight="1" x14ac:dyDescent="0.15">
      <c r="B4" s="27"/>
      <c r="C4" s="125" t="str">
        <f>UPPER(TEXT(_Dia1,"mmmm \• aaaa"))</f>
        <v>JANEIRO • 2019</v>
      </c>
      <c r="D4" s="125"/>
      <c r="E4" s="125"/>
      <c r="F4" s="125"/>
      <c r="G4" s="125"/>
      <c r="H4" s="125"/>
      <c r="I4" s="125"/>
      <c r="J4" s="125"/>
      <c r="K4" s="125"/>
      <c r="L4" s="27"/>
      <c r="M4" s="96"/>
      <c r="N4" s="27"/>
      <c r="O4" s="147" t="s">
        <v>141</v>
      </c>
      <c r="P4" s="147"/>
      <c r="Q4" s="147"/>
      <c r="R4" s="147"/>
    </row>
    <row r="5" spans="1:33" ht="41.25" customHeight="1" thickBot="1" x14ac:dyDescent="0.2">
      <c r="A5" s="80">
        <f>DATE(Ano,Mês,1)</f>
        <v>43466</v>
      </c>
      <c r="B5" s="81"/>
      <c r="C5" s="126"/>
      <c r="D5" s="126"/>
      <c r="E5" s="126"/>
      <c r="F5" s="126"/>
      <c r="G5" s="126"/>
      <c r="H5" s="126"/>
      <c r="I5" s="126"/>
      <c r="J5" s="126"/>
      <c r="K5" s="126"/>
      <c r="L5" s="81"/>
      <c r="M5" s="96"/>
      <c r="N5" s="80">
        <v>1</v>
      </c>
      <c r="O5" s="147"/>
      <c r="P5" s="147"/>
      <c r="Q5" s="147"/>
      <c r="R5" s="147"/>
    </row>
    <row r="6" spans="1:33" ht="30" customHeight="1" thickBot="1" x14ac:dyDescent="0.2">
      <c r="A6" s="137" t="s">
        <v>84</v>
      </c>
      <c r="B6" s="137"/>
      <c r="C6" s="137" t="s">
        <v>78</v>
      </c>
      <c r="D6" s="137"/>
      <c r="E6" s="137" t="s">
        <v>79</v>
      </c>
      <c r="F6" s="137"/>
      <c r="G6" s="137" t="s">
        <v>80</v>
      </c>
      <c r="H6" s="137"/>
      <c r="I6" s="137" t="s">
        <v>81</v>
      </c>
      <c r="J6" s="137"/>
      <c r="K6" s="137" t="s">
        <v>82</v>
      </c>
      <c r="L6" s="137"/>
      <c r="M6" s="137" t="s">
        <v>83</v>
      </c>
      <c r="N6" s="137"/>
      <c r="O6" s="147"/>
      <c r="P6" s="147"/>
      <c r="Q6" s="147"/>
      <c r="R6" s="147"/>
    </row>
    <row r="7" spans="1:33" ht="22.5" x14ac:dyDescent="0.15">
      <c r="A7" s="121" t="str">
        <f>IF(FerNac, IF(ISNA(INDEX(Brz3A, MATCH(B7,_Brz3,0))), "", INDEX(Brz3A, MATCH(B7,_Brz3,0))), "" )</f>
        <v/>
      </c>
      <c r="B7" s="107">
        <f>IF( WEEKDAY(_Dia1) = MOD(COLUMN()-1,8), _Dia1, 0 )</f>
        <v>0</v>
      </c>
      <c r="C7" s="113" t="str">
        <f>IF(FerNac, IF(ISNA(INDEX(Brz3A, MATCH(D7,_Brz3,0))), "", INDEX(Brz3A, MATCH(D7,_Brz3,0))), "" )</f>
        <v/>
      </c>
      <c r="D7" s="107">
        <f>IF( B7&gt;0, B7+1, IF( WEEKDAY(_Dia1)=MOD(COLUMN()-2,8), _Dia1, 0) )</f>
        <v>0</v>
      </c>
      <c r="E7" s="113" t="str">
        <f>IF(FerNac, IF(ISNA(INDEX(Brz3A, MATCH(F7,_Brz3,0))), "", INDEX(Brz3A, MATCH(F7,_Brz3,0))), "" )</f>
        <v>Confratern. Universal</v>
      </c>
      <c r="F7" s="106">
        <f>IF( D7&gt;0, D7+1, IF( WEEKDAY(_Dia1)=MOD(COLUMN()-3,8), _Dia1, 0) )</f>
        <v>43466</v>
      </c>
      <c r="G7" s="114" t="str">
        <f>IF(FerNac, IF(ISNA(INDEX(Brz3A, MATCH(H7,_Brz3,0))), "", INDEX(Brz3A, MATCH(H7,_Brz3,0))), "" )</f>
        <v/>
      </c>
      <c r="H7" s="110">
        <f>IF( F7&gt;0, F7+1, IF( WEEKDAY(_Dia1)=MOD(COLUMN()-4,8), _Dia1, 0) )</f>
        <v>43467</v>
      </c>
      <c r="I7" s="113" t="str">
        <f>IF(FerNac, IF(ISNA(INDEX(Brz3A, MATCH(J7,_Brz3,0))), "", INDEX(Brz3A, MATCH(J7,_Brz3,0))), "" )</f>
        <v/>
      </c>
      <c r="J7" s="107">
        <f>IF( H7&gt;0, H7+1, IF( WEEKDAY(_Dia1)=MOD(COLUMN()-5,8), _Dia1, 0) )</f>
        <v>43468</v>
      </c>
      <c r="K7" s="113" t="str">
        <f>IF(FerNac, IF(ISNA(INDEX(Brz3A, MATCH(L7,_Brz3,0))), "", INDEX(Brz3A, MATCH(L7,_Brz3,0))), "" )</f>
        <v/>
      </c>
      <c r="L7" s="107">
        <f>IF( J7&gt;0, J7+1, IF( WEEKDAY(_Dia1)=MOD(COLUMN()-6,8), _Dia1, 0) )</f>
        <v>43469</v>
      </c>
      <c r="M7" s="113" t="str">
        <f>IF(FerNac, IF(ISNA(INDEX(Brz3A, MATCH(N7,_Brz3,0))), "", INDEX(Brz3A, MATCH(N7,_Brz3,0))), "" )</f>
        <v/>
      </c>
      <c r="N7" s="107">
        <f>IF( L7&gt;0, L7+1, IF( WEEKDAY(_Dia1)=MOD(COLUMN()-7,8), _Dia1, 0) )</f>
        <v>43470</v>
      </c>
      <c r="O7" s="147"/>
      <c r="P7" s="147"/>
      <c r="Q7" s="147"/>
      <c r="R7" s="147"/>
    </row>
    <row r="8" spans="1:33" ht="72.95" customHeight="1" thickBot="1" x14ac:dyDescent="0.2">
      <c r="A8" s="135" t="str">
        <f>IF(COUNTIF(Eventos!$B$5:$B$5000,DATE(Ano,Mês,DAY(Calendário!B7)))&lt;1,"",CONCATENATE("Há ",COUNTIF(Eventos!$B$5:$B$5000,DATE(Ano,Mês,DAY(Calendário!B7)))," lançamento para esta data"))</f>
        <v/>
      </c>
      <c r="B8" s="136"/>
      <c r="C8" s="133" t="str">
        <f>IF(COUNTIF(Eventos!$B$5:$B$5000,DATE(Ano,Mês,DAY(Calendário!D7)))&lt;1,"",CONCATENATE("Há ",COUNTIF(Eventos!$B$5:$B$5000,DATE(Ano,Mês,DAY(Calendário!D7)))," lançamento para esta data"))</f>
        <v/>
      </c>
      <c r="D8" s="130"/>
      <c r="E8" s="133" t="str">
        <f>IF(COUNTIF(Eventos!$B$5:$B$5000,DATE(Ano,Mês,DAY(Calendário!F7)))&lt;1,"",CONCATENATE("Há ",COUNTIF(Eventos!$B$5:$B$5000,DATE(Ano,Mês,DAY(Calendário!F7)))," lançamento para esta data"))</f>
        <v/>
      </c>
      <c r="F8" s="130"/>
      <c r="G8" s="128" t="str">
        <f>IF(COUNTIF(Eventos!$B$5:$B$5000,DATE(Ano,Mês,DAY(Calendário!H7)))&lt;1,"",CONCATENATE("Há ",COUNTIF(Eventos!$B$5:$B$5000,DATE(Ano,Mês,DAY(Calendário!H7))),"  lançamento para esta data"))</f>
        <v/>
      </c>
      <c r="H8" s="128"/>
      <c r="I8" s="133" t="str">
        <f>IF(COUNTIF(Eventos!$B$5:$B$5000,DATE(Ano,Mês,DAY(Calendário!J7)))&lt;1,"",CONCATENATE("Há ",COUNTIF(Eventos!$B$5:$B$5000,DATE(Ano,Mês,DAY(Calendário!H7))),"  lançamento para esta data"))</f>
        <v/>
      </c>
      <c r="J8" s="130"/>
      <c r="K8" s="127" t="str">
        <f>IF(COUNTIF(Eventos!$B$5:$B$5000,DATE(Ano,Mês,DAY(Calendário!L7)))&lt;1,"",CONCATENATE("Há ",COUNTIF(Eventos!$B$5:$B$5000,DATE(Ano,Mês,DAY(Calendário!L7)))," lançamento para esta data"))</f>
        <v/>
      </c>
      <c r="L8" s="131"/>
      <c r="M8" s="128" t="str">
        <f>IF(COUNTIF(Eventos!$B$5:$B$5000,DATE(Ano,Mês,DAY(Calendário!N7)))&lt;1,"",CONCATENATE("Há ",COUNTIF(Eventos!$B$5:$B$5000,DATE(Ano,Mês,DAY(Calendário!N7)))," lançamento para esta data"))</f>
        <v/>
      </c>
      <c r="N8" s="128"/>
      <c r="O8" s="147"/>
      <c r="P8" s="147"/>
      <c r="Q8" s="147"/>
      <c r="R8" s="147"/>
      <c r="T8" s="88"/>
      <c r="V8" s="87"/>
    </row>
    <row r="9" spans="1:33" ht="22.5" x14ac:dyDescent="0.15">
      <c r="A9" s="115" t="str">
        <f>IF(FerNac, IF(ISNA(INDEX(Brz3A, MATCH(B9,_Brz3,0))), "", INDEX(Brz3A, MATCH(B9,_Brz3,0))), "" )</f>
        <v/>
      </c>
      <c r="B9" s="106">
        <f>N7+1</f>
        <v>43471</v>
      </c>
      <c r="C9" s="114" t="str">
        <f>IF(FerNac, IF(ISNA(INDEX(Brz3A, MATCH(D9,_Brz3,0))), "", INDEX(Brz3A, MATCH(D9,_Brz3,0))), "" )</f>
        <v/>
      </c>
      <c r="D9" s="107">
        <f>B9+1</f>
        <v>43472</v>
      </c>
      <c r="E9" s="113" t="str">
        <f>IF(FerNac, IF(ISNA(INDEX(Brz3A, MATCH(F9,_Brz3,0))), "", INDEX(Brz3A, MATCH(F9,_Brz3,0))), "" )</f>
        <v/>
      </c>
      <c r="F9" s="108">
        <f>D9+1</f>
        <v>43473</v>
      </c>
      <c r="G9" s="113" t="str">
        <f>IF(FerNac, IF(ISNA(INDEX(Brz3A, MATCH(H9,_Brz3,0))), "", INDEX(Brz3A, MATCH(H9,_Brz3,0))), "" )</f>
        <v/>
      </c>
      <c r="H9" s="106">
        <f>F9+1</f>
        <v>43474</v>
      </c>
      <c r="I9" s="113" t="str">
        <f>IF(FerNac, IF(ISNA(INDEX(Brz3A, MATCH(J9,_Brz3,0))), "", INDEX(Brz3A, MATCH(J9,_Brz3,0))), "" )</f>
        <v/>
      </c>
      <c r="J9" s="109">
        <f>H9+1</f>
        <v>43475</v>
      </c>
      <c r="K9" s="112" t="str">
        <f>IF(FerNac, IF(ISNA(INDEX(Brz3A, MATCH(L9,_Brz3,0))), "", INDEX(Brz3A, MATCH(L9,_Brz3,0))), "" )</f>
        <v/>
      </c>
      <c r="L9" s="106">
        <f>J9+1</f>
        <v>43476</v>
      </c>
      <c r="M9" s="113" t="str">
        <f>IF(FerNac, IF(ISNA(INDEX(Brz3A, MATCH(N9,_Brz3,0))), "", INDEX(Brz3A, MATCH(N9,_Brz3,0))), "" )</f>
        <v/>
      </c>
      <c r="N9" s="108">
        <f>L9+1</f>
        <v>43477</v>
      </c>
      <c r="O9" s="147"/>
      <c r="P9" s="147"/>
      <c r="Q9" s="147"/>
      <c r="R9" s="147"/>
    </row>
    <row r="10" spans="1:33" ht="72.95" customHeight="1" thickBot="1" x14ac:dyDescent="0.2">
      <c r="A10" s="132" t="str">
        <f>IF(COUNTIF(Eventos!$B$5:$B$5000,DATE(Ano,Mês,DAY(Calendário!B9)))&lt;1,"",CONCATENATE("Há ",COUNTIF(Eventos!$B$5:$B$5000,DATE(Ano,Mês,DAY(Calendário!B9)))," lançamento para esta data"))</f>
        <v/>
      </c>
      <c r="B10" s="128"/>
      <c r="C10" s="133" t="str">
        <f>IF(COUNTIF(Eventos!$B$5:$B$5000,DATE(Ano,Mês,DAY(Calendário!D9)))&lt;1,"",CONCATENATE("Há ",COUNTIF(Eventos!$B$5:$B$5000,DATE(Ano,Mês,DAY(Calendário!D9)))," lançamento para esta data"))</f>
        <v/>
      </c>
      <c r="D10" s="130"/>
      <c r="E10" s="128" t="str">
        <f>IF(COUNTIF(Eventos!$B$5:$B$5000,DATE(Ano,Mês,DAY(Calendário!F9)))&lt;1,"",CONCATENATE("Há ",COUNTIF(Eventos!$B$5:$B$5000,DATE(Ano,Mês,DAY(Calendário!F9)))," Lançamento para esta data"))</f>
        <v/>
      </c>
      <c r="F10" s="128"/>
      <c r="G10" s="133" t="str">
        <f>IF(COUNTIF(Eventos!$B$5:$B$5000,DATE(Ano,Mês,DAY(Calendário!H9)))&lt;1,"",CONCATENATE("Há ",COUNTIF(Eventos!$B$5:$B$5000,DATE(Ano,Mês,DAY(Calendário!H9)))," Lançamento para esta data"))</f>
        <v/>
      </c>
      <c r="H10" s="130"/>
      <c r="I10" s="133" t="str">
        <f>IF(COUNTIF(Eventos!$B$5:$B$5000,DATE(Ano,Mês,DAY(Calendário!J9)))&lt;1,"",CONCATENATE("Há ",COUNTIF(Eventos!$B$5:$B$5000,DATE(Ano,Mês,DAY(Calendário!J9)))," lançamento para esta data"))</f>
        <v/>
      </c>
      <c r="J10" s="130"/>
      <c r="K10" s="133" t="str">
        <f>IF(COUNTIF(Eventos!$B$5:$B$5000,DATE(Ano,Mês,DAY(Calendário!L9)))&lt;1,"",CONCATENATE("Há ",COUNTIF(Eventos!$B$5:$B$5000,DATE(Ano,Mês,DAY(Calendário!L9)))," lançamento para esta data"))</f>
        <v/>
      </c>
      <c r="L10" s="130"/>
      <c r="M10" s="133" t="str">
        <f>IF(COUNTIF(Eventos!$B$5:$B$5000,DATE(Ano,Mês,DAY(Calendário!N9)))&lt;1,"",CONCATENATE("Há ",COUNTIF(Eventos!$B$5:$B$5000,DATE(Ano,Mês,DAY(Calendário!N9)))," lançamento para esta data"))</f>
        <v/>
      </c>
      <c r="N10" s="134"/>
      <c r="O10" s="147"/>
      <c r="P10" s="147"/>
      <c r="Q10" s="147"/>
      <c r="R10" s="147"/>
    </row>
    <row r="11" spans="1:33" ht="27" customHeight="1" x14ac:dyDescent="0.15">
      <c r="A11" s="115" t="str">
        <f>IF(FerNac, IF(ISNA(INDEX(Brz3A, MATCH(B11,_Brz3,0))), "", INDEX(Brz3A, MATCH(B11,_Brz3,0))), "" )</f>
        <v/>
      </c>
      <c r="B11" s="108">
        <f>N9+1</f>
        <v>43478</v>
      </c>
      <c r="C11" s="113" t="str">
        <f>IF(FerNac, IF(ISNA(INDEX(Brz3A, MATCH(D11,_Brz3,0))), "", INDEX(Brz3A, MATCH(D11,_Brz3,0))), "" )</f>
        <v/>
      </c>
      <c r="D11" s="108">
        <f>B11+1</f>
        <v>43479</v>
      </c>
      <c r="E11" s="113" t="str">
        <f>IF(FerNac, IF(ISNA(INDEX(Brz3A, MATCH(F11,_Brz3,0))), "", INDEX(Brz3A, MATCH(F11,_Brz3,0))), "" )</f>
        <v/>
      </c>
      <c r="F11" s="108">
        <f>D11+1</f>
        <v>43480</v>
      </c>
      <c r="G11" s="113" t="str">
        <f>IF(FerNac, IF(ISNA(INDEX(Brz3A, MATCH(H11,_Brz3,0))), "", INDEX(Brz3A, MATCH(H11,_Brz3,0))), "" )</f>
        <v/>
      </c>
      <c r="H11" s="108">
        <f>F11+1</f>
        <v>43481</v>
      </c>
      <c r="I11" s="113" t="str">
        <f>IF(FerNac, IF(ISNA(INDEX(Brz3A, MATCH(J11,_Brz3,0))), "", INDEX(Brz3A, MATCH(J11,_Brz3,0))), "" )</f>
        <v/>
      </c>
      <c r="J11" s="109">
        <f>H11+1</f>
        <v>43482</v>
      </c>
      <c r="K11" s="114" t="str">
        <f>IF(FerNac, IF(ISNA(INDEX(Brz3A, MATCH(L11,_Brz3,0))), "", INDEX(Brz3A, MATCH(L11,_Brz3,0))), "" )</f>
        <v/>
      </c>
      <c r="L11" s="109">
        <f>J11+1</f>
        <v>43483</v>
      </c>
      <c r="M11" s="114" t="str">
        <f>IF(FerNac, IF(ISNA(INDEX(Brz3A, MATCH(N11,_Brz3,0))), "", INDEX(Brz3A, MATCH(N11,_Brz3,0))), "" )</f>
        <v/>
      </c>
      <c r="N11" s="107">
        <f>L11+1</f>
        <v>43484</v>
      </c>
      <c r="O11" s="147"/>
      <c r="P11" s="147"/>
      <c r="Q11" s="147"/>
      <c r="R11" s="147"/>
    </row>
    <row r="12" spans="1:33" ht="72.95" customHeight="1" thickBot="1" x14ac:dyDescent="0.2">
      <c r="A12" s="132" t="str">
        <f>IF(COUNTIF(Eventos!$B$5:$B$5000,DATE(Ano,Mês,DAY(Calendário!B11)))&lt;1,"",CONCATENATE("Há ",COUNTIF(Eventos!$B$5:$B$5000,DATE(Ano,Mês,DAY(Calendário!B11)))," lançamento para esta data"))</f>
        <v/>
      </c>
      <c r="B12" s="128"/>
      <c r="C12" s="133" t="str">
        <f>IF(COUNTIF(Eventos!$B$5:$B$5000,DATE(Ano,Mês,DAY(Calendário!D11)))&lt;1,"",CONCATENATE("Há ",COUNTIF(Eventos!$B$5:$B$5000,DATE(Ano,Mês,DAY(Calendário!D11)))," lançamento para esta data"))</f>
        <v/>
      </c>
      <c r="D12" s="134"/>
      <c r="E12" s="133" t="str">
        <f>IF(COUNTIF(Eventos!$B$5:$B$5000,DATE(Ano,Mês,DAY(Calendário!F11)))&lt;1,"",CONCATENATE("Há ",COUNTIF(Eventos!$B$5:$B$5000,DATE(Ano,Mês,DAY(Calendário!F11)))," lançamento para esta data"))</f>
        <v/>
      </c>
      <c r="F12" s="130"/>
      <c r="G12" s="133" t="str">
        <f>IF(COUNTIF(Eventos!$B$5:$B$5000,DATE(Ano,Mês,DAY(Calendário!H11)))&lt;1,"",CONCATENATE("Há ",COUNTIF(Eventos!$B$5:$B$5000,DATE(Ano,Mês,DAY(Calendário!H11)))," lançamento para esta data"))</f>
        <v/>
      </c>
      <c r="H12" s="130"/>
      <c r="I12" s="133" t="str">
        <f>IF(COUNTIF(Eventos!$B$5:$B$5000,DATE(Ano,Mês,DAY(Calendário!J11)))&lt;1,"",CONCATENATE("Há ",COUNTIF(Eventos!$B$5:$B$5000,DATE(Ano,Mês,DAY(Calendário!J11)))," lançamento para esta data"))</f>
        <v/>
      </c>
      <c r="J12" s="130"/>
      <c r="K12" s="127" t="str">
        <f>IF(COUNTIF(Eventos!$B$5:$B$5000,DATE(Ano,Mês,DAY(Calendário!L11)))&lt;1,"",CONCATENATE("Há ",COUNTIF(Eventos!$B$5:$B$5000,DATE(Ano,Mês,DAY(Calendário!L11)))," lançamento para esta data"))</f>
        <v/>
      </c>
      <c r="L12" s="128"/>
      <c r="M12" s="127" t="str">
        <f>IF(COUNTIF(Eventos!$B$5:$B$5000,DATE(Ano,Mês,DAY(Calendário!B11)))&lt;1,"",CONCATENATE("Há ",COUNTIF(Eventos!$B$5:$B$5000,DATE(Ano,Mês,DAY(Calendário!N11)))," lançamento para esta data"))</f>
        <v/>
      </c>
      <c r="N12" s="128"/>
      <c r="O12" s="147"/>
      <c r="P12" s="147"/>
      <c r="Q12" s="147"/>
      <c r="R12" s="147"/>
    </row>
    <row r="13" spans="1:33" ht="22.5" x14ac:dyDescent="0.15">
      <c r="A13" s="115" t="str">
        <f>IF(FerNac, IF(ISNA(INDEX(Brz3A, MATCH(B13,_Brz3,0))), "", INDEX(Brz3A, MATCH(B13,_Brz3,0))), "" )</f>
        <v/>
      </c>
      <c r="B13" s="106">
        <f>N11+1</f>
        <v>43485</v>
      </c>
      <c r="C13" s="112" t="str">
        <f>IF(FerNac, IF(ISNA(INDEX(Brz3A, MATCH(D13,_Brz3,0))), "", INDEX(Brz3A, MATCH(D13,_Brz3,0))), "" )</f>
        <v/>
      </c>
      <c r="D13" s="108">
        <f>B13+1</f>
        <v>43486</v>
      </c>
      <c r="E13" s="113" t="str">
        <f>IF(FerNac, IF(ISNA(INDEX(Brz3A, MATCH(F13,_Brz3,0))), "", INDEX(Brz3A, MATCH(F13,_Brz3,0))), "" )</f>
        <v/>
      </c>
      <c r="F13" s="106">
        <f>D13+1</f>
        <v>43487</v>
      </c>
      <c r="G13" s="112" t="str">
        <f>IF(FerNac, IF(ISNA(INDEX(Brz3A, MATCH(H13,_Brz3,0))), "", INDEX(Brz3A, MATCH(H13,_Brz3,0))), "" )</f>
        <v/>
      </c>
      <c r="H13" s="108">
        <f>F13+1</f>
        <v>43488</v>
      </c>
      <c r="I13" s="113" t="str">
        <f>IF(FerNac, IF(ISNA(INDEX(Brz3A, MATCH(J13,_Brz3,0))), "", INDEX(Brz3A, MATCH(J13,_Brz3,0))), "" )</f>
        <v/>
      </c>
      <c r="J13" s="109">
        <f>H13+1</f>
        <v>43489</v>
      </c>
      <c r="K13" s="113" t="str">
        <f>IF(FerNac, IF(ISNA(INDEX(Brz3A, MATCH(L13,_Brz3,0))), "", INDEX(Brz3A, MATCH(L13,_Brz3,0))), "" )</f>
        <v/>
      </c>
      <c r="L13" s="108">
        <f>J13+1</f>
        <v>43490</v>
      </c>
      <c r="M13" s="113" t="str">
        <f>IF(FerNac, IF(ISNA(INDEX(Brz3A, MATCH(N13,_Brz3,0))), "", INDEX(Brz3A, MATCH(N13,_Brz3,0))), "" )</f>
        <v/>
      </c>
      <c r="N13" s="108">
        <f>L13+1</f>
        <v>43491</v>
      </c>
      <c r="O13" s="147"/>
      <c r="P13" s="147"/>
      <c r="Q13" s="147"/>
      <c r="R13" s="147"/>
    </row>
    <row r="14" spans="1:33" ht="72.95" customHeight="1" thickBot="1" x14ac:dyDescent="0.2">
      <c r="A14" s="132" t="str">
        <f>IF(COUNTIF(Eventos!$B$5:$B$5000,DATE(Ano,Mês,DAY(Calendário!B13)))&lt;1,"",CONCATENATE("Há ",COUNTIF(Eventos!$B$5:$B$5000,DATE(Ano,Mês,DAY(Calendário!B13)))," lançamento para esta data"))</f>
        <v/>
      </c>
      <c r="B14" s="131"/>
      <c r="C14" s="133" t="str">
        <f>IF(COUNTIF(Eventos!$B$5:$B$5000,DATE(Ano,Mês,DAY(Calendário!D13)))&lt;1,"",CONCATENATE("Há ",COUNTIF(Eventos!$B$5:$B$5000,DATE(Ano,Mês,DAY(Calendário!D13)))," lançamento para esta data"))</f>
        <v/>
      </c>
      <c r="D14" s="130"/>
      <c r="E14" s="127" t="str">
        <f>IF(COUNTIF(Eventos!$B$5:$B$5000,DATE(Ano,Mês,DAY(Calendário!F13)))&lt;1,"",CONCATENATE("Há ",COUNTIF(Eventos!$B$5:$B$5000,DATE(Ano,Mês,DAY(Calendário!F13)))," lançamento para esta data"))</f>
        <v/>
      </c>
      <c r="F14" s="131"/>
      <c r="G14" s="128" t="str">
        <f>IF(COUNTIF(Eventos!$B$5:$B$5000,DATE(Ano,Mês,DAY(Calendário!H13)))&lt;1,"",CONCATENATE("Há ",COUNTIF(Eventos!$B$5:$B$5000,DATE(Ano,Mês,DAY(Calendário!H13)))," lançamento para esta data"))</f>
        <v/>
      </c>
      <c r="H14" s="131"/>
      <c r="I14" s="133" t="str">
        <f>IF(COUNTIF(Eventos!$B$5:$B$5000,DATE(Ano,Mês,DAY(Calendário!J13)))&lt;1,"",CONCATENATE("Há ",COUNTIF(Eventos!$B$5:$B$5000,DATE(Ano,Mês,DAY(Calendário!J13)))," lançamento para esta data"))</f>
        <v/>
      </c>
      <c r="J14" s="130"/>
      <c r="K14" s="134" t="str">
        <f>IF(COUNTIF(Eventos!$B$5:$B$5000,DATE(Ano,Mês,DAY(Calendário!L13)))&lt;1,"",CONCATENATE("Há ",COUNTIF(Eventos!$B$5:$B$5000,DATE(Ano,Mês,DAY(Calendário!L13)))," lançamento para esta data"))</f>
        <v/>
      </c>
      <c r="L14" s="130"/>
      <c r="M14" s="127" t="str">
        <f>IF(COUNTIF(Eventos!$B$5:$B$5000,DATE(Ano,Mês,DAY(Calendário!N13)))&lt;1,"",CONCATENATE("Há ",COUNTIF(Eventos!$B$5:$B$5000,DATE(Ano,Mês,DAY(Calendário!N13)))," lançamento para esta data"))</f>
        <v/>
      </c>
      <c r="N14" s="131"/>
      <c r="O14" s="147"/>
      <c r="P14" s="147"/>
      <c r="Q14" s="147"/>
      <c r="R14" s="147"/>
    </row>
    <row r="15" spans="1:33" ht="22.5" x14ac:dyDescent="0.15">
      <c r="A15" s="111" t="str">
        <f>IF(FerNac, IF(ISNA(INDEX(Brz3A, MATCH(B15,_Brz3,0))), "", INDEX(Brz3A, MATCH(B15,_Brz3,0))), "" )</f>
        <v/>
      </c>
      <c r="B15" s="106">
        <f>IF(MONTH(N13+1)=MONTH(_Dia1),N13+1,0)</f>
        <v>43492</v>
      </c>
      <c r="C15" s="114" t="str">
        <f>IF(FerNac, IF(ISNA(INDEX(Brz3A, MATCH(D15,_Brz3,0))), "", INDEX(Brz3A, MATCH(D15,_Brz3,0))), "" )</f>
        <v/>
      </c>
      <c r="D15" s="109">
        <f>IF(B15=0, 0, IF( MONTH(B15+1) = MONTH(_Dia1), B15+1, 0 ))</f>
        <v>43493</v>
      </c>
      <c r="E15" s="112" t="str">
        <f>IF(FerNac, IF(ISNA(INDEX(Brz3A, MATCH(F15,_Brz3,0))), "", INDEX(Brz3A, MATCH(F15,_Brz3,0))), "" )</f>
        <v/>
      </c>
      <c r="F15" s="106">
        <f>IF(D15=0, 0, IF( MONTH(D15+1) = MONTH(_Dia1), D15+1, 0 ))</f>
        <v>43494</v>
      </c>
      <c r="G15" s="112" t="str">
        <f>IF(FerNac, IF(ISNA(INDEX(Brz3A, MATCH(H15,_Brz3,0))), "", INDEX(Brz3A, MATCH(H15,_Brz3,0))), "" )</f>
        <v/>
      </c>
      <c r="H15" s="106">
        <f>IF(F15=0, 0, IF( MONTH(F15+1) = MONTH(_Dia1), F15+1, 0 ))</f>
        <v>43495</v>
      </c>
      <c r="I15" s="114" t="str">
        <f>IF(FerNac, IF(ISNA(INDEX(Brz3A, MATCH(J15,_Brz3,0))), "", INDEX(Brz3A, MATCH(J15,_Brz3,0))), "" )</f>
        <v/>
      </c>
      <c r="J15" s="107">
        <f>IF(H15=0, 0, IF( MONTH(H15+1) = MONTH(_Dia1), H15+1, 0 ))</f>
        <v>43496</v>
      </c>
      <c r="K15" s="113" t="str">
        <f>IF(FerNac, IF(ISNA(INDEX(Brz3A, MATCH(L15,_Brz3,0))), "", INDEX(Brz3A, MATCH(L15,_Brz3,0))), "" )</f>
        <v/>
      </c>
      <c r="L15" s="109">
        <f>IF(J15=0, 0, IF( MONTH(J15+1) = MONTH(_Dia1), J15+1, 0 ))</f>
        <v>0</v>
      </c>
      <c r="M15" s="113"/>
      <c r="N15" s="106">
        <f>IF(L15=0, 0, IF( MONTH(L15+1) = MONTH(_Dia1), L15+1, 0 ))</f>
        <v>0</v>
      </c>
      <c r="O15" s="147"/>
      <c r="P15" s="147"/>
      <c r="Q15" s="147"/>
      <c r="R15" s="147"/>
    </row>
    <row r="16" spans="1:33" ht="72.95" customHeight="1" thickBot="1" x14ac:dyDescent="0.2">
      <c r="A16" s="132" t="str">
        <f>IF(COUNTIF(Eventos!$B$5:$B$5000,DATE(Ano,Mês,DAY(Calendário!B15)))&lt;1,"",CONCATENATE("Há ",COUNTIF(Eventos!$B$5:$B$5000,DATE(Ano,Mês,DAY(Calendário!B15)))," lançamento para esta data"))</f>
        <v/>
      </c>
      <c r="B16" s="128"/>
      <c r="C16" s="127" t="str">
        <f>IF(COUNTIF(Eventos!$B$5:$B$5000,DATE(Ano,Mês,DAY(Calendário!D15)))&lt;1,"",CONCATENATE("Há ",COUNTIF(Eventos!$B$5:$B$5000,DATE(Ano,Mês,DAY(Calendário!D15)))," lançamento para esta data"))</f>
        <v/>
      </c>
      <c r="D16" s="131"/>
      <c r="E16" s="133" t="str">
        <f>IF(COUNTIF(Eventos!$B$5:$B$5000,DATE(Ano,Mês,DAY(Calendário!F15)))&lt;1,"",CONCATENATE("Há ",COUNTIF(Eventos!$B$5:$B$5000,DATE(Ano,Mês,DAY(Calendário!F15)))," lançamento para esta data"))</f>
        <v/>
      </c>
      <c r="F16" s="130"/>
      <c r="G16" s="128" t="str">
        <f>IF(COUNTIF(Eventos!$B$5:$B$5000,DATE(Ano,Mês,DAY(Calendário!H15)))&lt;1,"",CONCATENATE("Há ",COUNTIF(Eventos!$B$5:$B$5000,DATE(Ano,Mês,DAY(Calendário!H15)))," lançamento para esta data"))</f>
        <v/>
      </c>
      <c r="H16" s="131"/>
      <c r="I16" s="128" t="str">
        <f>IF(COUNTIF(Eventos!$B$5:$B$5000,DATE(Ano,Mês,DAY(Calendário!J15)))&lt;1,"",CONCATENATE("Há ",COUNTIF(Eventos!$B$5:$B$5000,DATE(Ano,Mês,DAY(Calendário!J15)))," lançamento para esta data"))</f>
        <v/>
      </c>
      <c r="J16" s="131"/>
      <c r="K16" s="128" t="str">
        <f>IF(COUNTIF(Eventos!$B$5:$B$5000,DATE(Ano,Mês,DAY(Calendário!L15)))&lt;1,"",CONCATENATE("Há ",COUNTIF(Eventos!$B$5:$B$5000,DATE(Ano,Mês,DAY(Calendário!L15)))," lançamento para esta data"))</f>
        <v/>
      </c>
      <c r="L16" s="131"/>
      <c r="M16" s="128" t="str">
        <f>IF(COUNTIF(Eventos!$B$5:$B$5000,DATE(Ano,Mês,DAY(Calendário!N15)))&lt;1,"",CONCATENATE("Há ",COUNTIF(Eventos!$B$5:$B$5000,DATE(Ano,Mês,DAY(Calendário!N15)))," lançamento para esta data"))</f>
        <v/>
      </c>
      <c r="N16" s="128"/>
      <c r="O16" s="147"/>
      <c r="P16" s="147"/>
      <c r="Q16" s="147"/>
      <c r="R16" s="147"/>
    </row>
    <row r="17" spans="1:18" ht="22.5" x14ac:dyDescent="0.15">
      <c r="A17" s="115" t="str">
        <f>IF(FerNac, IF(ISNA(INDEX(Brz3A, MATCH(B17,_Brz3,0))), "", INDEX(Brz3A, MATCH(B17,_Brz3,0))), "" )</f>
        <v/>
      </c>
      <c r="B17" s="106">
        <f>IF(N15=0, 0, IF( MONTH(N15+1) = MONTH(_Dia1), N15+1, 0 ))</f>
        <v>0</v>
      </c>
      <c r="C17" s="112" t="str">
        <f>IF(FerNac, IF(ISNA(INDEX(Brz3A, MATCH(D17,_Brz3,0))), "", INDEX(Brz3A, MATCH(D17,_Brz3,0))), "" )</f>
        <v/>
      </c>
      <c r="D17" s="106">
        <f>IF(B17=0, 0, IF( MONTH(B17+1) = MONTH(_Dia1), B17+1, 0 ))</f>
        <v>0</v>
      </c>
      <c r="E17" s="114" t="str">
        <f>IF(FerNac, IF(ISNA(INDEX(Brz3A, MATCH(F17,_Brz3,0))), "", INDEX(Brz3A, MATCH(F17,_Brz3,0))), "" )</f>
        <v/>
      </c>
      <c r="F17" s="107">
        <f>IF(D17=0, 0, IF( MONTH(D17+1) = MONTH(_Dia1), D17+1, 0 ))</f>
        <v>0</v>
      </c>
      <c r="G17" s="113" t="str">
        <f>IF(FerNac, IF(ISNA(INDEX(Brz3A, MATCH(H17,_Brz3,0))), "", INDEX(Brz3A, MATCH(H17,_Brz3,0))), "" )</f>
        <v/>
      </c>
      <c r="H17" s="106">
        <f>IF(F17=0, 0, IF( MONTH(F17+1) = MONTH(_Dia1), F17+1, 0 ))</f>
        <v>0</v>
      </c>
      <c r="I17" s="112" t="str">
        <f>IF(FerNac, IF(ISNA(INDEX(Brz3A, MATCH(J17,_Brz3,0))), "", INDEX(Brz3A, MATCH(J17,_Brz3,0))), "" )</f>
        <v/>
      </c>
      <c r="J17" s="106">
        <f>IF(H17=0, 0, IF( MONTH(H17+1) = MONTH(_Dia1), H17+1, 0 ))</f>
        <v>0</v>
      </c>
      <c r="K17" s="113" t="str">
        <f>IF(FerNac, IF(ISNA(INDEX(Brz3A, MATCH(L17,_Brz3,0))), "", INDEX(Brz3A, MATCH(L17,_Brz3,0))), "" )</f>
        <v/>
      </c>
      <c r="L17" s="108">
        <f>IF(J17=0, 0, IF( MONTH(J17+1) = MONTH(_Dia1), J17+1, 0 ))</f>
        <v>0</v>
      </c>
      <c r="M17" s="113" t="str">
        <f>IF(FerNac, IF(ISNA(INDEX(Brz3A, MATCH(N17,_Brz3,0))), "", INDEX(Brz3A, MATCH(N17,_Brz3,0))), "" )</f>
        <v/>
      </c>
      <c r="N17" s="108">
        <f>IF(L17=0, 0, IF( MONTH(L17+1) = MONTH(_Dia1), L17+1, 0 ))</f>
        <v>0</v>
      </c>
      <c r="O17" s="147"/>
      <c r="P17" s="147"/>
      <c r="Q17" s="147"/>
      <c r="R17" s="147"/>
    </row>
    <row r="18" spans="1:18" ht="72.95" customHeight="1" thickBot="1" x14ac:dyDescent="0.2">
      <c r="A18" s="129" t="str">
        <f>IF(COUNTIF(Eventos!$B$5:$B$5000,DATE(Ano,Mês,DAY(Calendário!B17)))&lt;1,"",CONCATENATE("Há ",COUNTIF(Eventos!$B$5:$B$5000,DATE(Ano,Mês,DAY(Calendário!B17)))," lançamento para esta data"))</f>
        <v/>
      </c>
      <c r="B18" s="130"/>
      <c r="C18" s="127" t="str">
        <f>IF(COUNTIF(Eventos!$B$5:$B$5000,DATE(Ano,Mês,DAY(Calendário!D17)))&lt;1,"",CONCATENATE("Há ",COUNTIF(Eventos!$B$5:$B$5000,DATE(Ano,Mês,DAY(Calendário!D17)))," lançamento para esta data"))</f>
        <v/>
      </c>
      <c r="D18" s="131"/>
      <c r="E18" s="128" t="str">
        <f>IF(COUNTIF(Eventos!$B$5:$B$5000,DATE(Ano,Mês,DAY(Calendário!F17)))&lt;1,"",CONCATENATE("Há ",COUNTIF(Eventos!$B$5:$B$5000,DATE(Ano,Mês,DAY(Calendário!F17)))," lançamento para esta data"))</f>
        <v/>
      </c>
      <c r="F18" s="128"/>
      <c r="G18" s="127" t="str">
        <f>IF(COUNTIF(Eventos!$B$5:$B$5000,DATE(Ano,Mês,DAY(Calendário!H17)))&lt;1,"",CONCATENATE("Há ",COUNTIF(Eventos!$B$5:$B$5000,DATE(Ano,Mês,DAY(Calendário!H17)))," lançamento para esta data"))</f>
        <v/>
      </c>
      <c r="H18" s="131"/>
      <c r="I18" s="127" t="str">
        <f>IF(COUNTIF(Eventos!$B$5:$B$5000,DATE(Ano,Mês,DAY(Calendário!J17)))&lt;1,"",CONCATENATE("Há ",COUNTIF(Eventos!$B$5:$B$5000,DATE(Ano,Mês,DAY(Calendário!J17)))," lançamento para esta data"))</f>
        <v/>
      </c>
      <c r="J18" s="131"/>
      <c r="K18" s="134" t="str">
        <f>IF(COUNTIF(Eventos!$B$5:$B$5000,DATE(Ano,Mês,DAY(Calendário!L17)))&lt;1,"",CONCATENATE("Há ",COUNTIF(Eventos!$B$5:$B$5000,DATE(Ano,Mês,DAY(Calendário!L17)))," lançamento para esta data"))</f>
        <v/>
      </c>
      <c r="L18" s="130"/>
      <c r="M18" s="127" t="str">
        <f>IF(COUNTIF(Eventos!$B$5:$B$5000,DATE(Ano,Mês,DAY(Calendário!N17)))&lt;1,"",CONCATENATE("Há ",COUNTIF(Eventos!$B$5:$B$5000,DATE(Ano,Mês,DAY(Calendário!N17)))," lançamento para esta data"))</f>
        <v/>
      </c>
      <c r="N18" s="131"/>
      <c r="O18" s="147"/>
      <c r="P18" s="147"/>
      <c r="Q18" s="147"/>
      <c r="R18" s="147"/>
    </row>
    <row r="19" spans="1:18" x14ac:dyDescent="0.15">
      <c r="A19" s="82"/>
      <c r="B19" s="83"/>
      <c r="C19" s="82"/>
      <c r="D19" s="82"/>
      <c r="E19" s="82"/>
      <c r="F19" s="82"/>
      <c r="G19" s="82"/>
      <c r="H19" s="82"/>
      <c r="I19" s="82"/>
      <c r="J19" s="82"/>
      <c r="K19" s="84"/>
      <c r="L19" s="85"/>
      <c r="M19" s="86"/>
      <c r="N19" s="82"/>
    </row>
  </sheetData>
  <mergeCells count="51">
    <mergeCell ref="O4:R18"/>
    <mergeCell ref="I6:J6"/>
    <mergeCell ref="K6:L6"/>
    <mergeCell ref="M6:N6"/>
    <mergeCell ref="A6:B6"/>
    <mergeCell ref="C6:D6"/>
    <mergeCell ref="E6:F6"/>
    <mergeCell ref="G6:H6"/>
    <mergeCell ref="A14:B14"/>
    <mergeCell ref="M10:N10"/>
    <mergeCell ref="A8:B8"/>
    <mergeCell ref="C8:D8"/>
    <mergeCell ref="E8:F8"/>
    <mergeCell ref="G8:H8"/>
    <mergeCell ref="I8:J8"/>
    <mergeCell ref="K8:L8"/>
    <mergeCell ref="M8:N8"/>
    <mergeCell ref="A10:B10"/>
    <mergeCell ref="C10:D10"/>
    <mergeCell ref="E10:F10"/>
    <mergeCell ref="G10:H10"/>
    <mergeCell ref="I10:J10"/>
    <mergeCell ref="K10:L10"/>
    <mergeCell ref="A12:B12"/>
    <mergeCell ref="C12:D12"/>
    <mergeCell ref="E12:F12"/>
    <mergeCell ref="G12:H12"/>
    <mergeCell ref="I12:J12"/>
    <mergeCell ref="K12:L12"/>
    <mergeCell ref="C14:D14"/>
    <mergeCell ref="E14:F14"/>
    <mergeCell ref="G14:H14"/>
    <mergeCell ref="M14:N14"/>
    <mergeCell ref="I14:J14"/>
    <mergeCell ref="K14:L14"/>
    <mergeCell ref="C4:K5"/>
    <mergeCell ref="M12:N12"/>
    <mergeCell ref="A18:B18"/>
    <mergeCell ref="C18:D18"/>
    <mergeCell ref="M16:N16"/>
    <mergeCell ref="A16:B16"/>
    <mergeCell ref="C16:D16"/>
    <mergeCell ref="E16:F16"/>
    <mergeCell ref="G16:H16"/>
    <mergeCell ref="I16:J16"/>
    <mergeCell ref="I18:J18"/>
    <mergeCell ref="K18:L18"/>
    <mergeCell ref="E18:F18"/>
    <mergeCell ref="G18:H18"/>
    <mergeCell ref="M18:N18"/>
    <mergeCell ref="K16:L16"/>
  </mergeCells>
  <phoneticPr fontId="0" type="noConversion"/>
  <conditionalFormatting sqref="A7 C7 E7 G7 I7 K7 M7 M9 K9 I9 G9 E9 C9 A9 A11 C11 E11 G11 I11 K11 M11 M13 K13 I13 G13 E13 C13 A13 A15 C15 E15 G15 I15 K15 M15 M17 K17 I17 G17 E17 C17 A17">
    <cfRule type="expression" dxfId="74" priority="3" stopIfTrue="1">
      <formula>NOT(B7&gt;0)</formula>
    </cfRule>
  </conditionalFormatting>
  <conditionalFormatting sqref="A8:N8 A10:N10 A12:N12 A14:N14 A16:N16 A18:N18">
    <cfRule type="expression" dxfId="73" priority="4" stopIfTrue="1">
      <formula>NOT(B7&gt;0)</formula>
    </cfRule>
  </conditionalFormatting>
  <conditionalFormatting sqref="B7 D7 F7 H7 J7 L7 N7 B9 D9 F9 H9 J9 L9 N9 B11 D11 F11 H11 J11 L11 N11 B13 D13 F13 H13 J13 L13 N13 B15 D15 F15 H15 J15 L15 N15 B17 D17 F17 H17 J17 L17 N17">
    <cfRule type="expression" dxfId="72" priority="5" stopIfTrue="1">
      <formula>NOT(B7&gt;0)</formula>
    </cfRule>
  </conditionalFormatting>
  <conditionalFormatting sqref="A14:N14 A12:N12 A10:N10 A8:N8 A16:N16 A18:N18">
    <cfRule type="containsText" dxfId="71" priority="2" operator="containsText" text=" lançamento para esta data">
      <formula>NOT(ISERROR(SEARCH(" lançamento para esta data",A8)))</formula>
    </cfRule>
  </conditionalFormatting>
  <conditionalFormatting sqref="A18:N18 A16:N16 A14:N14 A12:N12 A10:N10 A8:N8">
    <cfRule type="containsText" dxfId="70" priority="1" operator="containsText" text="lançamento para esta data">
      <formula>NOT(ISERROR(SEARCH("lançamento para esta data",A8)))</formula>
    </cfRule>
  </conditionalFormatting>
  <printOptions horizontalCentered="1" verticalCentered="1"/>
  <pageMargins left="0.59055118110236227" right="0.59055118110236227" top="0.39370078740157483" bottom="0.39370078740157483" header="0.51181102362204722" footer="0.51181102362204722"/>
  <pageSetup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Botão9_Clique">
                <anchor moveWithCells="1">
                  <from>
                    <xdr:col>12</xdr:col>
                    <xdr:colOff>762000</xdr:colOff>
                    <xdr:row>7</xdr:row>
                    <xdr:rowOff>638175</xdr:rowOff>
                  </from>
                  <to>
                    <xdr:col>12</xdr:col>
                    <xdr:colOff>2085975</xdr:colOff>
                    <xdr:row>7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Botão12_Clique">
                <anchor moveWithCells="1">
                  <from>
                    <xdr:col>0</xdr:col>
                    <xdr:colOff>685800</xdr:colOff>
                    <xdr:row>9</xdr:row>
                    <xdr:rowOff>590550</xdr:rowOff>
                  </from>
                  <to>
                    <xdr:col>0</xdr:col>
                    <xdr:colOff>2009775</xdr:colOff>
                    <xdr:row>9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Button 13">
              <controlPr defaultSize="0" print="0" autoFill="0" autoPict="0" macro="[0]!Botão13_Clique">
                <anchor moveWithCells="1">
                  <from>
                    <xdr:col>2</xdr:col>
                    <xdr:colOff>781050</xdr:colOff>
                    <xdr:row>7</xdr:row>
                    <xdr:rowOff>590550</xdr:rowOff>
                  </from>
                  <to>
                    <xdr:col>2</xdr:col>
                    <xdr:colOff>2105025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Button 14">
              <controlPr defaultSize="0" print="0" autoFill="0" autoPict="0" macro="[0]!Botão4_Clique">
                <anchor moveWithCells="1">
                  <from>
                    <xdr:col>0</xdr:col>
                    <xdr:colOff>695325</xdr:colOff>
                    <xdr:row>7</xdr:row>
                    <xdr:rowOff>619125</xdr:rowOff>
                  </from>
                  <to>
                    <xdr:col>0</xdr:col>
                    <xdr:colOff>2028825</xdr:colOff>
                    <xdr:row>7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Button 15">
              <controlPr defaultSize="0" print="0" autoFill="0" autoPict="0" macro="[0]!Botão15_Clique">
                <anchor moveWithCells="1">
                  <from>
                    <xdr:col>8</xdr:col>
                    <xdr:colOff>714375</xdr:colOff>
                    <xdr:row>7</xdr:row>
                    <xdr:rowOff>619125</xdr:rowOff>
                  </from>
                  <to>
                    <xdr:col>8</xdr:col>
                    <xdr:colOff>2038350</xdr:colOff>
                    <xdr:row>7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9" name="Button 16">
              <controlPr defaultSize="0" print="0" autoFill="0" autoPict="0" macro="[0]!Botão16_Clique">
                <anchor moveWithCells="1">
                  <from>
                    <xdr:col>6</xdr:col>
                    <xdr:colOff>752475</xdr:colOff>
                    <xdr:row>7</xdr:row>
                    <xdr:rowOff>590550</xdr:rowOff>
                  </from>
                  <to>
                    <xdr:col>6</xdr:col>
                    <xdr:colOff>2085975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0" name="Button 17">
              <controlPr defaultSize="0" print="0" autoFill="0" autoPict="0" macro="[0]!Botão17_Clique">
                <anchor moveWithCells="1">
                  <from>
                    <xdr:col>10</xdr:col>
                    <xdr:colOff>762000</xdr:colOff>
                    <xdr:row>7</xdr:row>
                    <xdr:rowOff>619125</xdr:rowOff>
                  </from>
                  <to>
                    <xdr:col>10</xdr:col>
                    <xdr:colOff>2085975</xdr:colOff>
                    <xdr:row>7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1" name="Button 18">
              <controlPr defaultSize="0" print="0" autoFill="0" autoPict="0" macro="[0]!Botão18_Clique">
                <anchor moveWithCells="1">
                  <from>
                    <xdr:col>4</xdr:col>
                    <xdr:colOff>752475</xdr:colOff>
                    <xdr:row>7</xdr:row>
                    <xdr:rowOff>590550</xdr:rowOff>
                  </from>
                  <to>
                    <xdr:col>4</xdr:col>
                    <xdr:colOff>2085975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2" name="Button 19">
              <controlPr defaultSize="0" print="0" autoFill="0" autoPict="0" macro="[0]!Botão19_Clique">
                <anchor moveWithCells="1">
                  <from>
                    <xdr:col>12</xdr:col>
                    <xdr:colOff>771525</xdr:colOff>
                    <xdr:row>9</xdr:row>
                    <xdr:rowOff>609600</xdr:rowOff>
                  </from>
                  <to>
                    <xdr:col>12</xdr:col>
                    <xdr:colOff>2095500</xdr:colOff>
                    <xdr:row>9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3" name="Button 20">
              <controlPr defaultSize="0" print="0" autoFill="0" autoPict="0" macro="[0]!Botão20_Clique">
                <anchor moveWithCells="1">
                  <from>
                    <xdr:col>10</xdr:col>
                    <xdr:colOff>800100</xdr:colOff>
                    <xdr:row>9</xdr:row>
                    <xdr:rowOff>590550</xdr:rowOff>
                  </from>
                  <to>
                    <xdr:col>10</xdr:col>
                    <xdr:colOff>2124075</xdr:colOff>
                    <xdr:row>9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4" name="Button 21">
              <controlPr defaultSize="0" print="0" autoFill="0" autoPict="0" macro="[0]!Botão21_Clique">
                <anchor moveWithCells="1">
                  <from>
                    <xdr:col>8</xdr:col>
                    <xdr:colOff>704850</xdr:colOff>
                    <xdr:row>9</xdr:row>
                    <xdr:rowOff>590550</xdr:rowOff>
                  </from>
                  <to>
                    <xdr:col>8</xdr:col>
                    <xdr:colOff>2038350</xdr:colOff>
                    <xdr:row>9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5" name="Button 22">
              <controlPr defaultSize="0" print="0" autoFill="0" autoPict="0" macro="[0]!Botão22_Clique">
                <anchor moveWithCells="1">
                  <from>
                    <xdr:col>6</xdr:col>
                    <xdr:colOff>762000</xdr:colOff>
                    <xdr:row>9</xdr:row>
                    <xdr:rowOff>561975</xdr:rowOff>
                  </from>
                  <to>
                    <xdr:col>6</xdr:col>
                    <xdr:colOff>2085975</xdr:colOff>
                    <xdr:row>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6" name="Button 23">
              <controlPr defaultSize="0" print="0" autoFill="0" autoPict="0" macro="[0]!Botão23_Clique">
                <anchor moveWithCells="1">
                  <from>
                    <xdr:col>2</xdr:col>
                    <xdr:colOff>790575</xdr:colOff>
                    <xdr:row>13</xdr:row>
                    <xdr:rowOff>561975</xdr:rowOff>
                  </from>
                  <to>
                    <xdr:col>2</xdr:col>
                    <xdr:colOff>2114550</xdr:colOff>
                    <xdr:row>13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7" name="Button 24">
              <controlPr defaultSize="0" print="0" autoFill="0" autoPict="0" macro="[0]!Botão24_Clique">
                <anchor moveWithCells="1">
                  <from>
                    <xdr:col>4</xdr:col>
                    <xdr:colOff>733425</xdr:colOff>
                    <xdr:row>9</xdr:row>
                    <xdr:rowOff>561975</xdr:rowOff>
                  </from>
                  <to>
                    <xdr:col>4</xdr:col>
                    <xdr:colOff>2057400</xdr:colOff>
                    <xdr:row>9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8" name="Button 25">
              <controlPr defaultSize="0" print="0" autoFill="0" autoPict="0" macro="[0]!Botão25_Clique">
                <anchor moveWithCells="1">
                  <from>
                    <xdr:col>2</xdr:col>
                    <xdr:colOff>876300</xdr:colOff>
                    <xdr:row>9</xdr:row>
                    <xdr:rowOff>561975</xdr:rowOff>
                  </from>
                  <to>
                    <xdr:col>2</xdr:col>
                    <xdr:colOff>2209800</xdr:colOff>
                    <xdr:row>9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9" name="Button 26">
              <controlPr defaultSize="0" print="0" autoFill="0" autoPict="0" macro="[0]!Botão26_Clique">
                <anchor moveWithCells="1">
                  <from>
                    <xdr:col>12</xdr:col>
                    <xdr:colOff>781050</xdr:colOff>
                    <xdr:row>11</xdr:row>
                    <xdr:rowOff>609600</xdr:rowOff>
                  </from>
                  <to>
                    <xdr:col>12</xdr:col>
                    <xdr:colOff>2105025</xdr:colOff>
                    <xdr:row>11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0" name="Button 27">
              <controlPr defaultSize="0" print="0" autoFill="0" autoPict="0" macro="[0]!Botão27_Clique">
                <anchor moveWithCells="1">
                  <from>
                    <xdr:col>10</xdr:col>
                    <xdr:colOff>762000</xdr:colOff>
                    <xdr:row>11</xdr:row>
                    <xdr:rowOff>590550</xdr:rowOff>
                  </from>
                  <to>
                    <xdr:col>10</xdr:col>
                    <xdr:colOff>2095500</xdr:colOff>
                    <xdr:row>11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1" name="Button 28">
              <controlPr defaultSize="0" print="0" autoFill="0" autoPict="0" macro="[0]!Botão28_Clique">
                <anchor moveWithCells="1">
                  <from>
                    <xdr:col>8</xdr:col>
                    <xdr:colOff>704850</xdr:colOff>
                    <xdr:row>11</xdr:row>
                    <xdr:rowOff>590550</xdr:rowOff>
                  </from>
                  <to>
                    <xdr:col>8</xdr:col>
                    <xdr:colOff>2028825</xdr:colOff>
                    <xdr:row>11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" name="Button 29">
              <controlPr defaultSize="0" print="0" autoFill="0" autoPict="0" macro="[0]!Botão29_Clique">
                <anchor moveWithCells="1">
                  <from>
                    <xdr:col>4</xdr:col>
                    <xdr:colOff>781050</xdr:colOff>
                    <xdr:row>11</xdr:row>
                    <xdr:rowOff>561975</xdr:rowOff>
                  </from>
                  <to>
                    <xdr:col>4</xdr:col>
                    <xdr:colOff>2105025</xdr:colOff>
                    <xdr:row>11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" name="Button 30">
              <controlPr defaultSize="0" print="0" autoFill="0" autoPict="0" macro="[0]!Botão30_Clique">
                <anchor moveWithCells="1">
                  <from>
                    <xdr:col>6</xdr:col>
                    <xdr:colOff>742950</xdr:colOff>
                    <xdr:row>11</xdr:row>
                    <xdr:rowOff>561975</xdr:rowOff>
                  </from>
                  <to>
                    <xdr:col>6</xdr:col>
                    <xdr:colOff>2066925</xdr:colOff>
                    <xdr:row>11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" name="Button 31">
              <controlPr defaultSize="0" print="0" autoFill="0" autoPict="0" macro="[0]!Botão31_Clique">
                <anchor moveWithCells="1">
                  <from>
                    <xdr:col>2</xdr:col>
                    <xdr:colOff>819150</xdr:colOff>
                    <xdr:row>11</xdr:row>
                    <xdr:rowOff>561975</xdr:rowOff>
                  </from>
                  <to>
                    <xdr:col>2</xdr:col>
                    <xdr:colOff>2152650</xdr:colOff>
                    <xdr:row>11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5" name="Button 32">
              <controlPr defaultSize="0" print="0" autoFill="0" autoPict="0" macro="[0]!Botão32_Clique">
                <anchor moveWithCells="1">
                  <from>
                    <xdr:col>0</xdr:col>
                    <xdr:colOff>628650</xdr:colOff>
                    <xdr:row>11</xdr:row>
                    <xdr:rowOff>590550</xdr:rowOff>
                  </from>
                  <to>
                    <xdr:col>0</xdr:col>
                    <xdr:colOff>1952625</xdr:colOff>
                    <xdr:row>11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6" name="Button 33">
              <controlPr defaultSize="0" print="0" autoFill="0" autoPict="0" macro="[0]!Botão33_Clique">
                <anchor moveWithCells="1">
                  <from>
                    <xdr:col>0</xdr:col>
                    <xdr:colOff>657225</xdr:colOff>
                    <xdr:row>13</xdr:row>
                    <xdr:rowOff>590550</xdr:rowOff>
                  </from>
                  <to>
                    <xdr:col>0</xdr:col>
                    <xdr:colOff>1981200</xdr:colOff>
                    <xdr:row>13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7" name="Button 34">
              <controlPr defaultSize="0" print="0" autoFill="0" autoPict="0" macro="[0]!Botão34_Clique">
                <anchor moveWithCells="1">
                  <from>
                    <xdr:col>4</xdr:col>
                    <xdr:colOff>762000</xdr:colOff>
                    <xdr:row>13</xdr:row>
                    <xdr:rowOff>561975</xdr:rowOff>
                  </from>
                  <to>
                    <xdr:col>4</xdr:col>
                    <xdr:colOff>2085975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8" name="Button 35">
              <controlPr defaultSize="0" print="0" autoFill="0" autoPict="0" macro="[0]!Botão35_Clique">
                <anchor moveWithCells="1">
                  <from>
                    <xdr:col>8</xdr:col>
                    <xdr:colOff>704850</xdr:colOff>
                    <xdr:row>13</xdr:row>
                    <xdr:rowOff>590550</xdr:rowOff>
                  </from>
                  <to>
                    <xdr:col>8</xdr:col>
                    <xdr:colOff>2028825</xdr:colOff>
                    <xdr:row>13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9" name="Button 36">
              <controlPr defaultSize="0" print="0" autoFill="0" autoPict="0" macro="[0]!Botão36_Clique">
                <anchor moveWithCells="1">
                  <from>
                    <xdr:col>6</xdr:col>
                    <xdr:colOff>742950</xdr:colOff>
                    <xdr:row>13</xdr:row>
                    <xdr:rowOff>561975</xdr:rowOff>
                  </from>
                  <to>
                    <xdr:col>6</xdr:col>
                    <xdr:colOff>2066925</xdr:colOff>
                    <xdr:row>13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0" name="Button 37">
              <controlPr defaultSize="0" print="0" autoFill="0" autoPict="0" macro="[0]!Botão37_Clique">
                <anchor moveWithCells="1">
                  <from>
                    <xdr:col>10</xdr:col>
                    <xdr:colOff>790575</xdr:colOff>
                    <xdr:row>13</xdr:row>
                    <xdr:rowOff>590550</xdr:rowOff>
                  </from>
                  <to>
                    <xdr:col>10</xdr:col>
                    <xdr:colOff>2114550</xdr:colOff>
                    <xdr:row>13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31" name="Button 38">
              <controlPr defaultSize="0" print="0" autoFill="0" autoPict="0" macro="[0]!Botão38_Clique">
                <anchor moveWithCells="1">
                  <from>
                    <xdr:col>12</xdr:col>
                    <xdr:colOff>790575</xdr:colOff>
                    <xdr:row>13</xdr:row>
                    <xdr:rowOff>609600</xdr:rowOff>
                  </from>
                  <to>
                    <xdr:col>12</xdr:col>
                    <xdr:colOff>2114550</xdr:colOff>
                    <xdr:row>13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32" name="Button 39">
              <controlPr defaultSize="0" print="0" autoFill="0" autoPict="0" macro="[0]!Botão39_Clique">
                <anchor moveWithCells="1">
                  <from>
                    <xdr:col>8</xdr:col>
                    <xdr:colOff>742950</xdr:colOff>
                    <xdr:row>15</xdr:row>
                    <xdr:rowOff>590550</xdr:rowOff>
                  </from>
                  <to>
                    <xdr:col>8</xdr:col>
                    <xdr:colOff>2066925</xdr:colOff>
                    <xdr:row>15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3" name="Button 40">
              <controlPr defaultSize="0" print="0" autoFill="0" autoPict="0" macro="[0]!Botão40_Clique">
                <anchor moveWithCells="1">
                  <from>
                    <xdr:col>0</xdr:col>
                    <xdr:colOff>657225</xdr:colOff>
                    <xdr:row>15</xdr:row>
                    <xdr:rowOff>590550</xdr:rowOff>
                  </from>
                  <to>
                    <xdr:col>0</xdr:col>
                    <xdr:colOff>1981200</xdr:colOff>
                    <xdr:row>15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4" name="Button 41">
              <controlPr defaultSize="0" print="0" autoFill="0" autoPict="0" macro="[0]!Botão41_Clique">
                <anchor moveWithCells="1">
                  <from>
                    <xdr:col>2</xdr:col>
                    <xdr:colOff>800100</xdr:colOff>
                    <xdr:row>15</xdr:row>
                    <xdr:rowOff>561975</xdr:rowOff>
                  </from>
                  <to>
                    <xdr:col>2</xdr:col>
                    <xdr:colOff>2124075</xdr:colOff>
                    <xdr:row>15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5" name="Button 42">
              <controlPr defaultSize="0" print="0" autoFill="0" autoPict="0" macro="[0]!Botão4_Clique">
                <anchor moveWithCells="1">
                  <from>
                    <xdr:col>12</xdr:col>
                    <xdr:colOff>828675</xdr:colOff>
                    <xdr:row>17</xdr:row>
                    <xdr:rowOff>619125</xdr:rowOff>
                  </from>
                  <to>
                    <xdr:col>12</xdr:col>
                    <xdr:colOff>2143125</xdr:colOff>
                    <xdr:row>17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6" name="Button 43">
              <controlPr defaultSize="0" print="0" autoFill="0" autoPict="0" macro="[0]!Botão43_Clique">
                <anchor moveWithCells="1">
                  <from>
                    <xdr:col>4</xdr:col>
                    <xdr:colOff>762000</xdr:colOff>
                    <xdr:row>15</xdr:row>
                    <xdr:rowOff>561975</xdr:rowOff>
                  </from>
                  <to>
                    <xdr:col>4</xdr:col>
                    <xdr:colOff>2085975</xdr:colOff>
                    <xdr:row>15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7" name="Button 44">
              <controlPr defaultSize="0" print="0" autoFill="0" autoPict="0" macro="[0]!Botão44_Clique">
                <anchor moveWithCells="1">
                  <from>
                    <xdr:col>6</xdr:col>
                    <xdr:colOff>762000</xdr:colOff>
                    <xdr:row>15</xdr:row>
                    <xdr:rowOff>561975</xdr:rowOff>
                  </from>
                  <to>
                    <xdr:col>6</xdr:col>
                    <xdr:colOff>2085975</xdr:colOff>
                    <xdr:row>15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8" name="Button 45">
              <controlPr defaultSize="0" print="0" autoFill="0" autoPict="0" macro="[0]!Botão45_Clique">
                <anchor moveWithCells="1">
                  <from>
                    <xdr:col>12</xdr:col>
                    <xdr:colOff>790575</xdr:colOff>
                    <xdr:row>15</xdr:row>
                    <xdr:rowOff>609600</xdr:rowOff>
                  </from>
                  <to>
                    <xdr:col>12</xdr:col>
                    <xdr:colOff>2114550</xdr:colOff>
                    <xdr:row>15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9" name="Button 46">
              <controlPr defaultSize="0" print="0" autoFill="0" autoPict="0" macro="[0]!Botão46_Clique">
                <anchor moveWithCells="1">
                  <from>
                    <xdr:col>10</xdr:col>
                    <xdr:colOff>819150</xdr:colOff>
                    <xdr:row>15</xdr:row>
                    <xdr:rowOff>590550</xdr:rowOff>
                  </from>
                  <to>
                    <xdr:col>10</xdr:col>
                    <xdr:colOff>2143125</xdr:colOff>
                    <xdr:row>15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0" name="Button 48">
              <controlPr defaultSize="0" print="0" autoFill="0" autoPict="0" macro="[0]!Botão4_Clique">
                <anchor moveWithCells="1">
                  <from>
                    <xdr:col>10</xdr:col>
                    <xdr:colOff>866775</xdr:colOff>
                    <xdr:row>17</xdr:row>
                    <xdr:rowOff>590550</xdr:rowOff>
                  </from>
                  <to>
                    <xdr:col>10</xdr:col>
                    <xdr:colOff>2190750</xdr:colOff>
                    <xdr:row>17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41" name="Button 49">
              <controlPr defaultSize="0" print="0" autoFill="0" autoPict="0" macro="[0]!Botão4_Clique">
                <anchor moveWithCells="1">
                  <from>
                    <xdr:col>8</xdr:col>
                    <xdr:colOff>742950</xdr:colOff>
                    <xdr:row>17</xdr:row>
                    <xdr:rowOff>590550</xdr:rowOff>
                  </from>
                  <to>
                    <xdr:col>8</xdr:col>
                    <xdr:colOff>2066925</xdr:colOff>
                    <xdr:row>17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2" name="Button 50">
              <controlPr defaultSize="0" print="0" autoFill="0" autoPict="0" macro="[0]!Botão4_Clique">
                <anchor moveWithCells="1">
                  <from>
                    <xdr:col>4</xdr:col>
                    <xdr:colOff>819150</xdr:colOff>
                    <xdr:row>17</xdr:row>
                    <xdr:rowOff>561975</xdr:rowOff>
                  </from>
                  <to>
                    <xdr:col>4</xdr:col>
                    <xdr:colOff>2143125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3" name="Button 51">
              <controlPr defaultSize="0" print="0" autoFill="0" autoPict="0" macro="[0]!Botão4_Clique">
                <anchor moveWithCells="1">
                  <from>
                    <xdr:col>6</xdr:col>
                    <xdr:colOff>790575</xdr:colOff>
                    <xdr:row>17</xdr:row>
                    <xdr:rowOff>561975</xdr:rowOff>
                  </from>
                  <to>
                    <xdr:col>6</xdr:col>
                    <xdr:colOff>2114550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4" name="Button 52">
              <controlPr defaultSize="0" print="0" autoFill="0" autoPict="0" macro="[0]!Botão4_Clique">
                <anchor moveWithCells="1">
                  <from>
                    <xdr:col>0</xdr:col>
                    <xdr:colOff>647700</xdr:colOff>
                    <xdr:row>17</xdr:row>
                    <xdr:rowOff>590550</xdr:rowOff>
                  </from>
                  <to>
                    <xdr:col>0</xdr:col>
                    <xdr:colOff>1971675</xdr:colOff>
                    <xdr:row>17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5" name="Button 56">
              <controlPr defaultSize="0" print="0" autoFill="0" autoPict="0" macro="[0]!Botão4_Clique">
                <anchor moveWithCells="1">
                  <from>
                    <xdr:col>2</xdr:col>
                    <xdr:colOff>790575</xdr:colOff>
                    <xdr:row>17</xdr:row>
                    <xdr:rowOff>561975</xdr:rowOff>
                  </from>
                  <to>
                    <xdr:col>2</xdr:col>
                    <xdr:colOff>2114550</xdr:colOff>
                    <xdr:row>17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2472"/>
  <sheetViews>
    <sheetView showGridLines="0" showRowColHeaders="0" workbookViewId="0">
      <selection activeCell="G5" sqref="B4:G5"/>
    </sheetView>
  </sheetViews>
  <sheetFormatPr defaultRowHeight="12.75" x14ac:dyDescent="0.2"/>
  <cols>
    <col min="2" max="2" width="49.140625" customWidth="1"/>
    <col min="3" max="3" width="30.85546875" bestFit="1" customWidth="1"/>
    <col min="4" max="4" width="30.42578125" bestFit="1" customWidth="1"/>
    <col min="6" max="6" width="62.5703125" customWidth="1"/>
    <col min="7" max="7" width="29.7109375" bestFit="1" customWidth="1"/>
  </cols>
  <sheetData>
    <row r="1" spans="1:7" ht="9" customHeight="1" x14ac:dyDescent="0.2">
      <c r="B1" s="138" t="str">
        <f>CONCATENATE("GESTÃO DE FÉRIAS ",Ano)</f>
        <v>GESTÃO DE FÉRIAS 2019</v>
      </c>
      <c r="C1" s="89"/>
      <c r="D1" s="89"/>
      <c r="E1" s="89"/>
      <c r="F1" s="89"/>
      <c r="G1" s="89"/>
    </row>
    <row r="2" spans="1:7" ht="58.5" customHeight="1" x14ac:dyDescent="0.2">
      <c r="B2" s="138"/>
      <c r="C2" s="89"/>
      <c r="D2" s="89"/>
      <c r="E2" s="89"/>
      <c r="F2" s="89"/>
      <c r="G2" s="89"/>
    </row>
    <row r="3" spans="1:7" ht="15.75" x14ac:dyDescent="0.25">
      <c r="B3" s="90" t="s">
        <v>122</v>
      </c>
      <c r="C3" s="90" t="s">
        <v>123</v>
      </c>
      <c r="D3" s="90" t="s">
        <v>124</v>
      </c>
      <c r="E3" s="90" t="s">
        <v>125</v>
      </c>
      <c r="F3" s="90" t="s">
        <v>126</v>
      </c>
      <c r="G3" s="90" t="s">
        <v>127</v>
      </c>
    </row>
    <row r="4" spans="1:7" ht="3.75" customHeight="1" x14ac:dyDescent="0.25">
      <c r="A4" s="139" t="s">
        <v>128</v>
      </c>
      <c r="B4" s="91"/>
      <c r="C4" s="116"/>
      <c r="D4" s="116"/>
      <c r="E4" s="91"/>
      <c r="F4" s="91"/>
      <c r="G4" s="117"/>
    </row>
    <row r="5" spans="1:7" ht="12.75" customHeight="1" x14ac:dyDescent="0.2">
      <c r="A5" s="139"/>
      <c r="B5" s="97"/>
      <c r="C5" s="93"/>
      <c r="D5" s="93"/>
      <c r="E5" s="94"/>
      <c r="F5" s="98"/>
      <c r="G5" s="93"/>
    </row>
    <row r="6" spans="1:7" x14ac:dyDescent="0.2">
      <c r="A6" s="139"/>
      <c r="B6" s="92"/>
      <c r="C6" s="93"/>
      <c r="D6" s="93"/>
      <c r="E6" s="94"/>
      <c r="F6" s="95"/>
      <c r="G6" s="93"/>
    </row>
    <row r="7" spans="1:7" x14ac:dyDescent="0.2">
      <c r="A7" s="139"/>
      <c r="B7" s="92"/>
      <c r="C7" s="93"/>
      <c r="D7" s="93"/>
      <c r="E7" s="94" t="str">
        <f t="shared" ref="E7:E69" si="0">IF(C7&lt;&gt;"",D7-C7,"")</f>
        <v/>
      </c>
      <c r="F7" s="95"/>
      <c r="G7" s="93"/>
    </row>
    <row r="8" spans="1:7" x14ac:dyDescent="0.2">
      <c r="A8" s="139"/>
      <c r="B8" s="92"/>
      <c r="C8" s="93"/>
      <c r="D8" s="93"/>
      <c r="E8" s="94" t="str">
        <f t="shared" si="0"/>
        <v/>
      </c>
      <c r="F8" s="95"/>
      <c r="G8" s="93"/>
    </row>
    <row r="9" spans="1:7" x14ac:dyDescent="0.2">
      <c r="A9" s="139"/>
      <c r="B9" s="92"/>
      <c r="C9" s="93"/>
      <c r="D9" s="93"/>
      <c r="E9" s="94" t="str">
        <f t="shared" si="0"/>
        <v/>
      </c>
      <c r="F9" s="95"/>
      <c r="G9" s="93"/>
    </row>
    <row r="10" spans="1:7" x14ac:dyDescent="0.2">
      <c r="A10" s="139"/>
      <c r="B10" s="92"/>
      <c r="C10" s="93"/>
      <c r="D10" s="93"/>
      <c r="E10" s="94" t="str">
        <f t="shared" si="0"/>
        <v/>
      </c>
      <c r="F10" s="95"/>
      <c r="G10" s="93"/>
    </row>
    <row r="11" spans="1:7" x14ac:dyDescent="0.2">
      <c r="A11" s="139"/>
      <c r="B11" s="92"/>
      <c r="C11" s="93"/>
      <c r="D11" s="93"/>
      <c r="E11" s="94" t="str">
        <f t="shared" si="0"/>
        <v/>
      </c>
      <c r="F11" s="95"/>
      <c r="G11" s="93"/>
    </row>
    <row r="12" spans="1:7" x14ac:dyDescent="0.2">
      <c r="A12" s="139"/>
      <c r="B12" s="92"/>
      <c r="C12" s="93"/>
      <c r="D12" s="93"/>
      <c r="E12" s="94" t="str">
        <f t="shared" si="0"/>
        <v/>
      </c>
      <c r="F12" s="95"/>
      <c r="G12" s="93"/>
    </row>
    <row r="13" spans="1:7" x14ac:dyDescent="0.2">
      <c r="A13" s="139"/>
      <c r="B13" s="92"/>
      <c r="C13" s="93"/>
      <c r="D13" s="93"/>
      <c r="E13" s="94" t="str">
        <f t="shared" si="0"/>
        <v/>
      </c>
      <c r="F13" s="95"/>
      <c r="G13" s="93"/>
    </row>
    <row r="14" spans="1:7" x14ac:dyDescent="0.2">
      <c r="A14" s="139"/>
      <c r="B14" s="92"/>
      <c r="C14" s="93"/>
      <c r="D14" s="93"/>
      <c r="E14" s="94" t="str">
        <f t="shared" si="0"/>
        <v/>
      </c>
      <c r="F14" s="95"/>
      <c r="G14" s="93"/>
    </row>
    <row r="15" spans="1:7" x14ac:dyDescent="0.2">
      <c r="A15" s="139"/>
      <c r="B15" s="92"/>
      <c r="C15" s="93"/>
      <c r="D15" s="93"/>
      <c r="E15" s="94" t="str">
        <f t="shared" si="0"/>
        <v/>
      </c>
      <c r="F15" s="95"/>
      <c r="G15" s="93"/>
    </row>
    <row r="16" spans="1:7" x14ac:dyDescent="0.2">
      <c r="A16" s="139"/>
      <c r="B16" s="92"/>
      <c r="C16" s="93"/>
      <c r="D16" s="93"/>
      <c r="E16" s="94" t="str">
        <f t="shared" si="0"/>
        <v/>
      </c>
      <c r="F16" s="95"/>
      <c r="G16" s="93"/>
    </row>
    <row r="17" spans="1:7" x14ac:dyDescent="0.2">
      <c r="A17" s="139"/>
      <c r="B17" s="92"/>
      <c r="C17" s="93"/>
      <c r="D17" s="93"/>
      <c r="E17" s="94" t="str">
        <f t="shared" si="0"/>
        <v/>
      </c>
      <c r="F17" s="95"/>
      <c r="G17" s="93"/>
    </row>
    <row r="18" spans="1:7" x14ac:dyDescent="0.2">
      <c r="A18" s="139"/>
      <c r="B18" s="92"/>
      <c r="C18" s="93"/>
      <c r="D18" s="93"/>
      <c r="E18" s="94" t="str">
        <f t="shared" si="0"/>
        <v/>
      </c>
      <c r="F18" s="95"/>
      <c r="G18" s="93"/>
    </row>
    <row r="19" spans="1:7" x14ac:dyDescent="0.2">
      <c r="A19" s="139"/>
      <c r="B19" s="92"/>
      <c r="C19" s="93"/>
      <c r="D19" s="93"/>
      <c r="E19" s="94" t="str">
        <f t="shared" si="0"/>
        <v/>
      </c>
      <c r="F19" s="95"/>
      <c r="G19" s="93"/>
    </row>
    <row r="20" spans="1:7" x14ac:dyDescent="0.2">
      <c r="A20" s="139"/>
      <c r="B20" s="92"/>
      <c r="C20" s="93"/>
      <c r="D20" s="93"/>
      <c r="E20" s="94" t="str">
        <f t="shared" si="0"/>
        <v/>
      </c>
      <c r="F20" s="95"/>
      <c r="G20" s="93"/>
    </row>
    <row r="21" spans="1:7" x14ac:dyDescent="0.2">
      <c r="A21" s="139"/>
      <c r="B21" s="92"/>
      <c r="C21" s="93"/>
      <c r="D21" s="93"/>
      <c r="E21" s="94" t="str">
        <f t="shared" si="0"/>
        <v/>
      </c>
      <c r="F21" s="95"/>
      <c r="G21" s="93"/>
    </row>
    <row r="22" spans="1:7" x14ac:dyDescent="0.2">
      <c r="A22" s="139"/>
      <c r="B22" s="92"/>
      <c r="C22" s="93"/>
      <c r="D22" s="93"/>
      <c r="E22" s="94" t="str">
        <f t="shared" si="0"/>
        <v/>
      </c>
      <c r="F22" s="95"/>
      <c r="G22" s="93"/>
    </row>
    <row r="23" spans="1:7" x14ac:dyDescent="0.2">
      <c r="A23" s="139"/>
      <c r="B23" s="92"/>
      <c r="C23" s="93"/>
      <c r="D23" s="93"/>
      <c r="E23" s="94" t="str">
        <f t="shared" si="0"/>
        <v/>
      </c>
      <c r="F23" s="95"/>
      <c r="G23" s="93"/>
    </row>
    <row r="24" spans="1:7" x14ac:dyDescent="0.2">
      <c r="A24" s="139"/>
      <c r="B24" s="92"/>
      <c r="C24" s="93"/>
      <c r="D24" s="93"/>
      <c r="E24" s="94" t="str">
        <f t="shared" si="0"/>
        <v/>
      </c>
      <c r="F24" s="95"/>
      <c r="G24" s="93"/>
    </row>
    <row r="25" spans="1:7" x14ac:dyDescent="0.2">
      <c r="A25" s="139"/>
      <c r="B25" s="92"/>
      <c r="C25" s="93"/>
      <c r="D25" s="93"/>
      <c r="E25" s="94" t="str">
        <f t="shared" si="0"/>
        <v/>
      </c>
      <c r="F25" s="95"/>
      <c r="G25" s="93"/>
    </row>
    <row r="26" spans="1:7" x14ac:dyDescent="0.2">
      <c r="A26" s="139"/>
      <c r="B26" s="92"/>
      <c r="C26" s="93"/>
      <c r="D26" s="93"/>
      <c r="E26" s="94" t="str">
        <f t="shared" si="0"/>
        <v/>
      </c>
      <c r="F26" s="95"/>
      <c r="G26" s="93"/>
    </row>
    <row r="27" spans="1:7" x14ac:dyDescent="0.2">
      <c r="A27" s="139"/>
      <c r="B27" s="92"/>
      <c r="C27" s="93"/>
      <c r="D27" s="93"/>
      <c r="E27" s="94" t="str">
        <f t="shared" si="0"/>
        <v/>
      </c>
      <c r="F27" s="95"/>
      <c r="G27" s="93"/>
    </row>
    <row r="28" spans="1:7" x14ac:dyDescent="0.2">
      <c r="A28" s="139"/>
      <c r="B28" s="92"/>
      <c r="C28" s="93"/>
      <c r="D28" s="93"/>
      <c r="E28" s="94" t="str">
        <f t="shared" si="0"/>
        <v/>
      </c>
      <c r="F28" s="95"/>
      <c r="G28" s="93"/>
    </row>
    <row r="29" spans="1:7" x14ac:dyDescent="0.2">
      <c r="A29" s="139"/>
      <c r="B29" s="92"/>
      <c r="C29" s="93"/>
      <c r="D29" s="93"/>
      <c r="E29" s="94" t="str">
        <f t="shared" si="0"/>
        <v/>
      </c>
      <c r="F29" s="95"/>
      <c r="G29" s="93"/>
    </row>
    <row r="30" spans="1:7" x14ac:dyDescent="0.2">
      <c r="A30" s="139"/>
      <c r="B30" s="92"/>
      <c r="C30" s="93"/>
      <c r="D30" s="93"/>
      <c r="E30" s="94" t="str">
        <f t="shared" si="0"/>
        <v/>
      </c>
      <c r="F30" s="95"/>
      <c r="G30" s="93"/>
    </row>
    <row r="31" spans="1:7" x14ac:dyDescent="0.2">
      <c r="A31" s="139"/>
      <c r="B31" s="92"/>
      <c r="C31" s="93"/>
      <c r="D31" s="93"/>
      <c r="E31" s="94" t="str">
        <f t="shared" si="0"/>
        <v/>
      </c>
      <c r="F31" s="95"/>
      <c r="G31" s="93"/>
    </row>
    <row r="32" spans="1:7" x14ac:dyDescent="0.2">
      <c r="A32" s="139"/>
      <c r="B32" s="92"/>
      <c r="C32" s="93"/>
      <c r="D32" s="93"/>
      <c r="E32" s="94" t="str">
        <f t="shared" si="0"/>
        <v/>
      </c>
      <c r="F32" s="95"/>
      <c r="G32" s="93"/>
    </row>
    <row r="33" spans="1:7" x14ac:dyDescent="0.2">
      <c r="A33" s="139"/>
      <c r="B33" s="92"/>
      <c r="C33" s="93"/>
      <c r="D33" s="93"/>
      <c r="E33" s="94" t="str">
        <f t="shared" si="0"/>
        <v/>
      </c>
      <c r="F33" s="95"/>
      <c r="G33" s="93"/>
    </row>
    <row r="34" spans="1:7" x14ac:dyDescent="0.2">
      <c r="A34" s="139"/>
      <c r="B34" s="92"/>
      <c r="C34" s="93"/>
      <c r="D34" s="93"/>
      <c r="E34" s="94" t="str">
        <f t="shared" si="0"/>
        <v/>
      </c>
      <c r="F34" s="95"/>
      <c r="G34" s="93"/>
    </row>
    <row r="35" spans="1:7" x14ac:dyDescent="0.2">
      <c r="A35" s="139"/>
      <c r="B35" s="92"/>
      <c r="C35" s="93"/>
      <c r="D35" s="93"/>
      <c r="E35" s="94" t="str">
        <f t="shared" si="0"/>
        <v/>
      </c>
      <c r="F35" s="95"/>
      <c r="G35" s="93"/>
    </row>
    <row r="36" spans="1:7" x14ac:dyDescent="0.2">
      <c r="B36" s="92"/>
      <c r="C36" s="93"/>
      <c r="D36" s="93"/>
      <c r="E36" s="94" t="str">
        <f t="shared" si="0"/>
        <v/>
      </c>
      <c r="F36" s="95"/>
      <c r="G36" s="93"/>
    </row>
    <row r="37" spans="1:7" x14ac:dyDescent="0.2">
      <c r="B37" s="92"/>
      <c r="C37" s="93"/>
      <c r="D37" s="93"/>
      <c r="E37" s="94" t="str">
        <f t="shared" si="0"/>
        <v/>
      </c>
      <c r="F37" s="95"/>
      <c r="G37" s="93"/>
    </row>
    <row r="38" spans="1:7" x14ac:dyDescent="0.2">
      <c r="B38" s="92"/>
      <c r="C38" s="93"/>
      <c r="D38" s="93"/>
      <c r="E38" s="94" t="str">
        <f t="shared" si="0"/>
        <v/>
      </c>
      <c r="F38" s="95"/>
      <c r="G38" s="93"/>
    </row>
    <row r="39" spans="1:7" x14ac:dyDescent="0.2">
      <c r="B39" s="92"/>
      <c r="C39" s="93"/>
      <c r="D39" s="93"/>
      <c r="E39" s="94" t="str">
        <f t="shared" si="0"/>
        <v/>
      </c>
      <c r="F39" s="95"/>
      <c r="G39" s="93"/>
    </row>
    <row r="40" spans="1:7" x14ac:dyDescent="0.2">
      <c r="B40" s="92"/>
      <c r="C40" s="93"/>
      <c r="D40" s="93"/>
      <c r="E40" s="94" t="str">
        <f t="shared" si="0"/>
        <v/>
      </c>
      <c r="F40" s="95"/>
      <c r="G40" s="93"/>
    </row>
    <row r="41" spans="1:7" x14ac:dyDescent="0.2">
      <c r="B41" s="92"/>
      <c r="C41" s="93"/>
      <c r="D41" s="93"/>
      <c r="E41" s="94" t="str">
        <f t="shared" si="0"/>
        <v/>
      </c>
      <c r="F41" s="95"/>
      <c r="G41" s="93"/>
    </row>
    <row r="42" spans="1:7" x14ac:dyDescent="0.2">
      <c r="B42" s="92"/>
      <c r="C42" s="93"/>
      <c r="D42" s="93"/>
      <c r="E42" s="94" t="str">
        <f t="shared" si="0"/>
        <v/>
      </c>
      <c r="F42" s="95"/>
      <c r="G42" s="93"/>
    </row>
    <row r="43" spans="1:7" x14ac:dyDescent="0.2">
      <c r="B43" s="92"/>
      <c r="C43" s="93"/>
      <c r="D43" s="93"/>
      <c r="E43" s="94" t="str">
        <f t="shared" si="0"/>
        <v/>
      </c>
      <c r="F43" s="95"/>
      <c r="G43" s="93"/>
    </row>
    <row r="44" spans="1:7" x14ac:dyDescent="0.2">
      <c r="B44" s="92"/>
      <c r="C44" s="93"/>
      <c r="D44" s="93"/>
      <c r="E44" s="94" t="str">
        <f t="shared" si="0"/>
        <v/>
      </c>
      <c r="F44" s="95"/>
      <c r="G44" s="93"/>
    </row>
    <row r="45" spans="1:7" x14ac:dyDescent="0.2">
      <c r="B45" s="92"/>
      <c r="C45" s="93"/>
      <c r="D45" s="93"/>
      <c r="E45" s="94" t="str">
        <f t="shared" si="0"/>
        <v/>
      </c>
      <c r="F45" s="95"/>
      <c r="G45" s="93"/>
    </row>
    <row r="46" spans="1:7" x14ac:dyDescent="0.2">
      <c r="B46" s="92"/>
      <c r="C46" s="93"/>
      <c r="D46" s="93"/>
      <c r="E46" s="94" t="str">
        <f t="shared" si="0"/>
        <v/>
      </c>
      <c r="F46" s="95"/>
      <c r="G46" s="93"/>
    </row>
    <row r="47" spans="1:7" x14ac:dyDescent="0.2">
      <c r="B47" s="92"/>
      <c r="C47" s="93"/>
      <c r="D47" s="93"/>
      <c r="E47" s="94" t="str">
        <f t="shared" si="0"/>
        <v/>
      </c>
      <c r="F47" s="95"/>
      <c r="G47" s="93"/>
    </row>
    <row r="48" spans="1:7" x14ac:dyDescent="0.2">
      <c r="B48" s="92"/>
      <c r="C48" s="93"/>
      <c r="D48" s="93"/>
      <c r="E48" s="94" t="str">
        <f t="shared" si="0"/>
        <v/>
      </c>
      <c r="F48" s="95"/>
      <c r="G48" s="93"/>
    </row>
    <row r="49" spans="2:7" x14ac:dyDescent="0.2">
      <c r="B49" s="92"/>
      <c r="C49" s="93"/>
      <c r="D49" s="93"/>
      <c r="E49" s="94" t="str">
        <f t="shared" si="0"/>
        <v/>
      </c>
      <c r="F49" s="95"/>
      <c r="G49" s="93"/>
    </row>
    <row r="50" spans="2:7" x14ac:dyDescent="0.2">
      <c r="B50" s="92"/>
      <c r="C50" s="93"/>
      <c r="D50" s="93"/>
      <c r="E50" s="94" t="str">
        <f t="shared" si="0"/>
        <v/>
      </c>
      <c r="F50" s="95"/>
      <c r="G50" s="93"/>
    </row>
    <row r="51" spans="2:7" x14ac:dyDescent="0.2">
      <c r="B51" s="92"/>
      <c r="C51" s="93"/>
      <c r="D51" s="93"/>
      <c r="E51" s="94" t="str">
        <f t="shared" si="0"/>
        <v/>
      </c>
      <c r="F51" s="95"/>
      <c r="G51" s="93"/>
    </row>
    <row r="52" spans="2:7" x14ac:dyDescent="0.2">
      <c r="B52" s="92"/>
      <c r="C52" s="93"/>
      <c r="D52" s="93"/>
      <c r="E52" s="94" t="str">
        <f t="shared" si="0"/>
        <v/>
      </c>
      <c r="F52" s="95"/>
      <c r="G52" s="93"/>
    </row>
    <row r="53" spans="2:7" x14ac:dyDescent="0.2">
      <c r="B53" s="92"/>
      <c r="C53" s="93"/>
      <c r="D53" s="93"/>
      <c r="E53" s="94" t="str">
        <f t="shared" si="0"/>
        <v/>
      </c>
      <c r="F53" s="95"/>
      <c r="G53" s="93"/>
    </row>
    <row r="54" spans="2:7" x14ac:dyDescent="0.2">
      <c r="B54" s="92"/>
      <c r="C54" s="93"/>
      <c r="D54" s="93"/>
      <c r="E54" s="94" t="str">
        <f t="shared" si="0"/>
        <v/>
      </c>
      <c r="F54" s="95"/>
      <c r="G54" s="93"/>
    </row>
    <row r="55" spans="2:7" x14ac:dyDescent="0.2">
      <c r="B55" s="92"/>
      <c r="C55" s="93"/>
      <c r="D55" s="93"/>
      <c r="E55" s="94" t="str">
        <f t="shared" si="0"/>
        <v/>
      </c>
      <c r="F55" s="95"/>
      <c r="G55" s="93"/>
    </row>
    <row r="56" spans="2:7" x14ac:dyDescent="0.2">
      <c r="B56" s="92"/>
      <c r="C56" s="93"/>
      <c r="D56" s="93"/>
      <c r="E56" s="94" t="str">
        <f t="shared" si="0"/>
        <v/>
      </c>
      <c r="F56" s="95"/>
      <c r="G56" s="93"/>
    </row>
    <row r="57" spans="2:7" x14ac:dyDescent="0.2">
      <c r="B57" s="92"/>
      <c r="C57" s="93"/>
      <c r="D57" s="93"/>
      <c r="E57" s="94" t="str">
        <f t="shared" si="0"/>
        <v/>
      </c>
      <c r="F57" s="95"/>
      <c r="G57" s="93"/>
    </row>
    <row r="58" spans="2:7" x14ac:dyDescent="0.2">
      <c r="B58" s="92"/>
      <c r="C58" s="93"/>
      <c r="D58" s="93"/>
      <c r="E58" s="94" t="str">
        <f t="shared" si="0"/>
        <v/>
      </c>
      <c r="F58" s="95"/>
      <c r="G58" s="93"/>
    </row>
    <row r="59" spans="2:7" x14ac:dyDescent="0.2">
      <c r="B59" s="92"/>
      <c r="C59" s="93"/>
      <c r="D59" s="93"/>
      <c r="E59" s="94" t="str">
        <f t="shared" si="0"/>
        <v/>
      </c>
      <c r="F59" s="95"/>
      <c r="G59" s="93"/>
    </row>
    <row r="60" spans="2:7" x14ac:dyDescent="0.2">
      <c r="B60" s="92"/>
      <c r="C60" s="93"/>
      <c r="D60" s="93"/>
      <c r="E60" s="94" t="str">
        <f t="shared" si="0"/>
        <v/>
      </c>
      <c r="F60" s="95"/>
      <c r="G60" s="93"/>
    </row>
    <row r="61" spans="2:7" x14ac:dyDescent="0.2">
      <c r="B61" s="92"/>
      <c r="C61" s="93"/>
      <c r="D61" s="93"/>
      <c r="E61" s="94" t="str">
        <f t="shared" si="0"/>
        <v/>
      </c>
      <c r="F61" s="95"/>
      <c r="G61" s="93"/>
    </row>
    <row r="62" spans="2:7" x14ac:dyDescent="0.2">
      <c r="B62" s="92"/>
      <c r="C62" s="93"/>
      <c r="D62" s="93"/>
      <c r="E62" s="94" t="str">
        <f t="shared" si="0"/>
        <v/>
      </c>
      <c r="F62" s="95"/>
      <c r="G62" s="93"/>
    </row>
    <row r="63" spans="2:7" x14ac:dyDescent="0.2">
      <c r="B63" s="92"/>
      <c r="C63" s="93"/>
      <c r="D63" s="93"/>
      <c r="E63" s="94" t="str">
        <f t="shared" si="0"/>
        <v/>
      </c>
      <c r="F63" s="95"/>
      <c r="G63" s="93"/>
    </row>
    <row r="64" spans="2:7" x14ac:dyDescent="0.2">
      <c r="B64" s="92"/>
      <c r="C64" s="93"/>
      <c r="D64" s="93"/>
      <c r="E64" s="94" t="str">
        <f t="shared" si="0"/>
        <v/>
      </c>
      <c r="F64" s="95"/>
      <c r="G64" s="93"/>
    </row>
    <row r="65" spans="2:7" x14ac:dyDescent="0.2">
      <c r="B65" s="92"/>
      <c r="C65" s="93"/>
      <c r="D65" s="93"/>
      <c r="E65" s="94" t="str">
        <f t="shared" si="0"/>
        <v/>
      </c>
      <c r="F65" s="95"/>
      <c r="G65" s="93"/>
    </row>
    <row r="66" spans="2:7" x14ac:dyDescent="0.2">
      <c r="B66" s="92"/>
      <c r="C66" s="93"/>
      <c r="D66" s="93"/>
      <c r="E66" s="94" t="str">
        <f t="shared" si="0"/>
        <v/>
      </c>
      <c r="F66" s="95"/>
      <c r="G66" s="93"/>
    </row>
    <row r="67" spans="2:7" x14ac:dyDescent="0.2">
      <c r="B67" s="92"/>
      <c r="C67" s="93"/>
      <c r="D67" s="93"/>
      <c r="E67" s="94" t="str">
        <f t="shared" si="0"/>
        <v/>
      </c>
      <c r="F67" s="95"/>
      <c r="G67" s="93"/>
    </row>
    <row r="68" spans="2:7" x14ac:dyDescent="0.2">
      <c r="B68" s="92"/>
      <c r="C68" s="93"/>
      <c r="D68" s="93"/>
      <c r="E68" s="94" t="str">
        <f t="shared" si="0"/>
        <v/>
      </c>
      <c r="F68" s="95"/>
      <c r="G68" s="93"/>
    </row>
    <row r="69" spans="2:7" x14ac:dyDescent="0.2">
      <c r="B69" s="92"/>
      <c r="C69" s="93"/>
      <c r="D69" s="93"/>
      <c r="E69" s="94" t="str">
        <f t="shared" si="0"/>
        <v/>
      </c>
      <c r="F69" s="95"/>
      <c r="G69" s="93"/>
    </row>
    <row r="70" spans="2:7" x14ac:dyDescent="0.2">
      <c r="B70" s="92"/>
      <c r="C70" s="93"/>
      <c r="D70" s="93"/>
      <c r="E70" s="94" t="str">
        <f t="shared" ref="E70:E133" si="1">IF(C70&lt;&gt;"",D70-C70,"")</f>
        <v/>
      </c>
      <c r="F70" s="95"/>
      <c r="G70" s="93"/>
    </row>
    <row r="71" spans="2:7" x14ac:dyDescent="0.2">
      <c r="B71" s="92"/>
      <c r="C71" s="93"/>
      <c r="D71" s="93"/>
      <c r="E71" s="94" t="str">
        <f t="shared" si="1"/>
        <v/>
      </c>
      <c r="F71" s="95"/>
      <c r="G71" s="93"/>
    </row>
    <row r="72" spans="2:7" x14ac:dyDescent="0.2">
      <c r="B72" s="92"/>
      <c r="C72" s="93"/>
      <c r="D72" s="93"/>
      <c r="E72" s="94" t="str">
        <f t="shared" si="1"/>
        <v/>
      </c>
      <c r="F72" s="95"/>
      <c r="G72" s="93"/>
    </row>
    <row r="73" spans="2:7" x14ac:dyDescent="0.2">
      <c r="B73" s="92"/>
      <c r="C73" s="93"/>
      <c r="D73" s="93"/>
      <c r="E73" s="94" t="str">
        <f t="shared" si="1"/>
        <v/>
      </c>
      <c r="F73" s="95"/>
      <c r="G73" s="93"/>
    </row>
    <row r="74" spans="2:7" x14ac:dyDescent="0.2">
      <c r="B74" s="92"/>
      <c r="C74" s="93"/>
      <c r="D74" s="93"/>
      <c r="E74" s="94" t="str">
        <f t="shared" si="1"/>
        <v/>
      </c>
      <c r="F74" s="95"/>
      <c r="G74" s="93"/>
    </row>
    <row r="75" spans="2:7" x14ac:dyDescent="0.2">
      <c r="B75" s="92"/>
      <c r="C75" s="93"/>
      <c r="D75" s="93"/>
      <c r="E75" s="94" t="str">
        <f t="shared" si="1"/>
        <v/>
      </c>
      <c r="F75" s="95"/>
      <c r="G75" s="93"/>
    </row>
    <row r="76" spans="2:7" x14ac:dyDescent="0.2">
      <c r="B76" s="92"/>
      <c r="C76" s="93"/>
      <c r="D76" s="93"/>
      <c r="E76" s="94" t="str">
        <f t="shared" si="1"/>
        <v/>
      </c>
      <c r="F76" s="95"/>
      <c r="G76" s="93"/>
    </row>
    <row r="77" spans="2:7" x14ac:dyDescent="0.2">
      <c r="B77" s="92"/>
      <c r="C77" s="93"/>
      <c r="D77" s="93"/>
      <c r="E77" s="94" t="str">
        <f t="shared" si="1"/>
        <v/>
      </c>
      <c r="F77" s="95"/>
      <c r="G77" s="93"/>
    </row>
    <row r="78" spans="2:7" x14ac:dyDescent="0.2">
      <c r="B78" s="92"/>
      <c r="C78" s="93"/>
      <c r="D78" s="93"/>
      <c r="E78" s="94" t="str">
        <f t="shared" si="1"/>
        <v/>
      </c>
      <c r="F78" s="95"/>
      <c r="G78" s="93"/>
    </row>
    <row r="79" spans="2:7" x14ac:dyDescent="0.2">
      <c r="B79" s="92"/>
      <c r="C79" s="93"/>
      <c r="D79" s="93"/>
      <c r="E79" s="94" t="str">
        <f t="shared" si="1"/>
        <v/>
      </c>
      <c r="F79" s="95"/>
      <c r="G79" s="93"/>
    </row>
    <row r="80" spans="2:7" x14ac:dyDescent="0.2">
      <c r="B80" s="92"/>
      <c r="C80" s="93"/>
      <c r="D80" s="93"/>
      <c r="E80" s="94" t="str">
        <f t="shared" si="1"/>
        <v/>
      </c>
      <c r="F80" s="95"/>
      <c r="G80" s="93"/>
    </row>
    <row r="81" spans="2:7" x14ac:dyDescent="0.2">
      <c r="B81" s="92"/>
      <c r="C81" s="93"/>
      <c r="D81" s="93"/>
      <c r="E81" s="94" t="str">
        <f t="shared" si="1"/>
        <v/>
      </c>
      <c r="F81" s="95"/>
      <c r="G81" s="93"/>
    </row>
    <row r="82" spans="2:7" x14ac:dyDescent="0.2">
      <c r="B82" s="92"/>
      <c r="C82" s="93"/>
      <c r="D82" s="93"/>
      <c r="E82" s="94" t="str">
        <f t="shared" si="1"/>
        <v/>
      </c>
      <c r="F82" s="95"/>
      <c r="G82" s="93"/>
    </row>
    <row r="83" spans="2:7" x14ac:dyDescent="0.2">
      <c r="B83" s="92"/>
      <c r="C83" s="93"/>
      <c r="D83" s="93"/>
      <c r="E83" s="94" t="str">
        <f t="shared" si="1"/>
        <v/>
      </c>
      <c r="F83" s="95"/>
      <c r="G83" s="93"/>
    </row>
    <row r="84" spans="2:7" x14ac:dyDescent="0.2">
      <c r="B84" s="92"/>
      <c r="C84" s="93"/>
      <c r="D84" s="93"/>
      <c r="E84" s="94" t="str">
        <f t="shared" si="1"/>
        <v/>
      </c>
      <c r="F84" s="95"/>
      <c r="G84" s="93"/>
    </row>
    <row r="85" spans="2:7" x14ac:dyDescent="0.2">
      <c r="B85" s="92"/>
      <c r="C85" s="93"/>
      <c r="D85" s="93"/>
      <c r="E85" s="94" t="str">
        <f t="shared" si="1"/>
        <v/>
      </c>
      <c r="F85" s="95"/>
      <c r="G85" s="93"/>
    </row>
    <row r="86" spans="2:7" x14ac:dyDescent="0.2">
      <c r="B86" s="92"/>
      <c r="C86" s="93"/>
      <c r="D86" s="93"/>
      <c r="E86" s="94" t="str">
        <f t="shared" si="1"/>
        <v/>
      </c>
      <c r="F86" s="95"/>
      <c r="G86" s="93"/>
    </row>
    <row r="87" spans="2:7" x14ac:dyDescent="0.2">
      <c r="B87" s="92"/>
      <c r="C87" s="93"/>
      <c r="D87" s="93"/>
      <c r="E87" s="94" t="str">
        <f t="shared" si="1"/>
        <v/>
      </c>
      <c r="F87" s="95"/>
      <c r="G87" s="93"/>
    </row>
    <row r="88" spans="2:7" x14ac:dyDescent="0.2">
      <c r="B88" s="92"/>
      <c r="C88" s="93"/>
      <c r="D88" s="93"/>
      <c r="E88" s="94" t="str">
        <f t="shared" si="1"/>
        <v/>
      </c>
      <c r="F88" s="95"/>
      <c r="G88" s="93"/>
    </row>
    <row r="89" spans="2:7" x14ac:dyDescent="0.2">
      <c r="B89" s="92"/>
      <c r="C89" s="93"/>
      <c r="D89" s="93"/>
      <c r="E89" s="94" t="str">
        <f t="shared" si="1"/>
        <v/>
      </c>
      <c r="F89" s="95"/>
      <c r="G89" s="93"/>
    </row>
    <row r="90" spans="2:7" x14ac:dyDescent="0.2">
      <c r="B90" s="92"/>
      <c r="C90" s="93"/>
      <c r="D90" s="93"/>
      <c r="E90" s="94" t="str">
        <f t="shared" si="1"/>
        <v/>
      </c>
      <c r="F90" s="95"/>
      <c r="G90" s="93"/>
    </row>
    <row r="91" spans="2:7" x14ac:dyDescent="0.2">
      <c r="B91" s="92"/>
      <c r="C91" s="93"/>
      <c r="D91" s="93"/>
      <c r="E91" s="94" t="str">
        <f t="shared" si="1"/>
        <v/>
      </c>
      <c r="F91" s="95"/>
      <c r="G91" s="93"/>
    </row>
    <row r="92" spans="2:7" x14ac:dyDescent="0.2">
      <c r="B92" s="92"/>
      <c r="C92" s="93"/>
      <c r="D92" s="93"/>
      <c r="E92" s="94" t="str">
        <f t="shared" si="1"/>
        <v/>
      </c>
      <c r="F92" s="95"/>
      <c r="G92" s="93"/>
    </row>
    <row r="93" spans="2:7" x14ac:dyDescent="0.2">
      <c r="B93" s="92"/>
      <c r="C93" s="93"/>
      <c r="D93" s="93"/>
      <c r="E93" s="94" t="str">
        <f t="shared" si="1"/>
        <v/>
      </c>
      <c r="F93" s="95"/>
      <c r="G93" s="93"/>
    </row>
    <row r="94" spans="2:7" x14ac:dyDescent="0.2">
      <c r="B94" s="92"/>
      <c r="C94" s="93"/>
      <c r="D94" s="93"/>
      <c r="E94" s="94" t="str">
        <f t="shared" si="1"/>
        <v/>
      </c>
      <c r="F94" s="95"/>
      <c r="G94" s="93"/>
    </row>
    <row r="95" spans="2:7" x14ac:dyDescent="0.2">
      <c r="B95" s="92"/>
      <c r="C95" s="93"/>
      <c r="D95" s="93"/>
      <c r="E95" s="94" t="str">
        <f t="shared" si="1"/>
        <v/>
      </c>
      <c r="F95" s="95"/>
      <c r="G95" s="93"/>
    </row>
    <row r="96" spans="2:7" x14ac:dyDescent="0.2">
      <c r="B96" s="92"/>
      <c r="C96" s="93"/>
      <c r="D96" s="93"/>
      <c r="E96" s="94" t="str">
        <f t="shared" si="1"/>
        <v/>
      </c>
      <c r="F96" s="95"/>
      <c r="G96" s="93"/>
    </row>
    <row r="97" spans="2:7" x14ac:dyDescent="0.2">
      <c r="B97" s="92"/>
      <c r="C97" s="93"/>
      <c r="D97" s="93"/>
      <c r="E97" s="94" t="str">
        <f t="shared" si="1"/>
        <v/>
      </c>
      <c r="F97" s="95"/>
      <c r="G97" s="93"/>
    </row>
    <row r="98" spans="2:7" x14ac:dyDescent="0.2">
      <c r="B98" s="92"/>
      <c r="C98" s="93"/>
      <c r="D98" s="93"/>
      <c r="E98" s="94" t="str">
        <f t="shared" si="1"/>
        <v/>
      </c>
      <c r="F98" s="95"/>
      <c r="G98" s="93"/>
    </row>
    <row r="99" spans="2:7" x14ac:dyDescent="0.2">
      <c r="B99" s="92"/>
      <c r="C99" s="93"/>
      <c r="D99" s="93"/>
      <c r="E99" s="94" t="str">
        <f t="shared" si="1"/>
        <v/>
      </c>
      <c r="F99" s="95"/>
      <c r="G99" s="93"/>
    </row>
    <row r="100" spans="2:7" x14ac:dyDescent="0.2">
      <c r="B100" s="92"/>
      <c r="C100" s="93"/>
      <c r="D100" s="93"/>
      <c r="E100" s="94" t="str">
        <f t="shared" si="1"/>
        <v/>
      </c>
      <c r="F100" s="95"/>
      <c r="G100" s="93"/>
    </row>
    <row r="101" spans="2:7" x14ac:dyDescent="0.2">
      <c r="B101" s="92"/>
      <c r="C101" s="93"/>
      <c r="D101" s="93"/>
      <c r="E101" s="94" t="str">
        <f t="shared" si="1"/>
        <v/>
      </c>
      <c r="F101" s="95"/>
      <c r="G101" s="93"/>
    </row>
    <row r="102" spans="2:7" x14ac:dyDescent="0.2">
      <c r="B102" s="92"/>
      <c r="C102" s="93"/>
      <c r="D102" s="93"/>
      <c r="E102" s="94" t="str">
        <f t="shared" si="1"/>
        <v/>
      </c>
      <c r="F102" s="95"/>
      <c r="G102" s="93"/>
    </row>
    <row r="103" spans="2:7" x14ac:dyDescent="0.2">
      <c r="B103" s="92"/>
      <c r="C103" s="93"/>
      <c r="D103" s="93"/>
      <c r="E103" s="94" t="str">
        <f t="shared" si="1"/>
        <v/>
      </c>
      <c r="F103" s="95"/>
      <c r="G103" s="93"/>
    </row>
    <row r="104" spans="2:7" x14ac:dyDescent="0.2">
      <c r="B104" s="92"/>
      <c r="C104" s="93"/>
      <c r="D104" s="93"/>
      <c r="E104" s="94" t="str">
        <f t="shared" si="1"/>
        <v/>
      </c>
      <c r="F104" s="95"/>
      <c r="G104" s="93"/>
    </row>
    <row r="105" spans="2:7" x14ac:dyDescent="0.2">
      <c r="B105" s="92"/>
      <c r="C105" s="93"/>
      <c r="D105" s="93"/>
      <c r="E105" s="94" t="str">
        <f t="shared" si="1"/>
        <v/>
      </c>
      <c r="F105" s="95"/>
      <c r="G105" s="93"/>
    </row>
    <row r="106" spans="2:7" x14ac:dyDescent="0.2">
      <c r="B106" s="92"/>
      <c r="C106" s="93"/>
      <c r="D106" s="93"/>
      <c r="E106" s="94" t="str">
        <f t="shared" si="1"/>
        <v/>
      </c>
      <c r="F106" s="95"/>
      <c r="G106" s="93"/>
    </row>
    <row r="107" spans="2:7" x14ac:dyDescent="0.2">
      <c r="B107" s="92"/>
      <c r="C107" s="93"/>
      <c r="D107" s="93"/>
      <c r="E107" s="94" t="str">
        <f t="shared" si="1"/>
        <v/>
      </c>
      <c r="F107" s="95"/>
      <c r="G107" s="93"/>
    </row>
    <row r="108" spans="2:7" x14ac:dyDescent="0.2">
      <c r="B108" s="92"/>
      <c r="C108" s="93"/>
      <c r="D108" s="93"/>
      <c r="E108" s="94" t="str">
        <f t="shared" si="1"/>
        <v/>
      </c>
      <c r="F108" s="95"/>
      <c r="G108" s="93"/>
    </row>
    <row r="109" spans="2:7" x14ac:dyDescent="0.2">
      <c r="B109" s="92"/>
      <c r="C109" s="93"/>
      <c r="D109" s="93"/>
      <c r="E109" s="94" t="str">
        <f t="shared" si="1"/>
        <v/>
      </c>
      <c r="F109" s="95"/>
      <c r="G109" s="93"/>
    </row>
    <row r="110" spans="2:7" x14ac:dyDescent="0.2">
      <c r="B110" s="92"/>
      <c r="C110" s="93"/>
      <c r="D110" s="93"/>
      <c r="E110" s="94" t="str">
        <f t="shared" si="1"/>
        <v/>
      </c>
      <c r="F110" s="95"/>
      <c r="G110" s="93"/>
    </row>
    <row r="111" spans="2:7" x14ac:dyDescent="0.2">
      <c r="B111" s="92"/>
      <c r="C111" s="93"/>
      <c r="D111" s="93"/>
      <c r="E111" s="94" t="str">
        <f t="shared" si="1"/>
        <v/>
      </c>
      <c r="F111" s="95"/>
      <c r="G111" s="93"/>
    </row>
    <row r="112" spans="2:7" x14ac:dyDescent="0.2">
      <c r="B112" s="92"/>
      <c r="C112" s="93"/>
      <c r="D112" s="93"/>
      <c r="E112" s="94" t="str">
        <f t="shared" si="1"/>
        <v/>
      </c>
      <c r="F112" s="95"/>
      <c r="G112" s="93"/>
    </row>
    <row r="113" spans="2:7" x14ac:dyDescent="0.2">
      <c r="B113" s="92"/>
      <c r="C113" s="93"/>
      <c r="D113" s="93"/>
      <c r="E113" s="94" t="str">
        <f t="shared" si="1"/>
        <v/>
      </c>
      <c r="F113" s="95"/>
      <c r="G113" s="93"/>
    </row>
    <row r="114" spans="2:7" x14ac:dyDescent="0.2">
      <c r="B114" s="92"/>
      <c r="C114" s="93"/>
      <c r="D114" s="93"/>
      <c r="E114" s="94" t="str">
        <f t="shared" si="1"/>
        <v/>
      </c>
      <c r="F114" s="95"/>
      <c r="G114" s="93"/>
    </row>
    <row r="115" spans="2:7" x14ac:dyDescent="0.2">
      <c r="B115" s="92"/>
      <c r="C115" s="93"/>
      <c r="D115" s="93"/>
      <c r="E115" s="94" t="str">
        <f t="shared" si="1"/>
        <v/>
      </c>
      <c r="F115" s="95"/>
      <c r="G115" s="93"/>
    </row>
    <row r="116" spans="2:7" x14ac:dyDescent="0.2">
      <c r="B116" s="92"/>
      <c r="C116" s="93"/>
      <c r="D116" s="93"/>
      <c r="E116" s="94" t="str">
        <f t="shared" si="1"/>
        <v/>
      </c>
      <c r="F116" s="95"/>
      <c r="G116" s="93"/>
    </row>
    <row r="117" spans="2:7" x14ac:dyDescent="0.2">
      <c r="B117" s="92"/>
      <c r="C117" s="93"/>
      <c r="D117" s="93"/>
      <c r="E117" s="94" t="str">
        <f t="shared" si="1"/>
        <v/>
      </c>
      <c r="F117" s="95"/>
      <c r="G117" s="93"/>
    </row>
    <row r="118" spans="2:7" x14ac:dyDescent="0.2">
      <c r="B118" s="92"/>
      <c r="C118" s="93"/>
      <c r="D118" s="93"/>
      <c r="E118" s="94" t="str">
        <f t="shared" si="1"/>
        <v/>
      </c>
      <c r="F118" s="95"/>
      <c r="G118" s="93"/>
    </row>
    <row r="119" spans="2:7" x14ac:dyDescent="0.2">
      <c r="B119" s="92"/>
      <c r="C119" s="93"/>
      <c r="D119" s="93"/>
      <c r="E119" s="94" t="str">
        <f t="shared" si="1"/>
        <v/>
      </c>
      <c r="F119" s="95"/>
      <c r="G119" s="93"/>
    </row>
    <row r="120" spans="2:7" x14ac:dyDescent="0.2">
      <c r="B120" s="92"/>
      <c r="C120" s="93"/>
      <c r="D120" s="93"/>
      <c r="E120" s="94" t="str">
        <f t="shared" si="1"/>
        <v/>
      </c>
      <c r="F120" s="95"/>
      <c r="G120" s="93"/>
    </row>
    <row r="121" spans="2:7" x14ac:dyDescent="0.2">
      <c r="B121" s="92"/>
      <c r="C121" s="93"/>
      <c r="D121" s="93"/>
      <c r="E121" s="94" t="str">
        <f t="shared" si="1"/>
        <v/>
      </c>
      <c r="F121" s="95"/>
      <c r="G121" s="93"/>
    </row>
    <row r="122" spans="2:7" x14ac:dyDescent="0.2">
      <c r="B122" s="92"/>
      <c r="C122" s="93"/>
      <c r="D122" s="93"/>
      <c r="E122" s="94" t="str">
        <f t="shared" si="1"/>
        <v/>
      </c>
      <c r="F122" s="95"/>
      <c r="G122" s="93"/>
    </row>
    <row r="123" spans="2:7" x14ac:dyDescent="0.2">
      <c r="B123" s="92"/>
      <c r="C123" s="93"/>
      <c r="D123" s="93"/>
      <c r="E123" s="94" t="str">
        <f t="shared" si="1"/>
        <v/>
      </c>
      <c r="F123" s="95"/>
      <c r="G123" s="93"/>
    </row>
    <row r="124" spans="2:7" x14ac:dyDescent="0.2">
      <c r="B124" s="92"/>
      <c r="C124" s="93"/>
      <c r="D124" s="93"/>
      <c r="E124" s="94" t="str">
        <f t="shared" si="1"/>
        <v/>
      </c>
      <c r="F124" s="95"/>
      <c r="G124" s="93"/>
    </row>
    <row r="125" spans="2:7" x14ac:dyDescent="0.2">
      <c r="B125" s="92"/>
      <c r="C125" s="93"/>
      <c r="D125" s="93"/>
      <c r="E125" s="94" t="str">
        <f t="shared" si="1"/>
        <v/>
      </c>
      <c r="F125" s="95"/>
      <c r="G125" s="93"/>
    </row>
    <row r="126" spans="2:7" x14ac:dyDescent="0.2">
      <c r="B126" s="92"/>
      <c r="C126" s="93"/>
      <c r="D126" s="93"/>
      <c r="E126" s="94" t="str">
        <f t="shared" si="1"/>
        <v/>
      </c>
      <c r="F126" s="95"/>
      <c r="G126" s="93"/>
    </row>
    <row r="127" spans="2:7" x14ac:dyDescent="0.2">
      <c r="B127" s="92"/>
      <c r="C127" s="93"/>
      <c r="D127" s="93"/>
      <c r="E127" s="94" t="str">
        <f t="shared" si="1"/>
        <v/>
      </c>
      <c r="F127" s="95"/>
      <c r="G127" s="93"/>
    </row>
    <row r="128" spans="2:7" x14ac:dyDescent="0.2">
      <c r="B128" s="92"/>
      <c r="C128" s="93"/>
      <c r="D128" s="93"/>
      <c r="E128" s="94" t="str">
        <f t="shared" si="1"/>
        <v/>
      </c>
      <c r="F128" s="95"/>
      <c r="G128" s="93"/>
    </row>
    <row r="129" spans="2:7" x14ac:dyDescent="0.2">
      <c r="B129" s="92"/>
      <c r="C129" s="93"/>
      <c r="D129" s="93"/>
      <c r="E129" s="94" t="str">
        <f t="shared" si="1"/>
        <v/>
      </c>
      <c r="F129" s="95"/>
      <c r="G129" s="93"/>
    </row>
    <row r="130" spans="2:7" x14ac:dyDescent="0.2">
      <c r="B130" s="92"/>
      <c r="C130" s="93"/>
      <c r="D130" s="93"/>
      <c r="E130" s="94" t="str">
        <f t="shared" si="1"/>
        <v/>
      </c>
      <c r="F130" s="95"/>
      <c r="G130" s="93"/>
    </row>
    <row r="131" spans="2:7" x14ac:dyDescent="0.2">
      <c r="B131" s="92"/>
      <c r="C131" s="93"/>
      <c r="D131" s="93"/>
      <c r="E131" s="94" t="str">
        <f t="shared" si="1"/>
        <v/>
      </c>
      <c r="F131" s="95"/>
      <c r="G131" s="93"/>
    </row>
    <row r="132" spans="2:7" x14ac:dyDescent="0.2">
      <c r="B132" s="92"/>
      <c r="C132" s="93"/>
      <c r="D132" s="93"/>
      <c r="E132" s="94" t="str">
        <f t="shared" si="1"/>
        <v/>
      </c>
      <c r="F132" s="95"/>
      <c r="G132" s="93"/>
    </row>
    <row r="133" spans="2:7" x14ac:dyDescent="0.2">
      <c r="B133" s="92"/>
      <c r="C133" s="93"/>
      <c r="D133" s="93"/>
      <c r="E133" s="94" t="str">
        <f t="shared" si="1"/>
        <v/>
      </c>
      <c r="F133" s="95"/>
      <c r="G133" s="93"/>
    </row>
    <row r="134" spans="2:7" x14ac:dyDescent="0.2">
      <c r="B134" s="92"/>
      <c r="C134" s="93"/>
      <c r="D134" s="93"/>
      <c r="E134" s="94" t="str">
        <f t="shared" ref="E134:E197" si="2">IF(C134&lt;&gt;"",D134-C134,"")</f>
        <v/>
      </c>
      <c r="F134" s="95"/>
      <c r="G134" s="93"/>
    </row>
    <row r="135" spans="2:7" x14ac:dyDescent="0.2">
      <c r="B135" s="92"/>
      <c r="C135" s="93"/>
      <c r="D135" s="93"/>
      <c r="E135" s="94" t="str">
        <f t="shared" si="2"/>
        <v/>
      </c>
      <c r="F135" s="95"/>
      <c r="G135" s="93"/>
    </row>
    <row r="136" spans="2:7" x14ac:dyDescent="0.2">
      <c r="B136" s="92"/>
      <c r="C136" s="93"/>
      <c r="D136" s="93"/>
      <c r="E136" s="94" t="str">
        <f t="shared" si="2"/>
        <v/>
      </c>
      <c r="F136" s="95"/>
      <c r="G136" s="93"/>
    </row>
    <row r="137" spans="2:7" x14ac:dyDescent="0.2">
      <c r="B137" s="92"/>
      <c r="C137" s="93"/>
      <c r="D137" s="93"/>
      <c r="E137" s="94" t="str">
        <f t="shared" si="2"/>
        <v/>
      </c>
      <c r="F137" s="95"/>
      <c r="G137" s="93"/>
    </row>
    <row r="138" spans="2:7" x14ac:dyDescent="0.2">
      <c r="B138" s="92"/>
      <c r="C138" s="93"/>
      <c r="D138" s="93"/>
      <c r="E138" s="94" t="str">
        <f t="shared" si="2"/>
        <v/>
      </c>
      <c r="F138" s="95"/>
      <c r="G138" s="93"/>
    </row>
    <row r="139" spans="2:7" x14ac:dyDescent="0.2">
      <c r="B139" s="92"/>
      <c r="C139" s="93"/>
      <c r="D139" s="93"/>
      <c r="E139" s="94" t="str">
        <f t="shared" si="2"/>
        <v/>
      </c>
      <c r="F139" s="95"/>
      <c r="G139" s="93"/>
    </row>
    <row r="140" spans="2:7" x14ac:dyDescent="0.2">
      <c r="B140" s="92"/>
      <c r="C140" s="93"/>
      <c r="D140" s="93"/>
      <c r="E140" s="94" t="str">
        <f t="shared" si="2"/>
        <v/>
      </c>
      <c r="F140" s="95"/>
      <c r="G140" s="93"/>
    </row>
    <row r="141" spans="2:7" x14ac:dyDescent="0.2">
      <c r="B141" s="92"/>
      <c r="C141" s="93"/>
      <c r="D141" s="93"/>
      <c r="E141" s="94" t="str">
        <f t="shared" si="2"/>
        <v/>
      </c>
      <c r="F141" s="95"/>
      <c r="G141" s="93"/>
    </row>
    <row r="142" spans="2:7" x14ac:dyDescent="0.2">
      <c r="B142" s="92"/>
      <c r="C142" s="93"/>
      <c r="D142" s="93"/>
      <c r="E142" s="94" t="str">
        <f t="shared" si="2"/>
        <v/>
      </c>
      <c r="F142" s="95"/>
      <c r="G142" s="93"/>
    </row>
    <row r="143" spans="2:7" x14ac:dyDescent="0.2">
      <c r="B143" s="92"/>
      <c r="C143" s="93"/>
      <c r="D143" s="93"/>
      <c r="E143" s="94" t="str">
        <f t="shared" si="2"/>
        <v/>
      </c>
      <c r="F143" s="95"/>
      <c r="G143" s="93"/>
    </row>
    <row r="144" spans="2:7" x14ac:dyDescent="0.2">
      <c r="B144" s="92"/>
      <c r="C144" s="93"/>
      <c r="D144" s="93"/>
      <c r="E144" s="94" t="str">
        <f t="shared" si="2"/>
        <v/>
      </c>
      <c r="F144" s="95"/>
      <c r="G144" s="93"/>
    </row>
    <row r="145" spans="2:7" x14ac:dyDescent="0.2">
      <c r="B145" s="92"/>
      <c r="C145" s="93"/>
      <c r="D145" s="93"/>
      <c r="E145" s="94" t="str">
        <f t="shared" si="2"/>
        <v/>
      </c>
      <c r="F145" s="95"/>
      <c r="G145" s="93"/>
    </row>
    <row r="146" spans="2:7" x14ac:dyDescent="0.2">
      <c r="B146" s="92"/>
      <c r="C146" s="93"/>
      <c r="D146" s="93"/>
      <c r="E146" s="94" t="str">
        <f t="shared" si="2"/>
        <v/>
      </c>
      <c r="F146" s="95"/>
      <c r="G146" s="93"/>
    </row>
    <row r="147" spans="2:7" x14ac:dyDescent="0.2">
      <c r="B147" s="92"/>
      <c r="C147" s="93"/>
      <c r="D147" s="93"/>
      <c r="E147" s="94" t="str">
        <f t="shared" si="2"/>
        <v/>
      </c>
      <c r="F147" s="95"/>
      <c r="G147" s="93"/>
    </row>
    <row r="148" spans="2:7" x14ac:dyDescent="0.2">
      <c r="B148" s="92"/>
      <c r="C148" s="93"/>
      <c r="D148" s="93"/>
      <c r="E148" s="94" t="str">
        <f t="shared" si="2"/>
        <v/>
      </c>
      <c r="F148" s="95"/>
      <c r="G148" s="93"/>
    </row>
    <row r="149" spans="2:7" x14ac:dyDescent="0.2">
      <c r="B149" s="92"/>
      <c r="C149" s="93"/>
      <c r="D149" s="93"/>
      <c r="E149" s="94" t="str">
        <f t="shared" si="2"/>
        <v/>
      </c>
      <c r="F149" s="95"/>
      <c r="G149" s="93"/>
    </row>
    <row r="150" spans="2:7" x14ac:dyDescent="0.2">
      <c r="B150" s="92"/>
      <c r="C150" s="93"/>
      <c r="D150" s="93"/>
      <c r="E150" s="94" t="str">
        <f t="shared" si="2"/>
        <v/>
      </c>
      <c r="F150" s="95"/>
      <c r="G150" s="93"/>
    </row>
    <row r="151" spans="2:7" x14ac:dyDescent="0.2">
      <c r="B151" s="92"/>
      <c r="C151" s="93"/>
      <c r="D151" s="93"/>
      <c r="E151" s="94" t="str">
        <f t="shared" si="2"/>
        <v/>
      </c>
      <c r="F151" s="95"/>
      <c r="G151" s="93"/>
    </row>
    <row r="152" spans="2:7" x14ac:dyDescent="0.2">
      <c r="B152" s="92"/>
      <c r="C152" s="93"/>
      <c r="D152" s="93"/>
      <c r="E152" s="94" t="str">
        <f t="shared" si="2"/>
        <v/>
      </c>
      <c r="F152" s="95"/>
      <c r="G152" s="93"/>
    </row>
    <row r="153" spans="2:7" x14ac:dyDescent="0.2">
      <c r="B153" s="92"/>
      <c r="C153" s="93"/>
      <c r="D153" s="93"/>
      <c r="E153" s="94" t="str">
        <f t="shared" si="2"/>
        <v/>
      </c>
      <c r="F153" s="95"/>
      <c r="G153" s="93"/>
    </row>
    <row r="154" spans="2:7" x14ac:dyDescent="0.2">
      <c r="B154" s="92"/>
      <c r="C154" s="93"/>
      <c r="D154" s="93"/>
      <c r="E154" s="94" t="str">
        <f t="shared" si="2"/>
        <v/>
      </c>
      <c r="F154" s="95"/>
      <c r="G154" s="93"/>
    </row>
    <row r="155" spans="2:7" x14ac:dyDescent="0.2">
      <c r="B155" s="92"/>
      <c r="C155" s="93"/>
      <c r="D155" s="93"/>
      <c r="E155" s="94" t="str">
        <f t="shared" si="2"/>
        <v/>
      </c>
      <c r="F155" s="95"/>
      <c r="G155" s="93"/>
    </row>
    <row r="156" spans="2:7" x14ac:dyDescent="0.2">
      <c r="B156" s="92"/>
      <c r="C156" s="93"/>
      <c r="D156" s="93"/>
      <c r="E156" s="94" t="str">
        <f t="shared" si="2"/>
        <v/>
      </c>
      <c r="F156" s="95"/>
      <c r="G156" s="93"/>
    </row>
    <row r="157" spans="2:7" x14ac:dyDescent="0.2">
      <c r="B157" s="92"/>
      <c r="C157" s="93"/>
      <c r="D157" s="93"/>
      <c r="E157" s="94" t="str">
        <f t="shared" si="2"/>
        <v/>
      </c>
      <c r="F157" s="95"/>
      <c r="G157" s="93"/>
    </row>
    <row r="158" spans="2:7" x14ac:dyDescent="0.2">
      <c r="B158" s="92"/>
      <c r="C158" s="93"/>
      <c r="D158" s="93"/>
      <c r="E158" s="94" t="str">
        <f t="shared" si="2"/>
        <v/>
      </c>
      <c r="F158" s="95"/>
      <c r="G158" s="93"/>
    </row>
    <row r="159" spans="2:7" x14ac:dyDescent="0.2">
      <c r="B159" s="92"/>
      <c r="C159" s="93"/>
      <c r="D159" s="93"/>
      <c r="E159" s="94" t="str">
        <f t="shared" si="2"/>
        <v/>
      </c>
      <c r="F159" s="95"/>
      <c r="G159" s="93"/>
    </row>
    <row r="160" spans="2:7" x14ac:dyDescent="0.2">
      <c r="B160" s="92"/>
      <c r="C160" s="93"/>
      <c r="D160" s="93"/>
      <c r="E160" s="94" t="str">
        <f t="shared" si="2"/>
        <v/>
      </c>
      <c r="F160" s="95"/>
      <c r="G160" s="93"/>
    </row>
    <row r="161" spans="2:7" x14ac:dyDescent="0.2">
      <c r="B161" s="92"/>
      <c r="C161" s="93"/>
      <c r="D161" s="93"/>
      <c r="E161" s="94" t="str">
        <f t="shared" si="2"/>
        <v/>
      </c>
      <c r="F161" s="95"/>
      <c r="G161" s="93"/>
    </row>
    <row r="162" spans="2:7" x14ac:dyDescent="0.2">
      <c r="B162" s="92"/>
      <c r="C162" s="93"/>
      <c r="D162" s="93"/>
      <c r="E162" s="94" t="str">
        <f t="shared" si="2"/>
        <v/>
      </c>
      <c r="F162" s="95"/>
      <c r="G162" s="93"/>
    </row>
    <row r="163" spans="2:7" x14ac:dyDescent="0.2">
      <c r="B163" s="92"/>
      <c r="C163" s="93"/>
      <c r="D163" s="93"/>
      <c r="E163" s="94" t="str">
        <f t="shared" si="2"/>
        <v/>
      </c>
      <c r="F163" s="95"/>
      <c r="G163" s="93"/>
    </row>
    <row r="164" spans="2:7" x14ac:dyDescent="0.2">
      <c r="B164" s="92"/>
      <c r="C164" s="93"/>
      <c r="D164" s="93"/>
      <c r="E164" s="94" t="str">
        <f t="shared" si="2"/>
        <v/>
      </c>
      <c r="F164" s="95"/>
      <c r="G164" s="93"/>
    </row>
    <row r="165" spans="2:7" x14ac:dyDescent="0.2">
      <c r="B165" s="92"/>
      <c r="C165" s="93"/>
      <c r="D165" s="93"/>
      <c r="E165" s="94" t="str">
        <f t="shared" si="2"/>
        <v/>
      </c>
      <c r="F165" s="95"/>
      <c r="G165" s="93"/>
    </row>
    <row r="166" spans="2:7" x14ac:dyDescent="0.2">
      <c r="B166" s="92"/>
      <c r="C166" s="93"/>
      <c r="D166" s="93"/>
      <c r="E166" s="94" t="str">
        <f t="shared" si="2"/>
        <v/>
      </c>
      <c r="F166" s="95"/>
      <c r="G166" s="93"/>
    </row>
    <row r="167" spans="2:7" x14ac:dyDescent="0.2">
      <c r="B167" s="92"/>
      <c r="C167" s="93"/>
      <c r="D167" s="93"/>
      <c r="E167" s="94" t="str">
        <f t="shared" si="2"/>
        <v/>
      </c>
      <c r="F167" s="95"/>
      <c r="G167" s="93"/>
    </row>
    <row r="168" spans="2:7" x14ac:dyDescent="0.2">
      <c r="B168" s="92"/>
      <c r="C168" s="93"/>
      <c r="D168" s="93"/>
      <c r="E168" s="94" t="str">
        <f t="shared" si="2"/>
        <v/>
      </c>
      <c r="F168" s="95"/>
      <c r="G168" s="93"/>
    </row>
    <row r="169" spans="2:7" x14ac:dyDescent="0.2">
      <c r="B169" s="92"/>
      <c r="C169" s="93"/>
      <c r="D169" s="93"/>
      <c r="E169" s="94" t="str">
        <f t="shared" si="2"/>
        <v/>
      </c>
      <c r="F169" s="95"/>
      <c r="G169" s="93"/>
    </row>
    <row r="170" spans="2:7" x14ac:dyDescent="0.2">
      <c r="B170" s="92"/>
      <c r="C170" s="93"/>
      <c r="D170" s="93"/>
      <c r="E170" s="94" t="str">
        <f t="shared" si="2"/>
        <v/>
      </c>
      <c r="F170" s="95"/>
      <c r="G170" s="93"/>
    </row>
    <row r="171" spans="2:7" x14ac:dyDescent="0.2">
      <c r="B171" s="92"/>
      <c r="C171" s="93"/>
      <c r="D171" s="93"/>
      <c r="E171" s="94" t="str">
        <f t="shared" si="2"/>
        <v/>
      </c>
      <c r="F171" s="95"/>
      <c r="G171" s="93"/>
    </row>
    <row r="172" spans="2:7" x14ac:dyDescent="0.2">
      <c r="B172" s="92"/>
      <c r="C172" s="93"/>
      <c r="D172" s="93"/>
      <c r="E172" s="94" t="str">
        <f t="shared" si="2"/>
        <v/>
      </c>
      <c r="F172" s="95"/>
      <c r="G172" s="93"/>
    </row>
    <row r="173" spans="2:7" x14ac:dyDescent="0.2">
      <c r="B173" s="92"/>
      <c r="C173" s="93"/>
      <c r="D173" s="93"/>
      <c r="E173" s="94" t="str">
        <f t="shared" si="2"/>
        <v/>
      </c>
      <c r="F173" s="95"/>
      <c r="G173" s="93"/>
    </row>
    <row r="174" spans="2:7" x14ac:dyDescent="0.2">
      <c r="B174" s="92"/>
      <c r="C174" s="93"/>
      <c r="D174" s="93"/>
      <c r="E174" s="94" t="str">
        <f t="shared" si="2"/>
        <v/>
      </c>
      <c r="F174" s="95"/>
      <c r="G174" s="93"/>
    </row>
    <row r="175" spans="2:7" x14ac:dyDescent="0.2">
      <c r="B175" s="92"/>
      <c r="C175" s="93"/>
      <c r="D175" s="93"/>
      <c r="E175" s="94" t="str">
        <f t="shared" si="2"/>
        <v/>
      </c>
      <c r="F175" s="95"/>
      <c r="G175" s="93"/>
    </row>
    <row r="176" spans="2:7" x14ac:dyDescent="0.2">
      <c r="B176" s="92"/>
      <c r="C176" s="93"/>
      <c r="D176" s="93"/>
      <c r="E176" s="94" t="str">
        <f t="shared" si="2"/>
        <v/>
      </c>
      <c r="F176" s="95"/>
      <c r="G176" s="93"/>
    </row>
    <row r="177" spans="2:7" x14ac:dyDescent="0.2">
      <c r="B177" s="92"/>
      <c r="C177" s="93"/>
      <c r="D177" s="93"/>
      <c r="E177" s="94" t="str">
        <f t="shared" si="2"/>
        <v/>
      </c>
      <c r="F177" s="95"/>
      <c r="G177" s="93"/>
    </row>
    <row r="178" spans="2:7" x14ac:dyDescent="0.2">
      <c r="B178" s="92"/>
      <c r="C178" s="93"/>
      <c r="D178" s="93"/>
      <c r="E178" s="94" t="str">
        <f t="shared" si="2"/>
        <v/>
      </c>
      <c r="F178" s="95"/>
      <c r="G178" s="93"/>
    </row>
    <row r="179" spans="2:7" x14ac:dyDescent="0.2">
      <c r="B179" s="92"/>
      <c r="C179" s="93"/>
      <c r="D179" s="93"/>
      <c r="E179" s="94" t="str">
        <f t="shared" si="2"/>
        <v/>
      </c>
      <c r="F179" s="95"/>
      <c r="G179" s="93"/>
    </row>
    <row r="180" spans="2:7" x14ac:dyDescent="0.2">
      <c r="B180" s="92"/>
      <c r="C180" s="93"/>
      <c r="D180" s="93"/>
      <c r="E180" s="94" t="str">
        <f t="shared" si="2"/>
        <v/>
      </c>
      <c r="F180" s="95"/>
      <c r="G180" s="93"/>
    </row>
    <row r="181" spans="2:7" x14ac:dyDescent="0.2">
      <c r="B181" s="92"/>
      <c r="C181" s="93"/>
      <c r="D181" s="93"/>
      <c r="E181" s="94" t="str">
        <f t="shared" si="2"/>
        <v/>
      </c>
      <c r="F181" s="95"/>
      <c r="G181" s="93"/>
    </row>
    <row r="182" spans="2:7" x14ac:dyDescent="0.2">
      <c r="B182" s="92"/>
      <c r="C182" s="93"/>
      <c r="D182" s="93"/>
      <c r="E182" s="94" t="str">
        <f t="shared" si="2"/>
        <v/>
      </c>
      <c r="F182" s="95"/>
      <c r="G182" s="93"/>
    </row>
    <row r="183" spans="2:7" x14ac:dyDescent="0.2">
      <c r="B183" s="92"/>
      <c r="C183" s="93"/>
      <c r="D183" s="93"/>
      <c r="E183" s="94" t="str">
        <f t="shared" si="2"/>
        <v/>
      </c>
      <c r="F183" s="95"/>
      <c r="G183" s="93"/>
    </row>
    <row r="184" spans="2:7" x14ac:dyDescent="0.2">
      <c r="B184" s="92"/>
      <c r="C184" s="93"/>
      <c r="D184" s="93"/>
      <c r="E184" s="94" t="str">
        <f t="shared" si="2"/>
        <v/>
      </c>
      <c r="F184" s="95"/>
      <c r="G184" s="93"/>
    </row>
    <row r="185" spans="2:7" x14ac:dyDescent="0.2">
      <c r="B185" s="92"/>
      <c r="C185" s="93"/>
      <c r="D185" s="93"/>
      <c r="E185" s="94" t="str">
        <f t="shared" si="2"/>
        <v/>
      </c>
      <c r="F185" s="95"/>
      <c r="G185" s="93"/>
    </row>
    <row r="186" spans="2:7" x14ac:dyDescent="0.2">
      <c r="B186" s="92"/>
      <c r="C186" s="93"/>
      <c r="D186" s="93"/>
      <c r="E186" s="94" t="str">
        <f t="shared" si="2"/>
        <v/>
      </c>
      <c r="F186" s="95"/>
      <c r="G186" s="93"/>
    </row>
    <row r="187" spans="2:7" x14ac:dyDescent="0.2">
      <c r="B187" s="92"/>
      <c r="C187" s="93"/>
      <c r="D187" s="93"/>
      <c r="E187" s="94" t="str">
        <f t="shared" si="2"/>
        <v/>
      </c>
      <c r="F187" s="95"/>
      <c r="G187" s="93"/>
    </row>
    <row r="188" spans="2:7" x14ac:dyDescent="0.2">
      <c r="B188" s="92"/>
      <c r="C188" s="93"/>
      <c r="D188" s="93"/>
      <c r="E188" s="94" t="str">
        <f t="shared" si="2"/>
        <v/>
      </c>
      <c r="F188" s="95"/>
      <c r="G188" s="93"/>
    </row>
    <row r="189" spans="2:7" x14ac:dyDescent="0.2">
      <c r="B189" s="92"/>
      <c r="C189" s="93"/>
      <c r="D189" s="93"/>
      <c r="E189" s="94" t="str">
        <f t="shared" si="2"/>
        <v/>
      </c>
      <c r="F189" s="95"/>
      <c r="G189" s="93"/>
    </row>
    <row r="190" spans="2:7" x14ac:dyDescent="0.2">
      <c r="B190" s="92"/>
      <c r="C190" s="93"/>
      <c r="D190" s="93"/>
      <c r="E190" s="94" t="str">
        <f t="shared" si="2"/>
        <v/>
      </c>
      <c r="F190" s="95"/>
      <c r="G190" s="93"/>
    </row>
    <row r="191" spans="2:7" x14ac:dyDescent="0.2">
      <c r="B191" s="92"/>
      <c r="C191" s="93"/>
      <c r="D191" s="93"/>
      <c r="E191" s="94" t="str">
        <f t="shared" si="2"/>
        <v/>
      </c>
      <c r="F191" s="95"/>
      <c r="G191" s="93"/>
    </row>
    <row r="192" spans="2:7" x14ac:dyDescent="0.2">
      <c r="B192" s="92"/>
      <c r="C192" s="93"/>
      <c r="D192" s="93"/>
      <c r="E192" s="94" t="str">
        <f t="shared" si="2"/>
        <v/>
      </c>
      <c r="F192" s="95"/>
      <c r="G192" s="93"/>
    </row>
    <row r="193" spans="2:7" x14ac:dyDescent="0.2">
      <c r="B193" s="92"/>
      <c r="C193" s="93"/>
      <c r="D193" s="93"/>
      <c r="E193" s="94" t="str">
        <f t="shared" si="2"/>
        <v/>
      </c>
      <c r="F193" s="95"/>
      <c r="G193" s="93"/>
    </row>
    <row r="194" spans="2:7" x14ac:dyDescent="0.2">
      <c r="B194" s="92"/>
      <c r="C194" s="93"/>
      <c r="D194" s="93"/>
      <c r="E194" s="94" t="str">
        <f t="shared" si="2"/>
        <v/>
      </c>
      <c r="F194" s="95"/>
      <c r="G194" s="93"/>
    </row>
    <row r="195" spans="2:7" x14ac:dyDescent="0.2">
      <c r="B195" s="92"/>
      <c r="C195" s="93"/>
      <c r="D195" s="93"/>
      <c r="E195" s="94" t="str">
        <f t="shared" si="2"/>
        <v/>
      </c>
      <c r="F195" s="95"/>
      <c r="G195" s="93"/>
    </row>
    <row r="196" spans="2:7" x14ac:dyDescent="0.2">
      <c r="B196" s="92"/>
      <c r="C196" s="93"/>
      <c r="D196" s="93"/>
      <c r="E196" s="94" t="str">
        <f t="shared" si="2"/>
        <v/>
      </c>
      <c r="F196" s="95"/>
      <c r="G196" s="93"/>
    </row>
    <row r="197" spans="2:7" x14ac:dyDescent="0.2">
      <c r="B197" s="92"/>
      <c r="C197" s="93"/>
      <c r="D197" s="93"/>
      <c r="E197" s="94" t="str">
        <f t="shared" si="2"/>
        <v/>
      </c>
      <c r="F197" s="95"/>
      <c r="G197" s="93"/>
    </row>
    <row r="198" spans="2:7" x14ac:dyDescent="0.2">
      <c r="B198" s="92"/>
      <c r="C198" s="93"/>
      <c r="D198" s="93"/>
      <c r="E198" s="94" t="str">
        <f t="shared" ref="E198:E261" si="3">IF(C198&lt;&gt;"",D198-C198,"")</f>
        <v/>
      </c>
      <c r="F198" s="95"/>
      <c r="G198" s="93"/>
    </row>
    <row r="199" spans="2:7" x14ac:dyDescent="0.2">
      <c r="B199" s="92"/>
      <c r="C199" s="93"/>
      <c r="D199" s="93"/>
      <c r="E199" s="94" t="str">
        <f t="shared" si="3"/>
        <v/>
      </c>
      <c r="F199" s="95"/>
      <c r="G199" s="93"/>
    </row>
    <row r="200" spans="2:7" x14ac:dyDescent="0.2">
      <c r="B200" s="92"/>
      <c r="C200" s="93"/>
      <c r="D200" s="93"/>
      <c r="E200" s="94" t="str">
        <f t="shared" si="3"/>
        <v/>
      </c>
      <c r="F200" s="95"/>
      <c r="G200" s="93"/>
    </row>
    <row r="201" spans="2:7" x14ac:dyDescent="0.2">
      <c r="B201" s="92"/>
      <c r="C201" s="93"/>
      <c r="D201" s="93"/>
      <c r="E201" s="94" t="str">
        <f t="shared" si="3"/>
        <v/>
      </c>
      <c r="F201" s="95"/>
      <c r="G201" s="93"/>
    </row>
    <row r="202" spans="2:7" x14ac:dyDescent="0.2">
      <c r="B202" s="92"/>
      <c r="C202" s="93"/>
      <c r="D202" s="93"/>
      <c r="E202" s="94" t="str">
        <f t="shared" si="3"/>
        <v/>
      </c>
      <c r="F202" s="95"/>
      <c r="G202" s="93"/>
    </row>
    <row r="203" spans="2:7" x14ac:dyDescent="0.2">
      <c r="B203" s="92"/>
      <c r="C203" s="93"/>
      <c r="D203" s="93"/>
      <c r="E203" s="94" t="str">
        <f t="shared" si="3"/>
        <v/>
      </c>
      <c r="F203" s="95"/>
      <c r="G203" s="93"/>
    </row>
    <row r="204" spans="2:7" x14ac:dyDescent="0.2">
      <c r="B204" s="92"/>
      <c r="C204" s="93"/>
      <c r="D204" s="93"/>
      <c r="E204" s="94" t="str">
        <f t="shared" si="3"/>
        <v/>
      </c>
      <c r="F204" s="95"/>
      <c r="G204" s="93"/>
    </row>
    <row r="205" spans="2:7" x14ac:dyDescent="0.2">
      <c r="B205" s="92"/>
      <c r="C205" s="93"/>
      <c r="D205" s="93"/>
      <c r="E205" s="94" t="str">
        <f t="shared" si="3"/>
        <v/>
      </c>
      <c r="F205" s="95"/>
      <c r="G205" s="93"/>
    </row>
    <row r="206" spans="2:7" x14ac:dyDescent="0.2">
      <c r="B206" s="92"/>
      <c r="C206" s="93"/>
      <c r="D206" s="93"/>
      <c r="E206" s="94" t="str">
        <f t="shared" si="3"/>
        <v/>
      </c>
      <c r="F206" s="95"/>
      <c r="G206" s="93"/>
    </row>
    <row r="207" spans="2:7" x14ac:dyDescent="0.2">
      <c r="B207" s="92"/>
      <c r="C207" s="93"/>
      <c r="D207" s="93"/>
      <c r="E207" s="94" t="str">
        <f t="shared" si="3"/>
        <v/>
      </c>
      <c r="F207" s="95"/>
      <c r="G207" s="93"/>
    </row>
    <row r="208" spans="2:7" x14ac:dyDescent="0.2">
      <c r="B208" s="92"/>
      <c r="C208" s="93"/>
      <c r="D208" s="93"/>
      <c r="E208" s="94" t="str">
        <f t="shared" si="3"/>
        <v/>
      </c>
      <c r="F208" s="95"/>
      <c r="G208" s="93"/>
    </row>
    <row r="209" spans="2:7" x14ac:dyDescent="0.2">
      <c r="B209" s="92"/>
      <c r="C209" s="93"/>
      <c r="D209" s="93"/>
      <c r="E209" s="94" t="str">
        <f t="shared" si="3"/>
        <v/>
      </c>
      <c r="F209" s="95"/>
      <c r="G209" s="93"/>
    </row>
    <row r="210" spans="2:7" x14ac:dyDescent="0.2">
      <c r="B210" s="92"/>
      <c r="C210" s="93"/>
      <c r="D210" s="93"/>
      <c r="E210" s="94" t="str">
        <f t="shared" si="3"/>
        <v/>
      </c>
      <c r="F210" s="95"/>
      <c r="G210" s="93"/>
    </row>
    <row r="211" spans="2:7" x14ac:dyDescent="0.2">
      <c r="B211" s="92"/>
      <c r="C211" s="93"/>
      <c r="D211" s="93"/>
      <c r="E211" s="94" t="str">
        <f t="shared" si="3"/>
        <v/>
      </c>
      <c r="F211" s="95"/>
      <c r="G211" s="93"/>
    </row>
    <row r="212" spans="2:7" x14ac:dyDescent="0.2">
      <c r="B212" s="92"/>
      <c r="C212" s="93"/>
      <c r="D212" s="93"/>
      <c r="E212" s="94" t="str">
        <f t="shared" si="3"/>
        <v/>
      </c>
      <c r="F212" s="95"/>
      <c r="G212" s="93"/>
    </row>
    <row r="213" spans="2:7" x14ac:dyDescent="0.2">
      <c r="B213" s="92"/>
      <c r="C213" s="93"/>
      <c r="D213" s="93"/>
      <c r="E213" s="94" t="str">
        <f t="shared" si="3"/>
        <v/>
      </c>
      <c r="F213" s="95"/>
      <c r="G213" s="93"/>
    </row>
    <row r="214" spans="2:7" x14ac:dyDescent="0.2">
      <c r="B214" s="92"/>
      <c r="C214" s="93"/>
      <c r="D214" s="93"/>
      <c r="E214" s="94" t="str">
        <f t="shared" si="3"/>
        <v/>
      </c>
      <c r="F214" s="95"/>
      <c r="G214" s="93"/>
    </row>
    <row r="215" spans="2:7" x14ac:dyDescent="0.2">
      <c r="B215" s="92"/>
      <c r="C215" s="93"/>
      <c r="D215" s="93"/>
      <c r="E215" s="94" t="str">
        <f t="shared" si="3"/>
        <v/>
      </c>
      <c r="F215" s="95"/>
      <c r="G215" s="93"/>
    </row>
    <row r="216" spans="2:7" x14ac:dyDescent="0.2">
      <c r="B216" s="92"/>
      <c r="C216" s="93"/>
      <c r="D216" s="93"/>
      <c r="E216" s="94" t="str">
        <f t="shared" si="3"/>
        <v/>
      </c>
      <c r="F216" s="95"/>
      <c r="G216" s="93"/>
    </row>
    <row r="217" spans="2:7" x14ac:dyDescent="0.2">
      <c r="B217" s="92"/>
      <c r="C217" s="93"/>
      <c r="D217" s="93"/>
      <c r="E217" s="94" t="str">
        <f t="shared" si="3"/>
        <v/>
      </c>
      <c r="F217" s="95"/>
      <c r="G217" s="93"/>
    </row>
    <row r="218" spans="2:7" x14ac:dyDescent="0.2">
      <c r="B218" s="92"/>
      <c r="C218" s="93"/>
      <c r="D218" s="93"/>
      <c r="E218" s="94" t="str">
        <f t="shared" si="3"/>
        <v/>
      </c>
      <c r="F218" s="95"/>
      <c r="G218" s="93"/>
    </row>
    <row r="219" spans="2:7" x14ac:dyDescent="0.2">
      <c r="B219" s="92"/>
      <c r="C219" s="93"/>
      <c r="D219" s="93"/>
      <c r="E219" s="94" t="str">
        <f t="shared" si="3"/>
        <v/>
      </c>
      <c r="F219" s="95"/>
      <c r="G219" s="93"/>
    </row>
    <row r="220" spans="2:7" x14ac:dyDescent="0.2">
      <c r="B220" s="92"/>
      <c r="C220" s="93"/>
      <c r="D220" s="93"/>
      <c r="E220" s="94" t="str">
        <f t="shared" si="3"/>
        <v/>
      </c>
      <c r="F220" s="95"/>
      <c r="G220" s="93"/>
    </row>
    <row r="221" spans="2:7" x14ac:dyDescent="0.2">
      <c r="B221" s="92"/>
      <c r="C221" s="93"/>
      <c r="D221" s="93"/>
      <c r="E221" s="94" t="str">
        <f t="shared" si="3"/>
        <v/>
      </c>
      <c r="F221" s="95"/>
      <c r="G221" s="93"/>
    </row>
    <row r="222" spans="2:7" x14ac:dyDescent="0.2">
      <c r="B222" s="92"/>
      <c r="C222" s="93"/>
      <c r="D222" s="93"/>
      <c r="E222" s="94" t="str">
        <f t="shared" si="3"/>
        <v/>
      </c>
      <c r="F222" s="95"/>
      <c r="G222" s="93"/>
    </row>
    <row r="223" spans="2:7" x14ac:dyDescent="0.2">
      <c r="B223" s="92"/>
      <c r="C223" s="93"/>
      <c r="D223" s="93"/>
      <c r="E223" s="94" t="str">
        <f t="shared" si="3"/>
        <v/>
      </c>
      <c r="F223" s="95"/>
      <c r="G223" s="93"/>
    </row>
    <row r="224" spans="2:7" x14ac:dyDescent="0.2">
      <c r="B224" s="92"/>
      <c r="C224" s="93"/>
      <c r="D224" s="93"/>
      <c r="E224" s="94" t="str">
        <f t="shared" si="3"/>
        <v/>
      </c>
      <c r="F224" s="95"/>
      <c r="G224" s="93"/>
    </row>
    <row r="225" spans="2:7" x14ac:dyDescent="0.2">
      <c r="B225" s="92"/>
      <c r="C225" s="93"/>
      <c r="D225" s="93"/>
      <c r="E225" s="94" t="str">
        <f t="shared" si="3"/>
        <v/>
      </c>
      <c r="F225" s="95"/>
      <c r="G225" s="93"/>
    </row>
    <row r="226" spans="2:7" x14ac:dyDescent="0.2">
      <c r="B226" s="92"/>
      <c r="C226" s="93"/>
      <c r="D226" s="93"/>
      <c r="E226" s="94" t="str">
        <f t="shared" si="3"/>
        <v/>
      </c>
      <c r="F226" s="95"/>
      <c r="G226" s="93"/>
    </row>
    <row r="227" spans="2:7" x14ac:dyDescent="0.2">
      <c r="B227" s="92"/>
      <c r="C227" s="93"/>
      <c r="D227" s="93"/>
      <c r="E227" s="94" t="str">
        <f t="shared" si="3"/>
        <v/>
      </c>
      <c r="F227" s="95"/>
      <c r="G227" s="93"/>
    </row>
    <row r="228" spans="2:7" x14ac:dyDescent="0.2">
      <c r="B228" s="92"/>
      <c r="C228" s="93"/>
      <c r="D228" s="93"/>
      <c r="E228" s="94" t="str">
        <f t="shared" si="3"/>
        <v/>
      </c>
      <c r="F228" s="95"/>
      <c r="G228" s="93"/>
    </row>
    <row r="229" spans="2:7" x14ac:dyDescent="0.2">
      <c r="B229" s="92"/>
      <c r="C229" s="93"/>
      <c r="D229" s="93"/>
      <c r="E229" s="94" t="str">
        <f t="shared" si="3"/>
        <v/>
      </c>
      <c r="F229" s="95"/>
      <c r="G229" s="93"/>
    </row>
    <row r="230" spans="2:7" x14ac:dyDescent="0.2">
      <c r="B230" s="92"/>
      <c r="C230" s="93"/>
      <c r="D230" s="93"/>
      <c r="E230" s="94" t="str">
        <f t="shared" si="3"/>
        <v/>
      </c>
      <c r="F230" s="95"/>
      <c r="G230" s="93"/>
    </row>
    <row r="231" spans="2:7" x14ac:dyDescent="0.2">
      <c r="B231" s="92"/>
      <c r="C231" s="93"/>
      <c r="D231" s="93"/>
      <c r="E231" s="94" t="str">
        <f t="shared" si="3"/>
        <v/>
      </c>
      <c r="F231" s="95"/>
      <c r="G231" s="93"/>
    </row>
    <row r="232" spans="2:7" x14ac:dyDescent="0.2">
      <c r="B232" s="92"/>
      <c r="C232" s="93"/>
      <c r="D232" s="93"/>
      <c r="E232" s="94" t="str">
        <f t="shared" si="3"/>
        <v/>
      </c>
      <c r="F232" s="95"/>
      <c r="G232" s="93"/>
    </row>
    <row r="233" spans="2:7" x14ac:dyDescent="0.2">
      <c r="B233" s="92"/>
      <c r="C233" s="93"/>
      <c r="D233" s="93"/>
      <c r="E233" s="94" t="str">
        <f t="shared" si="3"/>
        <v/>
      </c>
      <c r="F233" s="95"/>
      <c r="G233" s="93"/>
    </row>
    <row r="234" spans="2:7" x14ac:dyDescent="0.2">
      <c r="B234" s="92"/>
      <c r="C234" s="93"/>
      <c r="D234" s="93"/>
      <c r="E234" s="94" t="str">
        <f t="shared" si="3"/>
        <v/>
      </c>
      <c r="F234" s="95"/>
      <c r="G234" s="93"/>
    </row>
    <row r="235" spans="2:7" x14ac:dyDescent="0.2">
      <c r="B235" s="92"/>
      <c r="C235" s="93"/>
      <c r="D235" s="93"/>
      <c r="E235" s="94" t="str">
        <f t="shared" si="3"/>
        <v/>
      </c>
      <c r="F235" s="95"/>
      <c r="G235" s="93"/>
    </row>
    <row r="236" spans="2:7" x14ac:dyDescent="0.2">
      <c r="B236" s="92"/>
      <c r="C236" s="93"/>
      <c r="D236" s="93"/>
      <c r="E236" s="94" t="str">
        <f t="shared" si="3"/>
        <v/>
      </c>
      <c r="F236" s="95"/>
      <c r="G236" s="93"/>
    </row>
    <row r="237" spans="2:7" x14ac:dyDescent="0.2">
      <c r="B237" s="92"/>
      <c r="C237" s="93"/>
      <c r="D237" s="93"/>
      <c r="E237" s="94" t="str">
        <f t="shared" si="3"/>
        <v/>
      </c>
      <c r="F237" s="95"/>
      <c r="G237" s="93"/>
    </row>
    <row r="238" spans="2:7" x14ac:dyDescent="0.2">
      <c r="B238" s="92"/>
      <c r="C238" s="93"/>
      <c r="D238" s="93"/>
      <c r="E238" s="94" t="str">
        <f t="shared" si="3"/>
        <v/>
      </c>
      <c r="F238" s="95"/>
      <c r="G238" s="93"/>
    </row>
    <row r="239" spans="2:7" x14ac:dyDescent="0.2">
      <c r="B239" s="92"/>
      <c r="C239" s="93"/>
      <c r="D239" s="93"/>
      <c r="E239" s="94" t="str">
        <f t="shared" si="3"/>
        <v/>
      </c>
      <c r="F239" s="95"/>
      <c r="G239" s="93"/>
    </row>
    <row r="240" spans="2:7" x14ac:dyDescent="0.2">
      <c r="B240" s="92"/>
      <c r="C240" s="93"/>
      <c r="D240" s="93"/>
      <c r="E240" s="94" t="str">
        <f t="shared" si="3"/>
        <v/>
      </c>
      <c r="F240" s="95"/>
      <c r="G240" s="93"/>
    </row>
    <row r="241" spans="2:7" x14ac:dyDescent="0.2">
      <c r="B241" s="92"/>
      <c r="C241" s="93"/>
      <c r="D241" s="93"/>
      <c r="E241" s="94" t="str">
        <f t="shared" si="3"/>
        <v/>
      </c>
      <c r="F241" s="95"/>
      <c r="G241" s="93"/>
    </row>
    <row r="242" spans="2:7" x14ac:dyDescent="0.2">
      <c r="B242" s="92"/>
      <c r="C242" s="93"/>
      <c r="D242" s="93"/>
      <c r="E242" s="94" t="str">
        <f t="shared" si="3"/>
        <v/>
      </c>
      <c r="F242" s="95"/>
      <c r="G242" s="93"/>
    </row>
    <row r="243" spans="2:7" x14ac:dyDescent="0.2">
      <c r="B243" s="92"/>
      <c r="C243" s="93"/>
      <c r="D243" s="93"/>
      <c r="E243" s="94" t="str">
        <f t="shared" si="3"/>
        <v/>
      </c>
      <c r="F243" s="95"/>
      <c r="G243" s="93"/>
    </row>
    <row r="244" spans="2:7" x14ac:dyDescent="0.2">
      <c r="B244" s="92"/>
      <c r="C244" s="93"/>
      <c r="D244" s="93"/>
      <c r="E244" s="94" t="str">
        <f t="shared" si="3"/>
        <v/>
      </c>
      <c r="F244" s="95"/>
      <c r="G244" s="93"/>
    </row>
    <row r="245" spans="2:7" x14ac:dyDescent="0.2">
      <c r="B245" s="92"/>
      <c r="C245" s="93"/>
      <c r="D245" s="93"/>
      <c r="E245" s="94" t="str">
        <f t="shared" si="3"/>
        <v/>
      </c>
      <c r="F245" s="95"/>
      <c r="G245" s="93"/>
    </row>
    <row r="246" spans="2:7" x14ac:dyDescent="0.2">
      <c r="B246" s="92"/>
      <c r="C246" s="93"/>
      <c r="D246" s="93"/>
      <c r="E246" s="94" t="str">
        <f t="shared" si="3"/>
        <v/>
      </c>
      <c r="F246" s="95"/>
      <c r="G246" s="93"/>
    </row>
    <row r="247" spans="2:7" x14ac:dyDescent="0.2">
      <c r="B247" s="92"/>
      <c r="C247" s="93"/>
      <c r="D247" s="93"/>
      <c r="E247" s="94" t="str">
        <f t="shared" si="3"/>
        <v/>
      </c>
      <c r="F247" s="95"/>
      <c r="G247" s="93"/>
    </row>
    <row r="248" spans="2:7" x14ac:dyDescent="0.2">
      <c r="B248" s="92"/>
      <c r="C248" s="93"/>
      <c r="D248" s="93"/>
      <c r="E248" s="94" t="str">
        <f t="shared" si="3"/>
        <v/>
      </c>
      <c r="F248" s="95"/>
      <c r="G248" s="93"/>
    </row>
    <row r="249" spans="2:7" x14ac:dyDescent="0.2">
      <c r="B249" s="92"/>
      <c r="C249" s="93"/>
      <c r="D249" s="93"/>
      <c r="E249" s="94" t="str">
        <f t="shared" si="3"/>
        <v/>
      </c>
      <c r="F249" s="95"/>
      <c r="G249" s="93"/>
    </row>
    <row r="250" spans="2:7" x14ac:dyDescent="0.2">
      <c r="B250" s="92"/>
      <c r="C250" s="93"/>
      <c r="D250" s="93"/>
      <c r="E250" s="94" t="str">
        <f t="shared" si="3"/>
        <v/>
      </c>
      <c r="F250" s="95"/>
      <c r="G250" s="93"/>
    </row>
    <row r="251" spans="2:7" x14ac:dyDescent="0.2">
      <c r="B251" s="92"/>
      <c r="C251" s="93"/>
      <c r="D251" s="93"/>
      <c r="E251" s="94" t="str">
        <f t="shared" si="3"/>
        <v/>
      </c>
      <c r="F251" s="95"/>
      <c r="G251" s="93"/>
    </row>
    <row r="252" spans="2:7" x14ac:dyDescent="0.2">
      <c r="B252" s="92"/>
      <c r="C252" s="93"/>
      <c r="D252" s="93"/>
      <c r="E252" s="94" t="str">
        <f t="shared" si="3"/>
        <v/>
      </c>
      <c r="F252" s="95"/>
      <c r="G252" s="93"/>
    </row>
    <row r="253" spans="2:7" x14ac:dyDescent="0.2">
      <c r="B253" s="92"/>
      <c r="C253" s="93"/>
      <c r="D253" s="93"/>
      <c r="E253" s="94" t="str">
        <f t="shared" si="3"/>
        <v/>
      </c>
      <c r="F253" s="95"/>
      <c r="G253" s="93"/>
    </row>
    <row r="254" spans="2:7" x14ac:dyDescent="0.2">
      <c r="B254" s="92"/>
      <c r="C254" s="93"/>
      <c r="D254" s="93"/>
      <c r="E254" s="94" t="str">
        <f t="shared" si="3"/>
        <v/>
      </c>
      <c r="F254" s="95"/>
      <c r="G254" s="93"/>
    </row>
    <row r="255" spans="2:7" x14ac:dyDescent="0.2">
      <c r="B255" s="92"/>
      <c r="C255" s="93"/>
      <c r="D255" s="93"/>
      <c r="E255" s="94" t="str">
        <f t="shared" si="3"/>
        <v/>
      </c>
      <c r="F255" s="95"/>
      <c r="G255" s="93"/>
    </row>
    <row r="256" spans="2:7" x14ac:dyDescent="0.2">
      <c r="B256" s="92"/>
      <c r="C256" s="93"/>
      <c r="D256" s="93"/>
      <c r="E256" s="94" t="str">
        <f t="shared" si="3"/>
        <v/>
      </c>
      <c r="F256" s="95"/>
      <c r="G256" s="93"/>
    </row>
    <row r="257" spans="2:7" x14ac:dyDescent="0.2">
      <c r="B257" s="92"/>
      <c r="C257" s="93"/>
      <c r="D257" s="93"/>
      <c r="E257" s="94" t="str">
        <f t="shared" si="3"/>
        <v/>
      </c>
      <c r="F257" s="95"/>
      <c r="G257" s="93"/>
    </row>
    <row r="258" spans="2:7" x14ac:dyDescent="0.2">
      <c r="B258" s="92"/>
      <c r="C258" s="93"/>
      <c r="D258" s="93"/>
      <c r="E258" s="94" t="str">
        <f t="shared" si="3"/>
        <v/>
      </c>
      <c r="F258" s="95"/>
      <c r="G258" s="93"/>
    </row>
    <row r="259" spans="2:7" x14ac:dyDescent="0.2">
      <c r="B259" s="92"/>
      <c r="C259" s="93"/>
      <c r="D259" s="93"/>
      <c r="E259" s="94" t="str">
        <f t="shared" si="3"/>
        <v/>
      </c>
      <c r="F259" s="95"/>
      <c r="G259" s="93"/>
    </row>
    <row r="260" spans="2:7" x14ac:dyDescent="0.2">
      <c r="B260" s="92"/>
      <c r="C260" s="93"/>
      <c r="D260" s="93"/>
      <c r="E260" s="94" t="str">
        <f t="shared" si="3"/>
        <v/>
      </c>
      <c r="F260" s="95"/>
      <c r="G260" s="93"/>
    </row>
    <row r="261" spans="2:7" x14ac:dyDescent="0.2">
      <c r="B261" s="92"/>
      <c r="C261" s="93"/>
      <c r="D261" s="93"/>
      <c r="E261" s="94" t="str">
        <f t="shared" si="3"/>
        <v/>
      </c>
      <c r="F261" s="95"/>
      <c r="G261" s="93"/>
    </row>
    <row r="262" spans="2:7" x14ac:dyDescent="0.2">
      <c r="B262" s="92"/>
      <c r="C262" s="93"/>
      <c r="D262" s="93"/>
      <c r="E262" s="94" t="str">
        <f t="shared" ref="E262:E325" si="4">IF(C262&lt;&gt;"",D262-C262,"")</f>
        <v/>
      </c>
      <c r="F262" s="95"/>
      <c r="G262" s="93"/>
    </row>
    <row r="263" spans="2:7" x14ac:dyDescent="0.2">
      <c r="B263" s="92"/>
      <c r="C263" s="93"/>
      <c r="D263" s="93"/>
      <c r="E263" s="94" t="str">
        <f t="shared" si="4"/>
        <v/>
      </c>
      <c r="F263" s="95"/>
      <c r="G263" s="93"/>
    </row>
    <row r="264" spans="2:7" x14ac:dyDescent="0.2">
      <c r="B264" s="92"/>
      <c r="C264" s="93"/>
      <c r="D264" s="93"/>
      <c r="E264" s="94" t="str">
        <f t="shared" si="4"/>
        <v/>
      </c>
      <c r="F264" s="95"/>
      <c r="G264" s="93"/>
    </row>
    <row r="265" spans="2:7" x14ac:dyDescent="0.2">
      <c r="B265" s="92"/>
      <c r="C265" s="93"/>
      <c r="D265" s="93"/>
      <c r="E265" s="94" t="str">
        <f t="shared" si="4"/>
        <v/>
      </c>
      <c r="F265" s="95"/>
      <c r="G265" s="93"/>
    </row>
    <row r="266" spans="2:7" x14ac:dyDescent="0.2">
      <c r="B266" s="92"/>
      <c r="C266" s="93"/>
      <c r="D266" s="93"/>
      <c r="E266" s="94" t="str">
        <f t="shared" si="4"/>
        <v/>
      </c>
      <c r="F266" s="95"/>
      <c r="G266" s="93"/>
    </row>
    <row r="267" spans="2:7" x14ac:dyDescent="0.2">
      <c r="B267" s="92"/>
      <c r="C267" s="93"/>
      <c r="D267" s="93"/>
      <c r="E267" s="94" t="str">
        <f t="shared" si="4"/>
        <v/>
      </c>
      <c r="F267" s="95"/>
      <c r="G267" s="93"/>
    </row>
    <row r="268" spans="2:7" x14ac:dyDescent="0.2">
      <c r="B268" s="92"/>
      <c r="C268" s="93"/>
      <c r="D268" s="93"/>
      <c r="E268" s="94" t="str">
        <f t="shared" si="4"/>
        <v/>
      </c>
      <c r="F268" s="95"/>
      <c r="G268" s="93"/>
    </row>
    <row r="269" spans="2:7" x14ac:dyDescent="0.2">
      <c r="B269" s="92"/>
      <c r="C269" s="93"/>
      <c r="D269" s="93"/>
      <c r="E269" s="94" t="str">
        <f t="shared" si="4"/>
        <v/>
      </c>
      <c r="F269" s="95"/>
      <c r="G269" s="93"/>
    </row>
    <row r="270" spans="2:7" x14ac:dyDescent="0.2">
      <c r="B270" s="92"/>
      <c r="C270" s="93"/>
      <c r="D270" s="93"/>
      <c r="E270" s="94" t="str">
        <f t="shared" si="4"/>
        <v/>
      </c>
      <c r="F270" s="95"/>
      <c r="G270" s="93"/>
    </row>
    <row r="271" spans="2:7" x14ac:dyDescent="0.2">
      <c r="B271" s="92"/>
      <c r="C271" s="93"/>
      <c r="D271" s="93"/>
      <c r="E271" s="94" t="str">
        <f t="shared" si="4"/>
        <v/>
      </c>
      <c r="F271" s="95"/>
      <c r="G271" s="93"/>
    </row>
    <row r="272" spans="2:7" x14ac:dyDescent="0.2">
      <c r="B272" s="92"/>
      <c r="C272" s="93"/>
      <c r="D272" s="93"/>
      <c r="E272" s="94" t="str">
        <f t="shared" si="4"/>
        <v/>
      </c>
      <c r="F272" s="95"/>
      <c r="G272" s="93"/>
    </row>
    <row r="273" spans="2:7" x14ac:dyDescent="0.2">
      <c r="B273" s="92"/>
      <c r="C273" s="93"/>
      <c r="D273" s="93"/>
      <c r="E273" s="94" t="str">
        <f t="shared" si="4"/>
        <v/>
      </c>
      <c r="F273" s="95"/>
      <c r="G273" s="93"/>
    </row>
    <row r="274" spans="2:7" x14ac:dyDescent="0.2">
      <c r="B274" s="92"/>
      <c r="C274" s="93"/>
      <c r="D274" s="93"/>
      <c r="E274" s="94" t="str">
        <f t="shared" si="4"/>
        <v/>
      </c>
      <c r="F274" s="95"/>
      <c r="G274" s="93"/>
    </row>
    <row r="275" spans="2:7" x14ac:dyDescent="0.2">
      <c r="B275" s="92"/>
      <c r="C275" s="93"/>
      <c r="D275" s="93"/>
      <c r="E275" s="94" t="str">
        <f t="shared" si="4"/>
        <v/>
      </c>
      <c r="F275" s="95"/>
      <c r="G275" s="93"/>
    </row>
    <row r="276" spans="2:7" x14ac:dyDescent="0.2">
      <c r="B276" s="92"/>
      <c r="C276" s="93"/>
      <c r="D276" s="93"/>
      <c r="E276" s="94" t="str">
        <f t="shared" si="4"/>
        <v/>
      </c>
      <c r="F276" s="95"/>
      <c r="G276" s="93"/>
    </row>
    <row r="277" spans="2:7" x14ac:dyDescent="0.2">
      <c r="B277" s="92"/>
      <c r="C277" s="93"/>
      <c r="D277" s="93"/>
      <c r="E277" s="94" t="str">
        <f t="shared" si="4"/>
        <v/>
      </c>
      <c r="F277" s="95"/>
      <c r="G277" s="93"/>
    </row>
    <row r="278" spans="2:7" x14ac:dyDescent="0.2">
      <c r="B278" s="92"/>
      <c r="C278" s="93"/>
      <c r="D278" s="93"/>
      <c r="E278" s="94" t="str">
        <f t="shared" si="4"/>
        <v/>
      </c>
      <c r="F278" s="95"/>
      <c r="G278" s="93"/>
    </row>
    <row r="279" spans="2:7" x14ac:dyDescent="0.2">
      <c r="B279" s="92"/>
      <c r="C279" s="93"/>
      <c r="D279" s="93"/>
      <c r="E279" s="94" t="str">
        <f t="shared" si="4"/>
        <v/>
      </c>
      <c r="F279" s="95"/>
      <c r="G279" s="93"/>
    </row>
    <row r="280" spans="2:7" x14ac:dyDescent="0.2">
      <c r="B280" s="92"/>
      <c r="C280" s="93"/>
      <c r="D280" s="93"/>
      <c r="E280" s="94" t="str">
        <f t="shared" si="4"/>
        <v/>
      </c>
      <c r="F280" s="95"/>
      <c r="G280" s="93"/>
    </row>
    <row r="281" spans="2:7" x14ac:dyDescent="0.2">
      <c r="B281" s="92"/>
      <c r="C281" s="93"/>
      <c r="D281" s="93"/>
      <c r="E281" s="94" t="str">
        <f t="shared" si="4"/>
        <v/>
      </c>
      <c r="F281" s="95"/>
      <c r="G281" s="93"/>
    </row>
    <row r="282" spans="2:7" x14ac:dyDescent="0.2">
      <c r="B282" s="92"/>
      <c r="C282" s="93"/>
      <c r="D282" s="93"/>
      <c r="E282" s="94" t="str">
        <f t="shared" si="4"/>
        <v/>
      </c>
      <c r="F282" s="95"/>
      <c r="G282" s="93"/>
    </row>
    <row r="283" spans="2:7" x14ac:dyDescent="0.2">
      <c r="B283" s="92"/>
      <c r="C283" s="93"/>
      <c r="D283" s="93"/>
      <c r="E283" s="94" t="str">
        <f t="shared" si="4"/>
        <v/>
      </c>
      <c r="F283" s="95"/>
      <c r="G283" s="93"/>
    </row>
    <row r="284" spans="2:7" x14ac:dyDescent="0.2">
      <c r="B284" s="92"/>
      <c r="C284" s="93"/>
      <c r="D284" s="93"/>
      <c r="E284" s="94" t="str">
        <f t="shared" si="4"/>
        <v/>
      </c>
      <c r="F284" s="95"/>
      <c r="G284" s="93"/>
    </row>
    <row r="285" spans="2:7" x14ac:dyDescent="0.2">
      <c r="B285" s="92"/>
      <c r="C285" s="93"/>
      <c r="D285" s="93"/>
      <c r="E285" s="94" t="str">
        <f t="shared" si="4"/>
        <v/>
      </c>
      <c r="F285" s="95"/>
      <c r="G285" s="93"/>
    </row>
    <row r="286" spans="2:7" x14ac:dyDescent="0.2">
      <c r="B286" s="92"/>
      <c r="C286" s="93"/>
      <c r="D286" s="93"/>
      <c r="E286" s="94" t="str">
        <f t="shared" si="4"/>
        <v/>
      </c>
      <c r="F286" s="95"/>
      <c r="G286" s="93"/>
    </row>
    <row r="287" spans="2:7" x14ac:dyDescent="0.2">
      <c r="B287" s="92"/>
      <c r="C287" s="93"/>
      <c r="D287" s="93"/>
      <c r="E287" s="94" t="str">
        <f t="shared" si="4"/>
        <v/>
      </c>
      <c r="F287" s="95"/>
      <c r="G287" s="93"/>
    </row>
    <row r="288" spans="2:7" x14ac:dyDescent="0.2">
      <c r="B288" s="92"/>
      <c r="C288" s="93"/>
      <c r="D288" s="93"/>
      <c r="E288" s="94" t="str">
        <f t="shared" si="4"/>
        <v/>
      </c>
      <c r="F288" s="95"/>
      <c r="G288" s="93"/>
    </row>
    <row r="289" spans="2:7" x14ac:dyDescent="0.2">
      <c r="B289" s="92"/>
      <c r="C289" s="93"/>
      <c r="D289" s="93"/>
      <c r="E289" s="94" t="str">
        <f t="shared" si="4"/>
        <v/>
      </c>
      <c r="F289" s="95"/>
      <c r="G289" s="93"/>
    </row>
    <row r="290" spans="2:7" x14ac:dyDescent="0.2">
      <c r="B290" s="92"/>
      <c r="C290" s="93"/>
      <c r="D290" s="93"/>
      <c r="E290" s="94" t="str">
        <f t="shared" si="4"/>
        <v/>
      </c>
      <c r="F290" s="95"/>
      <c r="G290" s="93"/>
    </row>
    <row r="291" spans="2:7" x14ac:dyDescent="0.2">
      <c r="B291" s="92"/>
      <c r="C291" s="93"/>
      <c r="D291" s="93"/>
      <c r="E291" s="94" t="str">
        <f t="shared" si="4"/>
        <v/>
      </c>
      <c r="F291" s="95"/>
      <c r="G291" s="93"/>
    </row>
    <row r="292" spans="2:7" x14ac:dyDescent="0.2">
      <c r="B292" s="92"/>
      <c r="C292" s="93"/>
      <c r="D292" s="93"/>
      <c r="E292" s="94" t="str">
        <f t="shared" si="4"/>
        <v/>
      </c>
      <c r="F292" s="95"/>
      <c r="G292" s="93"/>
    </row>
    <row r="293" spans="2:7" x14ac:dyDescent="0.2">
      <c r="B293" s="92"/>
      <c r="C293" s="93"/>
      <c r="D293" s="93"/>
      <c r="E293" s="94" t="str">
        <f t="shared" si="4"/>
        <v/>
      </c>
      <c r="F293" s="95"/>
      <c r="G293" s="93"/>
    </row>
    <row r="294" spans="2:7" x14ac:dyDescent="0.2">
      <c r="B294" s="92"/>
      <c r="C294" s="93"/>
      <c r="D294" s="93"/>
      <c r="E294" s="94" t="str">
        <f t="shared" si="4"/>
        <v/>
      </c>
      <c r="F294" s="95"/>
      <c r="G294" s="93"/>
    </row>
    <row r="295" spans="2:7" x14ac:dyDescent="0.2">
      <c r="B295" s="92"/>
      <c r="C295" s="93"/>
      <c r="D295" s="93"/>
      <c r="E295" s="94" t="str">
        <f t="shared" si="4"/>
        <v/>
      </c>
      <c r="F295" s="95"/>
      <c r="G295" s="93"/>
    </row>
    <row r="296" spans="2:7" x14ac:dyDescent="0.2">
      <c r="B296" s="92"/>
      <c r="C296" s="93"/>
      <c r="D296" s="93"/>
      <c r="E296" s="94" t="str">
        <f t="shared" si="4"/>
        <v/>
      </c>
      <c r="F296" s="95"/>
      <c r="G296" s="93"/>
    </row>
    <row r="297" spans="2:7" x14ac:dyDescent="0.2">
      <c r="B297" s="92"/>
      <c r="C297" s="93"/>
      <c r="D297" s="93"/>
      <c r="E297" s="94" t="str">
        <f t="shared" si="4"/>
        <v/>
      </c>
      <c r="F297" s="95"/>
      <c r="G297" s="93"/>
    </row>
    <row r="298" spans="2:7" x14ac:dyDescent="0.2">
      <c r="B298" s="92"/>
      <c r="C298" s="93"/>
      <c r="D298" s="93"/>
      <c r="E298" s="94" t="str">
        <f t="shared" si="4"/>
        <v/>
      </c>
      <c r="F298" s="95"/>
      <c r="G298" s="93"/>
    </row>
    <row r="299" spans="2:7" x14ac:dyDescent="0.2">
      <c r="B299" s="92"/>
      <c r="C299" s="93"/>
      <c r="D299" s="93"/>
      <c r="E299" s="94" t="str">
        <f t="shared" si="4"/>
        <v/>
      </c>
      <c r="F299" s="95"/>
      <c r="G299" s="93"/>
    </row>
    <row r="300" spans="2:7" x14ac:dyDescent="0.2">
      <c r="B300" s="92"/>
      <c r="C300" s="93"/>
      <c r="D300" s="93"/>
      <c r="E300" s="94" t="str">
        <f t="shared" si="4"/>
        <v/>
      </c>
      <c r="F300" s="95"/>
      <c r="G300" s="93"/>
    </row>
    <row r="301" spans="2:7" x14ac:dyDescent="0.2">
      <c r="B301" s="92"/>
      <c r="C301" s="93"/>
      <c r="D301" s="93"/>
      <c r="E301" s="94" t="str">
        <f t="shared" si="4"/>
        <v/>
      </c>
      <c r="F301" s="95"/>
      <c r="G301" s="93"/>
    </row>
    <row r="302" spans="2:7" x14ac:dyDescent="0.2">
      <c r="B302" s="92"/>
      <c r="C302" s="93"/>
      <c r="D302" s="93"/>
      <c r="E302" s="94" t="str">
        <f t="shared" si="4"/>
        <v/>
      </c>
      <c r="F302" s="95"/>
      <c r="G302" s="93"/>
    </row>
    <row r="303" spans="2:7" x14ac:dyDescent="0.2">
      <c r="B303" s="92"/>
      <c r="C303" s="93"/>
      <c r="D303" s="93"/>
      <c r="E303" s="94" t="str">
        <f t="shared" si="4"/>
        <v/>
      </c>
      <c r="F303" s="95"/>
      <c r="G303" s="93"/>
    </row>
    <row r="304" spans="2:7" x14ac:dyDescent="0.2">
      <c r="B304" s="92"/>
      <c r="C304" s="93"/>
      <c r="D304" s="93"/>
      <c r="E304" s="94" t="str">
        <f t="shared" si="4"/>
        <v/>
      </c>
      <c r="F304" s="95"/>
      <c r="G304" s="93"/>
    </row>
    <row r="305" spans="2:7" x14ac:dyDescent="0.2">
      <c r="B305" s="92"/>
      <c r="C305" s="93"/>
      <c r="D305" s="93"/>
      <c r="E305" s="94" t="str">
        <f t="shared" si="4"/>
        <v/>
      </c>
      <c r="F305" s="95"/>
      <c r="G305" s="93"/>
    </row>
    <row r="306" spans="2:7" x14ac:dyDescent="0.2">
      <c r="B306" s="92"/>
      <c r="C306" s="93"/>
      <c r="D306" s="93"/>
      <c r="E306" s="94" t="str">
        <f t="shared" si="4"/>
        <v/>
      </c>
      <c r="F306" s="95"/>
      <c r="G306" s="93"/>
    </row>
    <row r="307" spans="2:7" x14ac:dyDescent="0.2">
      <c r="B307" s="92"/>
      <c r="C307" s="93"/>
      <c r="D307" s="93"/>
      <c r="E307" s="94" t="str">
        <f t="shared" si="4"/>
        <v/>
      </c>
      <c r="F307" s="95"/>
      <c r="G307" s="93"/>
    </row>
    <row r="308" spans="2:7" x14ac:dyDescent="0.2">
      <c r="B308" s="92"/>
      <c r="C308" s="93"/>
      <c r="D308" s="93"/>
      <c r="E308" s="94" t="str">
        <f t="shared" si="4"/>
        <v/>
      </c>
      <c r="F308" s="95"/>
      <c r="G308" s="93"/>
    </row>
    <row r="309" spans="2:7" x14ac:dyDescent="0.2">
      <c r="B309" s="92"/>
      <c r="C309" s="93"/>
      <c r="D309" s="93"/>
      <c r="E309" s="94" t="str">
        <f t="shared" si="4"/>
        <v/>
      </c>
      <c r="F309" s="95"/>
      <c r="G309" s="93"/>
    </row>
    <row r="310" spans="2:7" x14ac:dyDescent="0.2">
      <c r="B310" s="92"/>
      <c r="C310" s="93"/>
      <c r="D310" s="93"/>
      <c r="E310" s="94" t="str">
        <f t="shared" si="4"/>
        <v/>
      </c>
      <c r="F310" s="95"/>
      <c r="G310" s="93"/>
    </row>
    <row r="311" spans="2:7" x14ac:dyDescent="0.2">
      <c r="B311" s="92"/>
      <c r="C311" s="93"/>
      <c r="D311" s="93"/>
      <c r="E311" s="94" t="str">
        <f t="shared" si="4"/>
        <v/>
      </c>
      <c r="F311" s="95"/>
      <c r="G311" s="93"/>
    </row>
    <row r="312" spans="2:7" x14ac:dyDescent="0.2">
      <c r="B312" s="92"/>
      <c r="C312" s="93"/>
      <c r="D312" s="93"/>
      <c r="E312" s="94" t="str">
        <f t="shared" si="4"/>
        <v/>
      </c>
      <c r="F312" s="95"/>
      <c r="G312" s="93"/>
    </row>
    <row r="313" spans="2:7" x14ac:dyDescent="0.2">
      <c r="B313" s="92"/>
      <c r="C313" s="93"/>
      <c r="D313" s="93"/>
      <c r="E313" s="94" t="str">
        <f t="shared" si="4"/>
        <v/>
      </c>
      <c r="F313" s="95"/>
      <c r="G313" s="93"/>
    </row>
    <row r="314" spans="2:7" x14ac:dyDescent="0.2">
      <c r="B314" s="92"/>
      <c r="C314" s="93"/>
      <c r="D314" s="93"/>
      <c r="E314" s="94" t="str">
        <f t="shared" si="4"/>
        <v/>
      </c>
      <c r="F314" s="95"/>
      <c r="G314" s="93"/>
    </row>
    <row r="315" spans="2:7" x14ac:dyDescent="0.2">
      <c r="B315" s="92"/>
      <c r="C315" s="93"/>
      <c r="D315" s="93"/>
      <c r="E315" s="94" t="str">
        <f t="shared" si="4"/>
        <v/>
      </c>
      <c r="F315" s="95"/>
      <c r="G315" s="93"/>
    </row>
    <row r="316" spans="2:7" x14ac:dyDescent="0.2">
      <c r="B316" s="92"/>
      <c r="C316" s="93"/>
      <c r="D316" s="93"/>
      <c r="E316" s="94" t="str">
        <f t="shared" si="4"/>
        <v/>
      </c>
      <c r="F316" s="95"/>
      <c r="G316" s="93"/>
    </row>
    <row r="317" spans="2:7" x14ac:dyDescent="0.2">
      <c r="B317" s="92"/>
      <c r="C317" s="93"/>
      <c r="D317" s="93"/>
      <c r="E317" s="94" t="str">
        <f t="shared" si="4"/>
        <v/>
      </c>
      <c r="F317" s="95"/>
      <c r="G317" s="93"/>
    </row>
    <row r="318" spans="2:7" x14ac:dyDescent="0.2">
      <c r="B318" s="92"/>
      <c r="C318" s="93"/>
      <c r="D318" s="93"/>
      <c r="E318" s="94" t="str">
        <f t="shared" si="4"/>
        <v/>
      </c>
      <c r="F318" s="95"/>
      <c r="G318" s="93"/>
    </row>
    <row r="319" spans="2:7" x14ac:dyDescent="0.2">
      <c r="B319" s="92"/>
      <c r="C319" s="93"/>
      <c r="D319" s="93"/>
      <c r="E319" s="94" t="str">
        <f t="shared" si="4"/>
        <v/>
      </c>
      <c r="F319" s="95"/>
      <c r="G319" s="93"/>
    </row>
    <row r="320" spans="2:7" x14ac:dyDescent="0.2">
      <c r="B320" s="92"/>
      <c r="C320" s="93"/>
      <c r="D320" s="93"/>
      <c r="E320" s="94" t="str">
        <f t="shared" si="4"/>
        <v/>
      </c>
      <c r="F320" s="95"/>
      <c r="G320" s="93"/>
    </row>
    <row r="321" spans="2:7" x14ac:dyDescent="0.2">
      <c r="B321" s="92"/>
      <c r="C321" s="93"/>
      <c r="D321" s="93"/>
      <c r="E321" s="94" t="str">
        <f t="shared" si="4"/>
        <v/>
      </c>
      <c r="F321" s="95"/>
      <c r="G321" s="93"/>
    </row>
    <row r="322" spans="2:7" x14ac:dyDescent="0.2">
      <c r="B322" s="92"/>
      <c r="C322" s="93"/>
      <c r="D322" s="93"/>
      <c r="E322" s="94" t="str">
        <f t="shared" si="4"/>
        <v/>
      </c>
      <c r="F322" s="95"/>
      <c r="G322" s="93"/>
    </row>
    <row r="323" spans="2:7" x14ac:dyDescent="0.2">
      <c r="B323" s="92"/>
      <c r="C323" s="93"/>
      <c r="D323" s="93"/>
      <c r="E323" s="94" t="str">
        <f t="shared" si="4"/>
        <v/>
      </c>
      <c r="F323" s="95"/>
      <c r="G323" s="93"/>
    </row>
    <row r="324" spans="2:7" x14ac:dyDescent="0.2">
      <c r="B324" s="92"/>
      <c r="C324" s="93"/>
      <c r="D324" s="93"/>
      <c r="E324" s="94" t="str">
        <f t="shared" si="4"/>
        <v/>
      </c>
      <c r="F324" s="95"/>
      <c r="G324" s="93"/>
    </row>
    <row r="325" spans="2:7" x14ac:dyDescent="0.2">
      <c r="B325" s="92"/>
      <c r="C325" s="93"/>
      <c r="D325" s="93"/>
      <c r="E325" s="94" t="str">
        <f t="shared" si="4"/>
        <v/>
      </c>
      <c r="F325" s="95"/>
      <c r="G325" s="93"/>
    </row>
    <row r="326" spans="2:7" x14ac:dyDescent="0.2">
      <c r="B326" s="92"/>
      <c r="C326" s="93"/>
      <c r="D326" s="93"/>
      <c r="E326" s="94" t="str">
        <f t="shared" ref="E326:E389" si="5">IF(C326&lt;&gt;"",D326-C326,"")</f>
        <v/>
      </c>
      <c r="F326" s="95"/>
      <c r="G326" s="93"/>
    </row>
    <row r="327" spans="2:7" x14ac:dyDescent="0.2">
      <c r="B327" s="92"/>
      <c r="C327" s="93"/>
      <c r="D327" s="93"/>
      <c r="E327" s="94" t="str">
        <f t="shared" si="5"/>
        <v/>
      </c>
      <c r="F327" s="95"/>
      <c r="G327" s="93"/>
    </row>
    <row r="328" spans="2:7" x14ac:dyDescent="0.2">
      <c r="B328" s="92"/>
      <c r="C328" s="93"/>
      <c r="D328" s="93"/>
      <c r="E328" s="94" t="str">
        <f t="shared" si="5"/>
        <v/>
      </c>
      <c r="F328" s="95"/>
      <c r="G328" s="93"/>
    </row>
    <row r="329" spans="2:7" x14ac:dyDescent="0.2">
      <c r="B329" s="92"/>
      <c r="C329" s="93"/>
      <c r="D329" s="93"/>
      <c r="E329" s="94" t="str">
        <f t="shared" si="5"/>
        <v/>
      </c>
      <c r="F329" s="95"/>
      <c r="G329" s="93"/>
    </row>
    <row r="330" spans="2:7" x14ac:dyDescent="0.2">
      <c r="B330" s="92"/>
      <c r="C330" s="93"/>
      <c r="D330" s="93"/>
      <c r="E330" s="94" t="str">
        <f t="shared" si="5"/>
        <v/>
      </c>
      <c r="F330" s="95"/>
      <c r="G330" s="93"/>
    </row>
    <row r="331" spans="2:7" x14ac:dyDescent="0.2">
      <c r="B331" s="92"/>
      <c r="C331" s="93"/>
      <c r="D331" s="93"/>
      <c r="E331" s="94" t="str">
        <f t="shared" si="5"/>
        <v/>
      </c>
      <c r="F331" s="95"/>
      <c r="G331" s="93"/>
    </row>
    <row r="332" spans="2:7" x14ac:dyDescent="0.2">
      <c r="B332" s="92"/>
      <c r="C332" s="93"/>
      <c r="D332" s="93"/>
      <c r="E332" s="94" t="str">
        <f t="shared" si="5"/>
        <v/>
      </c>
      <c r="F332" s="95"/>
      <c r="G332" s="93"/>
    </row>
    <row r="333" spans="2:7" x14ac:dyDescent="0.2">
      <c r="B333" s="92"/>
      <c r="C333" s="93"/>
      <c r="D333" s="93"/>
      <c r="E333" s="94" t="str">
        <f t="shared" si="5"/>
        <v/>
      </c>
      <c r="F333" s="95"/>
      <c r="G333" s="93"/>
    </row>
    <row r="334" spans="2:7" x14ac:dyDescent="0.2">
      <c r="B334" s="92"/>
      <c r="C334" s="93"/>
      <c r="D334" s="93"/>
      <c r="E334" s="94" t="str">
        <f t="shared" si="5"/>
        <v/>
      </c>
      <c r="F334" s="95"/>
      <c r="G334" s="93"/>
    </row>
    <row r="335" spans="2:7" x14ac:dyDescent="0.2">
      <c r="B335" s="92"/>
      <c r="C335" s="93"/>
      <c r="D335" s="93"/>
      <c r="E335" s="94" t="str">
        <f t="shared" si="5"/>
        <v/>
      </c>
      <c r="F335" s="95"/>
      <c r="G335" s="93"/>
    </row>
    <row r="336" spans="2:7" x14ac:dyDescent="0.2">
      <c r="B336" s="92"/>
      <c r="C336" s="93"/>
      <c r="D336" s="93"/>
      <c r="E336" s="94" t="str">
        <f t="shared" si="5"/>
        <v/>
      </c>
      <c r="F336" s="95"/>
      <c r="G336" s="93"/>
    </row>
    <row r="337" spans="2:7" x14ac:dyDescent="0.2">
      <c r="B337" s="92"/>
      <c r="C337" s="93"/>
      <c r="D337" s="93"/>
      <c r="E337" s="94" t="str">
        <f t="shared" si="5"/>
        <v/>
      </c>
      <c r="F337" s="95"/>
      <c r="G337" s="93"/>
    </row>
    <row r="338" spans="2:7" x14ac:dyDescent="0.2">
      <c r="B338" s="92"/>
      <c r="C338" s="93"/>
      <c r="D338" s="93"/>
      <c r="E338" s="94" t="str">
        <f t="shared" si="5"/>
        <v/>
      </c>
      <c r="F338" s="95"/>
      <c r="G338" s="93"/>
    </row>
    <row r="339" spans="2:7" x14ac:dyDescent="0.2">
      <c r="B339" s="92"/>
      <c r="C339" s="93"/>
      <c r="D339" s="93"/>
      <c r="E339" s="94" t="str">
        <f t="shared" si="5"/>
        <v/>
      </c>
      <c r="F339" s="95"/>
      <c r="G339" s="93"/>
    </row>
    <row r="340" spans="2:7" x14ac:dyDescent="0.2">
      <c r="B340" s="92"/>
      <c r="C340" s="93"/>
      <c r="D340" s="93"/>
      <c r="E340" s="94" t="str">
        <f t="shared" si="5"/>
        <v/>
      </c>
      <c r="F340" s="95"/>
      <c r="G340" s="93"/>
    </row>
    <row r="341" spans="2:7" x14ac:dyDescent="0.2">
      <c r="B341" s="92"/>
      <c r="C341" s="93"/>
      <c r="D341" s="93"/>
      <c r="E341" s="94" t="str">
        <f t="shared" si="5"/>
        <v/>
      </c>
      <c r="F341" s="95"/>
      <c r="G341" s="93"/>
    </row>
    <row r="342" spans="2:7" x14ac:dyDescent="0.2">
      <c r="B342" s="92"/>
      <c r="C342" s="93"/>
      <c r="D342" s="93"/>
      <c r="E342" s="94" t="str">
        <f t="shared" si="5"/>
        <v/>
      </c>
      <c r="F342" s="95"/>
      <c r="G342" s="93"/>
    </row>
    <row r="343" spans="2:7" x14ac:dyDescent="0.2">
      <c r="B343" s="92"/>
      <c r="C343" s="93"/>
      <c r="D343" s="93"/>
      <c r="E343" s="94" t="str">
        <f t="shared" si="5"/>
        <v/>
      </c>
      <c r="F343" s="95"/>
      <c r="G343" s="93"/>
    </row>
    <row r="344" spans="2:7" x14ac:dyDescent="0.2">
      <c r="B344" s="92"/>
      <c r="C344" s="93"/>
      <c r="D344" s="93"/>
      <c r="E344" s="94" t="str">
        <f t="shared" si="5"/>
        <v/>
      </c>
      <c r="F344" s="95"/>
      <c r="G344" s="93"/>
    </row>
    <row r="345" spans="2:7" x14ac:dyDescent="0.2">
      <c r="B345" s="92"/>
      <c r="C345" s="93"/>
      <c r="D345" s="93"/>
      <c r="E345" s="94" t="str">
        <f t="shared" si="5"/>
        <v/>
      </c>
      <c r="F345" s="95"/>
      <c r="G345" s="93"/>
    </row>
    <row r="346" spans="2:7" x14ac:dyDescent="0.2">
      <c r="B346" s="92"/>
      <c r="C346" s="93"/>
      <c r="D346" s="93"/>
      <c r="E346" s="94" t="str">
        <f t="shared" si="5"/>
        <v/>
      </c>
      <c r="F346" s="95"/>
      <c r="G346" s="93"/>
    </row>
    <row r="347" spans="2:7" x14ac:dyDescent="0.2">
      <c r="B347" s="92"/>
      <c r="C347" s="93"/>
      <c r="D347" s="93"/>
      <c r="E347" s="94" t="str">
        <f t="shared" si="5"/>
        <v/>
      </c>
      <c r="F347" s="95"/>
      <c r="G347" s="93"/>
    </row>
    <row r="348" spans="2:7" x14ac:dyDescent="0.2">
      <c r="B348" s="92"/>
      <c r="C348" s="93"/>
      <c r="D348" s="93"/>
      <c r="E348" s="94" t="str">
        <f t="shared" si="5"/>
        <v/>
      </c>
      <c r="F348" s="95"/>
      <c r="G348" s="93"/>
    </row>
    <row r="349" spans="2:7" x14ac:dyDescent="0.2">
      <c r="B349" s="92"/>
      <c r="C349" s="93"/>
      <c r="D349" s="93"/>
      <c r="E349" s="94" t="str">
        <f t="shared" si="5"/>
        <v/>
      </c>
      <c r="F349" s="95"/>
      <c r="G349" s="93"/>
    </row>
    <row r="350" spans="2:7" x14ac:dyDescent="0.2">
      <c r="B350" s="92"/>
      <c r="C350" s="93"/>
      <c r="D350" s="93"/>
      <c r="E350" s="94" t="str">
        <f t="shared" si="5"/>
        <v/>
      </c>
      <c r="F350" s="95"/>
      <c r="G350" s="93"/>
    </row>
    <row r="351" spans="2:7" x14ac:dyDescent="0.2">
      <c r="B351" s="92"/>
      <c r="C351" s="93"/>
      <c r="D351" s="93"/>
      <c r="E351" s="94" t="str">
        <f t="shared" si="5"/>
        <v/>
      </c>
      <c r="F351" s="95"/>
      <c r="G351" s="93"/>
    </row>
    <row r="352" spans="2:7" x14ac:dyDescent="0.2">
      <c r="B352" s="92"/>
      <c r="C352" s="93"/>
      <c r="D352" s="93"/>
      <c r="E352" s="94" t="str">
        <f t="shared" si="5"/>
        <v/>
      </c>
      <c r="F352" s="95"/>
      <c r="G352" s="93"/>
    </row>
    <row r="353" spans="2:7" x14ac:dyDescent="0.2">
      <c r="B353" s="92"/>
      <c r="C353" s="93"/>
      <c r="D353" s="93"/>
      <c r="E353" s="94" t="str">
        <f t="shared" si="5"/>
        <v/>
      </c>
      <c r="F353" s="95"/>
      <c r="G353" s="93"/>
    </row>
    <row r="354" spans="2:7" x14ac:dyDescent="0.2">
      <c r="B354" s="92"/>
      <c r="C354" s="93"/>
      <c r="D354" s="93"/>
      <c r="E354" s="94" t="str">
        <f t="shared" si="5"/>
        <v/>
      </c>
      <c r="F354" s="95"/>
      <c r="G354" s="93"/>
    </row>
    <row r="355" spans="2:7" x14ac:dyDescent="0.2">
      <c r="B355" s="92"/>
      <c r="C355" s="93"/>
      <c r="D355" s="93"/>
      <c r="E355" s="94" t="str">
        <f t="shared" si="5"/>
        <v/>
      </c>
      <c r="F355" s="95"/>
      <c r="G355" s="93"/>
    </row>
    <row r="356" spans="2:7" x14ac:dyDescent="0.2">
      <c r="B356" s="92"/>
      <c r="C356" s="93"/>
      <c r="D356" s="93"/>
      <c r="E356" s="94" t="str">
        <f t="shared" si="5"/>
        <v/>
      </c>
      <c r="F356" s="95"/>
      <c r="G356" s="93"/>
    </row>
    <row r="357" spans="2:7" x14ac:dyDescent="0.2">
      <c r="B357" s="92"/>
      <c r="C357" s="93"/>
      <c r="D357" s="93"/>
      <c r="E357" s="94" t="str">
        <f t="shared" si="5"/>
        <v/>
      </c>
      <c r="F357" s="95"/>
      <c r="G357" s="93"/>
    </row>
    <row r="358" spans="2:7" x14ac:dyDescent="0.2">
      <c r="B358" s="92"/>
      <c r="C358" s="93"/>
      <c r="D358" s="93"/>
      <c r="E358" s="94" t="str">
        <f t="shared" si="5"/>
        <v/>
      </c>
      <c r="F358" s="95"/>
      <c r="G358" s="93"/>
    </row>
    <row r="359" spans="2:7" x14ac:dyDescent="0.2">
      <c r="B359" s="92"/>
      <c r="C359" s="93"/>
      <c r="D359" s="93"/>
      <c r="E359" s="94" t="str">
        <f t="shared" si="5"/>
        <v/>
      </c>
      <c r="F359" s="95"/>
      <c r="G359" s="93"/>
    </row>
    <row r="360" spans="2:7" x14ac:dyDescent="0.2">
      <c r="B360" s="92"/>
      <c r="C360" s="93"/>
      <c r="D360" s="93"/>
      <c r="E360" s="94" t="str">
        <f t="shared" si="5"/>
        <v/>
      </c>
      <c r="F360" s="95"/>
      <c r="G360" s="93"/>
    </row>
    <row r="361" spans="2:7" x14ac:dyDescent="0.2">
      <c r="B361" s="92"/>
      <c r="C361" s="93"/>
      <c r="D361" s="93"/>
      <c r="E361" s="94" t="str">
        <f t="shared" si="5"/>
        <v/>
      </c>
      <c r="F361" s="95"/>
      <c r="G361" s="93"/>
    </row>
    <row r="362" spans="2:7" x14ac:dyDescent="0.2">
      <c r="B362" s="92"/>
      <c r="C362" s="93"/>
      <c r="D362" s="93"/>
      <c r="E362" s="94" t="str">
        <f t="shared" si="5"/>
        <v/>
      </c>
      <c r="F362" s="95"/>
      <c r="G362" s="93"/>
    </row>
    <row r="363" spans="2:7" x14ac:dyDescent="0.2">
      <c r="B363" s="92"/>
      <c r="C363" s="93"/>
      <c r="D363" s="93"/>
      <c r="E363" s="94" t="str">
        <f t="shared" si="5"/>
        <v/>
      </c>
      <c r="F363" s="95"/>
      <c r="G363" s="93"/>
    </row>
    <row r="364" spans="2:7" x14ac:dyDescent="0.2">
      <c r="B364" s="92"/>
      <c r="C364" s="93"/>
      <c r="D364" s="93"/>
      <c r="E364" s="94" t="str">
        <f t="shared" si="5"/>
        <v/>
      </c>
      <c r="F364" s="95"/>
      <c r="G364" s="93"/>
    </row>
    <row r="365" spans="2:7" x14ac:dyDescent="0.2">
      <c r="B365" s="92"/>
      <c r="C365" s="93"/>
      <c r="D365" s="93"/>
      <c r="E365" s="94" t="str">
        <f t="shared" si="5"/>
        <v/>
      </c>
      <c r="F365" s="95"/>
      <c r="G365" s="93"/>
    </row>
    <row r="366" spans="2:7" x14ac:dyDescent="0.2">
      <c r="B366" s="92"/>
      <c r="C366" s="93"/>
      <c r="D366" s="93"/>
      <c r="E366" s="94" t="str">
        <f t="shared" si="5"/>
        <v/>
      </c>
      <c r="F366" s="95"/>
      <c r="G366" s="93"/>
    </row>
    <row r="367" spans="2:7" x14ac:dyDescent="0.2">
      <c r="B367" s="92"/>
      <c r="C367" s="93"/>
      <c r="D367" s="93"/>
      <c r="E367" s="94" t="str">
        <f t="shared" si="5"/>
        <v/>
      </c>
      <c r="F367" s="95"/>
      <c r="G367" s="93"/>
    </row>
    <row r="368" spans="2:7" x14ac:dyDescent="0.2">
      <c r="B368" s="92"/>
      <c r="C368" s="93"/>
      <c r="D368" s="93"/>
      <c r="E368" s="94" t="str">
        <f t="shared" si="5"/>
        <v/>
      </c>
      <c r="F368" s="95"/>
      <c r="G368" s="93"/>
    </row>
    <row r="369" spans="2:7" x14ac:dyDescent="0.2">
      <c r="B369" s="92"/>
      <c r="C369" s="93"/>
      <c r="D369" s="93"/>
      <c r="E369" s="94" t="str">
        <f t="shared" si="5"/>
        <v/>
      </c>
      <c r="F369" s="95"/>
      <c r="G369" s="93"/>
    </row>
    <row r="370" spans="2:7" x14ac:dyDescent="0.2">
      <c r="B370" s="92"/>
      <c r="C370" s="93"/>
      <c r="D370" s="93"/>
      <c r="E370" s="94" t="str">
        <f t="shared" si="5"/>
        <v/>
      </c>
      <c r="F370" s="95"/>
      <c r="G370" s="93"/>
    </row>
    <row r="371" spans="2:7" x14ac:dyDescent="0.2">
      <c r="B371" s="92"/>
      <c r="C371" s="93"/>
      <c r="D371" s="93"/>
      <c r="E371" s="94" t="str">
        <f t="shared" si="5"/>
        <v/>
      </c>
      <c r="F371" s="95"/>
      <c r="G371" s="93"/>
    </row>
    <row r="372" spans="2:7" x14ac:dyDescent="0.2">
      <c r="B372" s="92"/>
      <c r="C372" s="93"/>
      <c r="D372" s="93"/>
      <c r="E372" s="94" t="str">
        <f t="shared" si="5"/>
        <v/>
      </c>
      <c r="F372" s="95"/>
      <c r="G372" s="93"/>
    </row>
    <row r="373" spans="2:7" x14ac:dyDescent="0.2">
      <c r="B373" s="92"/>
      <c r="C373" s="93"/>
      <c r="D373" s="93"/>
      <c r="E373" s="94" t="str">
        <f t="shared" si="5"/>
        <v/>
      </c>
      <c r="F373" s="95"/>
      <c r="G373" s="93"/>
    </row>
    <row r="374" spans="2:7" x14ac:dyDescent="0.2">
      <c r="B374" s="92"/>
      <c r="C374" s="93"/>
      <c r="D374" s="93"/>
      <c r="E374" s="94" t="str">
        <f t="shared" si="5"/>
        <v/>
      </c>
      <c r="F374" s="95"/>
      <c r="G374" s="93"/>
    </row>
    <row r="375" spans="2:7" x14ac:dyDescent="0.2">
      <c r="B375" s="92"/>
      <c r="C375" s="93"/>
      <c r="D375" s="93"/>
      <c r="E375" s="94" t="str">
        <f t="shared" si="5"/>
        <v/>
      </c>
      <c r="F375" s="95"/>
      <c r="G375" s="93"/>
    </row>
    <row r="376" spans="2:7" x14ac:dyDescent="0.2">
      <c r="B376" s="92"/>
      <c r="C376" s="93"/>
      <c r="D376" s="93"/>
      <c r="E376" s="94" t="str">
        <f t="shared" si="5"/>
        <v/>
      </c>
      <c r="F376" s="95"/>
      <c r="G376" s="93"/>
    </row>
    <row r="377" spans="2:7" x14ac:dyDescent="0.2">
      <c r="B377" s="92"/>
      <c r="C377" s="93"/>
      <c r="D377" s="93"/>
      <c r="E377" s="94" t="str">
        <f t="shared" si="5"/>
        <v/>
      </c>
      <c r="F377" s="95"/>
      <c r="G377" s="93"/>
    </row>
    <row r="378" spans="2:7" x14ac:dyDescent="0.2">
      <c r="B378" s="92"/>
      <c r="C378" s="93"/>
      <c r="D378" s="93"/>
      <c r="E378" s="94" t="str">
        <f t="shared" si="5"/>
        <v/>
      </c>
      <c r="F378" s="95"/>
      <c r="G378" s="93"/>
    </row>
    <row r="379" spans="2:7" x14ac:dyDescent="0.2">
      <c r="B379" s="92"/>
      <c r="C379" s="93"/>
      <c r="D379" s="93"/>
      <c r="E379" s="94" t="str">
        <f t="shared" si="5"/>
        <v/>
      </c>
      <c r="F379" s="95"/>
      <c r="G379" s="93"/>
    </row>
    <row r="380" spans="2:7" x14ac:dyDescent="0.2">
      <c r="B380" s="92"/>
      <c r="C380" s="93"/>
      <c r="D380" s="93"/>
      <c r="E380" s="94" t="str">
        <f t="shared" si="5"/>
        <v/>
      </c>
      <c r="F380" s="95"/>
      <c r="G380" s="93"/>
    </row>
    <row r="381" spans="2:7" x14ac:dyDescent="0.2">
      <c r="B381" s="92"/>
      <c r="C381" s="93"/>
      <c r="D381" s="93"/>
      <c r="E381" s="94" t="str">
        <f t="shared" si="5"/>
        <v/>
      </c>
      <c r="F381" s="95"/>
      <c r="G381" s="93"/>
    </row>
    <row r="382" spans="2:7" x14ac:dyDescent="0.2">
      <c r="B382" s="92"/>
      <c r="C382" s="93"/>
      <c r="D382" s="93"/>
      <c r="E382" s="94" t="str">
        <f t="shared" si="5"/>
        <v/>
      </c>
      <c r="F382" s="95"/>
      <c r="G382" s="93"/>
    </row>
    <row r="383" spans="2:7" x14ac:dyDescent="0.2">
      <c r="B383" s="92"/>
      <c r="C383" s="93"/>
      <c r="D383" s="93"/>
      <c r="E383" s="94" t="str">
        <f t="shared" si="5"/>
        <v/>
      </c>
      <c r="F383" s="95"/>
      <c r="G383" s="93"/>
    </row>
    <row r="384" spans="2:7" x14ac:dyDescent="0.2">
      <c r="B384" s="92"/>
      <c r="C384" s="93"/>
      <c r="D384" s="93"/>
      <c r="E384" s="94" t="str">
        <f t="shared" si="5"/>
        <v/>
      </c>
      <c r="F384" s="95"/>
      <c r="G384" s="93"/>
    </row>
    <row r="385" spans="2:7" x14ac:dyDescent="0.2">
      <c r="B385" s="92"/>
      <c r="C385" s="93"/>
      <c r="D385" s="93"/>
      <c r="E385" s="94" t="str">
        <f t="shared" si="5"/>
        <v/>
      </c>
      <c r="F385" s="95"/>
      <c r="G385" s="93"/>
    </row>
    <row r="386" spans="2:7" x14ac:dyDescent="0.2">
      <c r="B386" s="92"/>
      <c r="C386" s="93"/>
      <c r="D386" s="93"/>
      <c r="E386" s="94" t="str">
        <f t="shared" si="5"/>
        <v/>
      </c>
      <c r="F386" s="95"/>
      <c r="G386" s="93"/>
    </row>
    <row r="387" spans="2:7" x14ac:dyDescent="0.2">
      <c r="B387" s="92"/>
      <c r="C387" s="93"/>
      <c r="D387" s="93"/>
      <c r="E387" s="94" t="str">
        <f t="shared" si="5"/>
        <v/>
      </c>
      <c r="F387" s="95"/>
      <c r="G387" s="93"/>
    </row>
    <row r="388" spans="2:7" x14ac:dyDescent="0.2">
      <c r="B388" s="92"/>
      <c r="C388" s="93"/>
      <c r="D388" s="93"/>
      <c r="E388" s="94" t="str">
        <f t="shared" si="5"/>
        <v/>
      </c>
      <c r="F388" s="95"/>
      <c r="G388" s="93"/>
    </row>
    <row r="389" spans="2:7" x14ac:dyDescent="0.2">
      <c r="B389" s="92"/>
      <c r="C389" s="93"/>
      <c r="D389" s="93"/>
      <c r="E389" s="94" t="str">
        <f t="shared" si="5"/>
        <v/>
      </c>
      <c r="F389" s="95"/>
      <c r="G389" s="93"/>
    </row>
    <row r="390" spans="2:7" x14ac:dyDescent="0.2">
      <c r="B390" s="92"/>
      <c r="C390" s="93"/>
      <c r="D390" s="93"/>
      <c r="E390" s="94" t="str">
        <f t="shared" ref="E390:E453" si="6">IF(C390&lt;&gt;"",D390-C390,"")</f>
        <v/>
      </c>
      <c r="F390" s="95"/>
      <c r="G390" s="93"/>
    </row>
    <row r="391" spans="2:7" x14ac:dyDescent="0.2">
      <c r="B391" s="92"/>
      <c r="C391" s="93"/>
      <c r="D391" s="93"/>
      <c r="E391" s="94" t="str">
        <f t="shared" si="6"/>
        <v/>
      </c>
      <c r="F391" s="95"/>
      <c r="G391" s="93"/>
    </row>
    <row r="392" spans="2:7" x14ac:dyDescent="0.2">
      <c r="B392" s="92"/>
      <c r="C392" s="93"/>
      <c r="D392" s="93"/>
      <c r="E392" s="94" t="str">
        <f t="shared" si="6"/>
        <v/>
      </c>
      <c r="F392" s="95"/>
      <c r="G392" s="93"/>
    </row>
    <row r="393" spans="2:7" x14ac:dyDescent="0.2">
      <c r="B393" s="92"/>
      <c r="C393" s="93"/>
      <c r="D393" s="93"/>
      <c r="E393" s="94" t="str">
        <f t="shared" si="6"/>
        <v/>
      </c>
      <c r="F393" s="95"/>
      <c r="G393" s="93"/>
    </row>
    <row r="394" spans="2:7" x14ac:dyDescent="0.2">
      <c r="B394" s="92"/>
      <c r="C394" s="93"/>
      <c r="D394" s="93"/>
      <c r="E394" s="94" t="str">
        <f t="shared" si="6"/>
        <v/>
      </c>
      <c r="F394" s="95"/>
      <c r="G394" s="93"/>
    </row>
    <row r="395" spans="2:7" x14ac:dyDescent="0.2">
      <c r="B395" s="92"/>
      <c r="C395" s="93"/>
      <c r="D395" s="93"/>
      <c r="E395" s="94" t="str">
        <f t="shared" si="6"/>
        <v/>
      </c>
      <c r="F395" s="95"/>
      <c r="G395" s="93"/>
    </row>
    <row r="396" spans="2:7" x14ac:dyDescent="0.2">
      <c r="B396" s="92"/>
      <c r="C396" s="93"/>
      <c r="D396" s="93"/>
      <c r="E396" s="94" t="str">
        <f t="shared" si="6"/>
        <v/>
      </c>
      <c r="F396" s="95"/>
      <c r="G396" s="93"/>
    </row>
    <row r="397" spans="2:7" x14ac:dyDescent="0.2">
      <c r="B397" s="92"/>
      <c r="C397" s="93"/>
      <c r="D397" s="93"/>
      <c r="E397" s="94" t="str">
        <f t="shared" si="6"/>
        <v/>
      </c>
      <c r="F397" s="95"/>
      <c r="G397" s="93"/>
    </row>
    <row r="398" spans="2:7" x14ac:dyDescent="0.2">
      <c r="B398" s="92"/>
      <c r="C398" s="93"/>
      <c r="D398" s="93"/>
      <c r="E398" s="94" t="str">
        <f t="shared" si="6"/>
        <v/>
      </c>
      <c r="F398" s="95"/>
      <c r="G398" s="93"/>
    </row>
    <row r="399" spans="2:7" x14ac:dyDescent="0.2">
      <c r="B399" s="92"/>
      <c r="C399" s="93"/>
      <c r="D399" s="93"/>
      <c r="E399" s="94" t="str">
        <f t="shared" si="6"/>
        <v/>
      </c>
      <c r="F399" s="95"/>
      <c r="G399" s="93"/>
    </row>
    <row r="400" spans="2:7" x14ac:dyDescent="0.2">
      <c r="B400" s="92"/>
      <c r="C400" s="93"/>
      <c r="D400" s="93"/>
      <c r="E400" s="94" t="str">
        <f t="shared" si="6"/>
        <v/>
      </c>
      <c r="F400" s="95"/>
      <c r="G400" s="93"/>
    </row>
    <row r="401" spans="2:7" x14ac:dyDescent="0.2">
      <c r="B401" s="92"/>
      <c r="C401" s="93"/>
      <c r="D401" s="93"/>
      <c r="E401" s="94" t="str">
        <f t="shared" si="6"/>
        <v/>
      </c>
      <c r="F401" s="95"/>
      <c r="G401" s="93"/>
    </row>
    <row r="402" spans="2:7" x14ac:dyDescent="0.2">
      <c r="B402" s="92"/>
      <c r="C402" s="93"/>
      <c r="D402" s="93"/>
      <c r="E402" s="94" t="str">
        <f t="shared" si="6"/>
        <v/>
      </c>
      <c r="F402" s="95"/>
      <c r="G402" s="93"/>
    </row>
    <row r="403" spans="2:7" x14ac:dyDescent="0.2">
      <c r="B403" s="92"/>
      <c r="C403" s="93"/>
      <c r="D403" s="93"/>
      <c r="E403" s="94" t="str">
        <f t="shared" si="6"/>
        <v/>
      </c>
      <c r="F403" s="95"/>
      <c r="G403" s="93"/>
    </row>
    <row r="404" spans="2:7" x14ac:dyDescent="0.2">
      <c r="B404" s="92"/>
      <c r="C404" s="93"/>
      <c r="D404" s="93"/>
      <c r="E404" s="94" t="str">
        <f t="shared" si="6"/>
        <v/>
      </c>
      <c r="F404" s="95"/>
      <c r="G404" s="93"/>
    </row>
    <row r="405" spans="2:7" x14ac:dyDescent="0.2">
      <c r="B405" s="92"/>
      <c r="C405" s="93"/>
      <c r="D405" s="93"/>
      <c r="E405" s="94" t="str">
        <f t="shared" si="6"/>
        <v/>
      </c>
      <c r="F405" s="95"/>
      <c r="G405" s="93"/>
    </row>
    <row r="406" spans="2:7" x14ac:dyDescent="0.2">
      <c r="B406" s="92"/>
      <c r="C406" s="93"/>
      <c r="D406" s="93"/>
      <c r="E406" s="94" t="str">
        <f t="shared" si="6"/>
        <v/>
      </c>
      <c r="F406" s="95"/>
      <c r="G406" s="93"/>
    </row>
    <row r="407" spans="2:7" x14ac:dyDescent="0.2">
      <c r="B407" s="92"/>
      <c r="C407" s="93"/>
      <c r="D407" s="93"/>
      <c r="E407" s="94" t="str">
        <f t="shared" si="6"/>
        <v/>
      </c>
      <c r="F407" s="95"/>
      <c r="G407" s="93"/>
    </row>
    <row r="408" spans="2:7" x14ac:dyDescent="0.2">
      <c r="B408" s="92"/>
      <c r="C408" s="93"/>
      <c r="D408" s="93"/>
      <c r="E408" s="94" t="str">
        <f t="shared" si="6"/>
        <v/>
      </c>
      <c r="F408" s="95"/>
      <c r="G408" s="93"/>
    </row>
    <row r="409" spans="2:7" x14ac:dyDescent="0.2">
      <c r="B409" s="92"/>
      <c r="C409" s="93"/>
      <c r="D409" s="93"/>
      <c r="E409" s="94" t="str">
        <f t="shared" si="6"/>
        <v/>
      </c>
      <c r="F409" s="95"/>
      <c r="G409" s="93"/>
    </row>
    <row r="410" spans="2:7" x14ac:dyDescent="0.2">
      <c r="B410" s="92"/>
      <c r="C410" s="93"/>
      <c r="D410" s="93"/>
      <c r="E410" s="94" t="str">
        <f t="shared" si="6"/>
        <v/>
      </c>
      <c r="F410" s="95"/>
      <c r="G410" s="93"/>
    </row>
    <row r="411" spans="2:7" x14ac:dyDescent="0.2">
      <c r="B411" s="92"/>
      <c r="C411" s="93"/>
      <c r="D411" s="93"/>
      <c r="E411" s="94" t="str">
        <f t="shared" si="6"/>
        <v/>
      </c>
      <c r="F411" s="95"/>
      <c r="G411" s="93"/>
    </row>
    <row r="412" spans="2:7" x14ac:dyDescent="0.2">
      <c r="B412" s="92"/>
      <c r="C412" s="93"/>
      <c r="D412" s="93"/>
      <c r="E412" s="94" t="str">
        <f t="shared" si="6"/>
        <v/>
      </c>
      <c r="F412" s="95"/>
      <c r="G412" s="93"/>
    </row>
    <row r="413" spans="2:7" x14ac:dyDescent="0.2">
      <c r="B413" s="92"/>
      <c r="C413" s="93"/>
      <c r="D413" s="93"/>
      <c r="E413" s="94" t="str">
        <f t="shared" si="6"/>
        <v/>
      </c>
      <c r="F413" s="95"/>
      <c r="G413" s="93"/>
    </row>
    <row r="414" spans="2:7" x14ac:dyDescent="0.2">
      <c r="B414" s="92"/>
      <c r="C414" s="93"/>
      <c r="D414" s="93"/>
      <c r="E414" s="94" t="str">
        <f t="shared" si="6"/>
        <v/>
      </c>
      <c r="F414" s="95"/>
      <c r="G414" s="93"/>
    </row>
    <row r="415" spans="2:7" x14ac:dyDescent="0.2">
      <c r="B415" s="92"/>
      <c r="C415" s="93"/>
      <c r="D415" s="93"/>
      <c r="E415" s="94" t="str">
        <f t="shared" si="6"/>
        <v/>
      </c>
      <c r="F415" s="95"/>
      <c r="G415" s="93"/>
    </row>
    <row r="416" spans="2:7" x14ac:dyDescent="0.2">
      <c r="B416" s="92"/>
      <c r="C416" s="93"/>
      <c r="D416" s="93"/>
      <c r="E416" s="94" t="str">
        <f t="shared" si="6"/>
        <v/>
      </c>
      <c r="F416" s="95"/>
      <c r="G416" s="93"/>
    </row>
    <row r="417" spans="2:7" x14ac:dyDescent="0.2">
      <c r="B417" s="92"/>
      <c r="C417" s="93"/>
      <c r="D417" s="93"/>
      <c r="E417" s="94" t="str">
        <f t="shared" si="6"/>
        <v/>
      </c>
      <c r="F417" s="95"/>
      <c r="G417" s="93"/>
    </row>
    <row r="418" spans="2:7" x14ac:dyDescent="0.2">
      <c r="B418" s="92"/>
      <c r="C418" s="93"/>
      <c r="D418" s="93"/>
      <c r="E418" s="94" t="str">
        <f t="shared" si="6"/>
        <v/>
      </c>
      <c r="F418" s="95"/>
      <c r="G418" s="93"/>
    </row>
    <row r="419" spans="2:7" x14ac:dyDescent="0.2">
      <c r="B419" s="92"/>
      <c r="C419" s="93"/>
      <c r="D419" s="93"/>
      <c r="E419" s="94" t="str">
        <f t="shared" si="6"/>
        <v/>
      </c>
      <c r="F419" s="95"/>
      <c r="G419" s="93"/>
    </row>
    <row r="420" spans="2:7" x14ac:dyDescent="0.2">
      <c r="B420" s="92"/>
      <c r="C420" s="93"/>
      <c r="D420" s="93"/>
      <c r="E420" s="94" t="str">
        <f t="shared" si="6"/>
        <v/>
      </c>
      <c r="F420" s="95"/>
      <c r="G420" s="93"/>
    </row>
    <row r="421" spans="2:7" x14ac:dyDescent="0.2">
      <c r="B421" s="92"/>
      <c r="C421" s="93"/>
      <c r="D421" s="93"/>
      <c r="E421" s="94" t="str">
        <f t="shared" si="6"/>
        <v/>
      </c>
      <c r="F421" s="95"/>
      <c r="G421" s="93"/>
    </row>
    <row r="422" spans="2:7" x14ac:dyDescent="0.2">
      <c r="B422" s="92"/>
      <c r="C422" s="93"/>
      <c r="D422" s="93"/>
      <c r="E422" s="94" t="str">
        <f t="shared" si="6"/>
        <v/>
      </c>
      <c r="F422" s="95"/>
      <c r="G422" s="93"/>
    </row>
    <row r="423" spans="2:7" x14ac:dyDescent="0.2">
      <c r="B423" s="92"/>
      <c r="C423" s="93"/>
      <c r="D423" s="93"/>
      <c r="E423" s="94" t="str">
        <f t="shared" si="6"/>
        <v/>
      </c>
      <c r="F423" s="95"/>
      <c r="G423" s="93"/>
    </row>
    <row r="424" spans="2:7" x14ac:dyDescent="0.2">
      <c r="B424" s="92"/>
      <c r="C424" s="93"/>
      <c r="D424" s="93"/>
      <c r="E424" s="94" t="str">
        <f t="shared" si="6"/>
        <v/>
      </c>
      <c r="F424" s="95"/>
      <c r="G424" s="93"/>
    </row>
    <row r="425" spans="2:7" x14ac:dyDescent="0.2">
      <c r="B425" s="92"/>
      <c r="C425" s="93"/>
      <c r="D425" s="93"/>
      <c r="E425" s="94" t="str">
        <f t="shared" si="6"/>
        <v/>
      </c>
      <c r="F425" s="95"/>
      <c r="G425" s="93"/>
    </row>
    <row r="426" spans="2:7" x14ac:dyDescent="0.2">
      <c r="B426" s="92"/>
      <c r="C426" s="93"/>
      <c r="D426" s="93"/>
      <c r="E426" s="94" t="str">
        <f t="shared" si="6"/>
        <v/>
      </c>
      <c r="F426" s="95"/>
      <c r="G426" s="93"/>
    </row>
    <row r="427" spans="2:7" x14ac:dyDescent="0.2">
      <c r="B427" s="92"/>
      <c r="C427" s="93"/>
      <c r="D427" s="93"/>
      <c r="E427" s="94" t="str">
        <f t="shared" si="6"/>
        <v/>
      </c>
      <c r="F427" s="95"/>
      <c r="G427" s="93"/>
    </row>
    <row r="428" spans="2:7" x14ac:dyDescent="0.2">
      <c r="B428" s="92"/>
      <c r="C428" s="93"/>
      <c r="D428" s="93"/>
      <c r="E428" s="94" t="str">
        <f t="shared" si="6"/>
        <v/>
      </c>
      <c r="F428" s="95"/>
      <c r="G428" s="93"/>
    </row>
    <row r="429" spans="2:7" x14ac:dyDescent="0.2">
      <c r="B429" s="92"/>
      <c r="C429" s="93"/>
      <c r="D429" s="93"/>
      <c r="E429" s="94" t="str">
        <f t="shared" si="6"/>
        <v/>
      </c>
      <c r="F429" s="95"/>
      <c r="G429" s="93"/>
    </row>
    <row r="430" spans="2:7" x14ac:dyDescent="0.2">
      <c r="B430" s="92"/>
      <c r="C430" s="93"/>
      <c r="D430" s="93"/>
      <c r="E430" s="94" t="str">
        <f t="shared" si="6"/>
        <v/>
      </c>
      <c r="F430" s="95"/>
      <c r="G430" s="93"/>
    </row>
    <row r="431" spans="2:7" x14ac:dyDescent="0.2">
      <c r="B431" s="92"/>
      <c r="C431" s="93"/>
      <c r="D431" s="93"/>
      <c r="E431" s="94" t="str">
        <f t="shared" si="6"/>
        <v/>
      </c>
      <c r="F431" s="95"/>
      <c r="G431" s="93"/>
    </row>
    <row r="432" spans="2:7" x14ac:dyDescent="0.2">
      <c r="B432" s="92"/>
      <c r="C432" s="93"/>
      <c r="D432" s="93"/>
      <c r="E432" s="94" t="str">
        <f t="shared" si="6"/>
        <v/>
      </c>
      <c r="F432" s="95"/>
      <c r="G432" s="93"/>
    </row>
    <row r="433" spans="2:7" x14ac:dyDescent="0.2">
      <c r="B433" s="92"/>
      <c r="C433" s="93"/>
      <c r="D433" s="93"/>
      <c r="E433" s="94" t="str">
        <f t="shared" si="6"/>
        <v/>
      </c>
      <c r="F433" s="95"/>
      <c r="G433" s="93"/>
    </row>
    <row r="434" spans="2:7" x14ac:dyDescent="0.2">
      <c r="B434" s="92"/>
      <c r="C434" s="93"/>
      <c r="D434" s="93"/>
      <c r="E434" s="94" t="str">
        <f t="shared" si="6"/>
        <v/>
      </c>
      <c r="F434" s="95"/>
      <c r="G434" s="93"/>
    </row>
    <row r="435" spans="2:7" x14ac:dyDescent="0.2">
      <c r="B435" s="92"/>
      <c r="C435" s="93"/>
      <c r="D435" s="93"/>
      <c r="E435" s="94" t="str">
        <f t="shared" si="6"/>
        <v/>
      </c>
      <c r="F435" s="95"/>
      <c r="G435" s="93"/>
    </row>
    <row r="436" spans="2:7" x14ac:dyDescent="0.2">
      <c r="B436" s="92"/>
      <c r="C436" s="93"/>
      <c r="D436" s="93"/>
      <c r="E436" s="94" t="str">
        <f t="shared" si="6"/>
        <v/>
      </c>
      <c r="F436" s="95"/>
      <c r="G436" s="93"/>
    </row>
    <row r="437" spans="2:7" x14ac:dyDescent="0.2">
      <c r="B437" s="92"/>
      <c r="C437" s="93"/>
      <c r="D437" s="93"/>
      <c r="E437" s="94" t="str">
        <f t="shared" si="6"/>
        <v/>
      </c>
      <c r="F437" s="95"/>
      <c r="G437" s="93"/>
    </row>
    <row r="438" spans="2:7" x14ac:dyDescent="0.2">
      <c r="B438" s="92"/>
      <c r="C438" s="93"/>
      <c r="D438" s="93"/>
      <c r="E438" s="94" t="str">
        <f t="shared" si="6"/>
        <v/>
      </c>
      <c r="F438" s="95"/>
      <c r="G438" s="93"/>
    </row>
    <row r="439" spans="2:7" x14ac:dyDescent="0.2">
      <c r="B439" s="92"/>
      <c r="C439" s="93"/>
      <c r="D439" s="93"/>
      <c r="E439" s="94" t="str">
        <f t="shared" si="6"/>
        <v/>
      </c>
      <c r="F439" s="95"/>
      <c r="G439" s="93"/>
    </row>
    <row r="440" spans="2:7" x14ac:dyDescent="0.2">
      <c r="B440" s="92"/>
      <c r="C440" s="93"/>
      <c r="D440" s="93"/>
      <c r="E440" s="94" t="str">
        <f t="shared" si="6"/>
        <v/>
      </c>
      <c r="F440" s="95"/>
      <c r="G440" s="93"/>
    </row>
    <row r="441" spans="2:7" x14ac:dyDescent="0.2">
      <c r="B441" s="92"/>
      <c r="C441" s="93"/>
      <c r="D441" s="93"/>
      <c r="E441" s="94" t="str">
        <f t="shared" si="6"/>
        <v/>
      </c>
      <c r="F441" s="95"/>
      <c r="G441" s="93"/>
    </row>
    <row r="442" spans="2:7" x14ac:dyDescent="0.2">
      <c r="B442" s="92"/>
      <c r="C442" s="93"/>
      <c r="D442" s="93"/>
      <c r="E442" s="94" t="str">
        <f t="shared" si="6"/>
        <v/>
      </c>
      <c r="F442" s="95"/>
      <c r="G442" s="93"/>
    </row>
    <row r="443" spans="2:7" x14ac:dyDescent="0.2">
      <c r="B443" s="92"/>
      <c r="C443" s="93"/>
      <c r="D443" s="93"/>
      <c r="E443" s="94" t="str">
        <f t="shared" si="6"/>
        <v/>
      </c>
      <c r="F443" s="95"/>
      <c r="G443" s="93"/>
    </row>
    <row r="444" spans="2:7" x14ac:dyDescent="0.2">
      <c r="B444" s="92"/>
      <c r="C444" s="93"/>
      <c r="D444" s="93"/>
      <c r="E444" s="94" t="str">
        <f t="shared" si="6"/>
        <v/>
      </c>
      <c r="F444" s="95"/>
      <c r="G444" s="93"/>
    </row>
    <row r="445" spans="2:7" x14ac:dyDescent="0.2">
      <c r="B445" s="92"/>
      <c r="C445" s="93"/>
      <c r="D445" s="93"/>
      <c r="E445" s="94" t="str">
        <f t="shared" si="6"/>
        <v/>
      </c>
      <c r="F445" s="95"/>
      <c r="G445" s="93"/>
    </row>
    <row r="446" spans="2:7" x14ac:dyDescent="0.2">
      <c r="B446" s="92"/>
      <c r="C446" s="93"/>
      <c r="D446" s="93"/>
      <c r="E446" s="94" t="str">
        <f t="shared" si="6"/>
        <v/>
      </c>
      <c r="F446" s="95"/>
      <c r="G446" s="93"/>
    </row>
    <row r="447" spans="2:7" x14ac:dyDescent="0.2">
      <c r="B447" s="92"/>
      <c r="C447" s="93"/>
      <c r="D447" s="93"/>
      <c r="E447" s="94" t="str">
        <f t="shared" si="6"/>
        <v/>
      </c>
      <c r="F447" s="95"/>
      <c r="G447" s="93"/>
    </row>
    <row r="448" spans="2:7" x14ac:dyDescent="0.2">
      <c r="B448" s="92"/>
      <c r="C448" s="93"/>
      <c r="D448" s="93"/>
      <c r="E448" s="94" t="str">
        <f t="shared" si="6"/>
        <v/>
      </c>
      <c r="F448" s="95"/>
      <c r="G448" s="93"/>
    </row>
    <row r="449" spans="2:7" x14ac:dyDescent="0.2">
      <c r="B449" s="92"/>
      <c r="C449" s="93"/>
      <c r="D449" s="93"/>
      <c r="E449" s="94" t="str">
        <f t="shared" si="6"/>
        <v/>
      </c>
      <c r="F449" s="95"/>
      <c r="G449" s="93"/>
    </row>
    <row r="450" spans="2:7" x14ac:dyDescent="0.2">
      <c r="B450" s="92"/>
      <c r="C450" s="93"/>
      <c r="D450" s="93"/>
      <c r="E450" s="94" t="str">
        <f t="shared" si="6"/>
        <v/>
      </c>
      <c r="F450" s="95"/>
      <c r="G450" s="93"/>
    </row>
    <row r="451" spans="2:7" x14ac:dyDescent="0.2">
      <c r="B451" s="92"/>
      <c r="C451" s="93"/>
      <c r="D451" s="93"/>
      <c r="E451" s="94" t="str">
        <f t="shared" si="6"/>
        <v/>
      </c>
      <c r="F451" s="95"/>
      <c r="G451" s="93"/>
    </row>
    <row r="452" spans="2:7" x14ac:dyDescent="0.2">
      <c r="B452" s="92"/>
      <c r="C452" s="93"/>
      <c r="D452" s="93"/>
      <c r="E452" s="94" t="str">
        <f t="shared" si="6"/>
        <v/>
      </c>
      <c r="F452" s="95"/>
      <c r="G452" s="93"/>
    </row>
    <row r="453" spans="2:7" x14ac:dyDescent="0.2">
      <c r="B453" s="92"/>
      <c r="C453" s="93"/>
      <c r="D453" s="93"/>
      <c r="E453" s="94" t="str">
        <f t="shared" si="6"/>
        <v/>
      </c>
      <c r="F453" s="95"/>
      <c r="G453" s="93"/>
    </row>
    <row r="454" spans="2:7" x14ac:dyDescent="0.2">
      <c r="B454" s="92"/>
      <c r="C454" s="93"/>
      <c r="D454" s="93"/>
      <c r="E454" s="94" t="str">
        <f t="shared" ref="E454:E517" si="7">IF(C454&lt;&gt;"",D454-C454,"")</f>
        <v/>
      </c>
      <c r="F454" s="95"/>
      <c r="G454" s="93"/>
    </row>
    <row r="455" spans="2:7" x14ac:dyDescent="0.2">
      <c r="B455" s="92"/>
      <c r="C455" s="93"/>
      <c r="D455" s="93"/>
      <c r="E455" s="94" t="str">
        <f t="shared" si="7"/>
        <v/>
      </c>
      <c r="F455" s="95"/>
      <c r="G455" s="93"/>
    </row>
    <row r="456" spans="2:7" x14ac:dyDescent="0.2">
      <c r="B456" s="92"/>
      <c r="C456" s="93"/>
      <c r="D456" s="93"/>
      <c r="E456" s="94" t="str">
        <f t="shared" si="7"/>
        <v/>
      </c>
      <c r="F456" s="95"/>
      <c r="G456" s="93"/>
    </row>
    <row r="457" spans="2:7" x14ac:dyDescent="0.2">
      <c r="B457" s="92"/>
      <c r="C457" s="93"/>
      <c r="D457" s="93"/>
      <c r="E457" s="94" t="str">
        <f t="shared" si="7"/>
        <v/>
      </c>
      <c r="F457" s="95"/>
      <c r="G457" s="93"/>
    </row>
    <row r="458" spans="2:7" x14ac:dyDescent="0.2">
      <c r="B458" s="92"/>
      <c r="C458" s="93"/>
      <c r="D458" s="93"/>
      <c r="E458" s="94" t="str">
        <f t="shared" si="7"/>
        <v/>
      </c>
      <c r="F458" s="95"/>
      <c r="G458" s="93"/>
    </row>
    <row r="459" spans="2:7" x14ac:dyDescent="0.2">
      <c r="B459" s="92"/>
      <c r="C459" s="93"/>
      <c r="D459" s="93"/>
      <c r="E459" s="94" t="str">
        <f t="shared" si="7"/>
        <v/>
      </c>
      <c r="F459" s="95"/>
      <c r="G459" s="93"/>
    </row>
    <row r="460" spans="2:7" x14ac:dyDescent="0.2">
      <c r="B460" s="92"/>
      <c r="C460" s="93"/>
      <c r="D460" s="93"/>
      <c r="E460" s="94" t="str">
        <f t="shared" si="7"/>
        <v/>
      </c>
      <c r="F460" s="95"/>
      <c r="G460" s="93"/>
    </row>
    <row r="461" spans="2:7" x14ac:dyDescent="0.2">
      <c r="B461" s="92"/>
      <c r="C461" s="93"/>
      <c r="D461" s="93"/>
      <c r="E461" s="94" t="str">
        <f t="shared" si="7"/>
        <v/>
      </c>
      <c r="F461" s="95"/>
      <c r="G461" s="93"/>
    </row>
    <row r="462" spans="2:7" x14ac:dyDescent="0.2">
      <c r="B462" s="92"/>
      <c r="C462" s="93"/>
      <c r="D462" s="93"/>
      <c r="E462" s="94" t="str">
        <f t="shared" si="7"/>
        <v/>
      </c>
      <c r="F462" s="95"/>
      <c r="G462" s="93"/>
    </row>
    <row r="463" spans="2:7" x14ac:dyDescent="0.2">
      <c r="B463" s="92"/>
      <c r="C463" s="93"/>
      <c r="D463" s="93"/>
      <c r="E463" s="94" t="str">
        <f t="shared" si="7"/>
        <v/>
      </c>
      <c r="F463" s="95"/>
      <c r="G463" s="93"/>
    </row>
    <row r="464" spans="2:7" x14ac:dyDescent="0.2">
      <c r="B464" s="92"/>
      <c r="C464" s="93"/>
      <c r="D464" s="93"/>
      <c r="E464" s="94" t="str">
        <f t="shared" si="7"/>
        <v/>
      </c>
      <c r="F464" s="95"/>
      <c r="G464" s="93"/>
    </row>
    <row r="465" spans="2:7" x14ac:dyDescent="0.2">
      <c r="B465" s="92"/>
      <c r="C465" s="93"/>
      <c r="D465" s="93"/>
      <c r="E465" s="94" t="str">
        <f t="shared" si="7"/>
        <v/>
      </c>
      <c r="F465" s="95"/>
      <c r="G465" s="93"/>
    </row>
    <row r="466" spans="2:7" x14ac:dyDescent="0.2">
      <c r="B466" s="92"/>
      <c r="C466" s="93"/>
      <c r="D466" s="93"/>
      <c r="E466" s="94" t="str">
        <f t="shared" si="7"/>
        <v/>
      </c>
      <c r="F466" s="95"/>
      <c r="G466" s="93"/>
    </row>
    <row r="467" spans="2:7" x14ac:dyDescent="0.2">
      <c r="B467" s="92"/>
      <c r="C467" s="93"/>
      <c r="D467" s="93"/>
      <c r="E467" s="94" t="str">
        <f t="shared" si="7"/>
        <v/>
      </c>
      <c r="F467" s="95"/>
      <c r="G467" s="93"/>
    </row>
    <row r="468" spans="2:7" x14ac:dyDescent="0.2">
      <c r="B468" s="92"/>
      <c r="C468" s="93"/>
      <c r="D468" s="93"/>
      <c r="E468" s="94" t="str">
        <f t="shared" si="7"/>
        <v/>
      </c>
      <c r="F468" s="95"/>
      <c r="G468" s="93"/>
    </row>
    <row r="469" spans="2:7" x14ac:dyDescent="0.2">
      <c r="B469" s="92"/>
      <c r="C469" s="93"/>
      <c r="D469" s="93"/>
      <c r="E469" s="94" t="str">
        <f t="shared" si="7"/>
        <v/>
      </c>
      <c r="F469" s="95"/>
      <c r="G469" s="93"/>
    </row>
    <row r="470" spans="2:7" x14ac:dyDescent="0.2">
      <c r="B470" s="92"/>
      <c r="C470" s="93"/>
      <c r="D470" s="93"/>
      <c r="E470" s="94" t="str">
        <f t="shared" si="7"/>
        <v/>
      </c>
      <c r="F470" s="95"/>
      <c r="G470" s="93"/>
    </row>
    <row r="471" spans="2:7" x14ac:dyDescent="0.2">
      <c r="B471" s="92"/>
      <c r="C471" s="93"/>
      <c r="D471" s="93"/>
      <c r="E471" s="94" t="str">
        <f t="shared" si="7"/>
        <v/>
      </c>
      <c r="F471" s="95"/>
      <c r="G471" s="93"/>
    </row>
    <row r="472" spans="2:7" x14ac:dyDescent="0.2">
      <c r="B472" s="92"/>
      <c r="C472" s="93"/>
      <c r="D472" s="93"/>
      <c r="E472" s="94" t="str">
        <f t="shared" si="7"/>
        <v/>
      </c>
      <c r="F472" s="95"/>
      <c r="G472" s="93"/>
    </row>
    <row r="473" spans="2:7" x14ac:dyDescent="0.2">
      <c r="B473" s="92"/>
      <c r="C473" s="93"/>
      <c r="D473" s="93"/>
      <c r="E473" s="94" t="str">
        <f t="shared" si="7"/>
        <v/>
      </c>
      <c r="F473" s="95"/>
      <c r="G473" s="93"/>
    </row>
    <row r="474" spans="2:7" x14ac:dyDescent="0.2">
      <c r="B474" s="92"/>
      <c r="C474" s="93"/>
      <c r="D474" s="93"/>
      <c r="E474" s="94" t="str">
        <f t="shared" si="7"/>
        <v/>
      </c>
      <c r="F474" s="95"/>
      <c r="G474" s="93"/>
    </row>
    <row r="475" spans="2:7" x14ac:dyDescent="0.2">
      <c r="B475" s="92"/>
      <c r="C475" s="93"/>
      <c r="D475" s="93"/>
      <c r="E475" s="94" t="str">
        <f t="shared" si="7"/>
        <v/>
      </c>
      <c r="F475" s="95"/>
      <c r="G475" s="93"/>
    </row>
    <row r="476" spans="2:7" x14ac:dyDescent="0.2">
      <c r="B476" s="92"/>
      <c r="C476" s="93"/>
      <c r="D476" s="93"/>
      <c r="E476" s="94" t="str">
        <f t="shared" si="7"/>
        <v/>
      </c>
      <c r="F476" s="95"/>
      <c r="G476" s="93"/>
    </row>
    <row r="477" spans="2:7" x14ac:dyDescent="0.2">
      <c r="B477" s="92"/>
      <c r="C477" s="93"/>
      <c r="D477" s="93"/>
      <c r="E477" s="94" t="str">
        <f t="shared" si="7"/>
        <v/>
      </c>
      <c r="F477" s="95"/>
      <c r="G477" s="93"/>
    </row>
    <row r="478" spans="2:7" x14ac:dyDescent="0.2">
      <c r="B478" s="92"/>
      <c r="C478" s="93"/>
      <c r="D478" s="93"/>
      <c r="E478" s="94" t="str">
        <f t="shared" si="7"/>
        <v/>
      </c>
      <c r="F478" s="95"/>
      <c r="G478" s="93"/>
    </row>
    <row r="479" spans="2:7" x14ac:dyDescent="0.2">
      <c r="B479" s="92"/>
      <c r="C479" s="93"/>
      <c r="D479" s="93"/>
      <c r="E479" s="94" t="str">
        <f t="shared" si="7"/>
        <v/>
      </c>
      <c r="F479" s="95"/>
      <c r="G479" s="93"/>
    </row>
    <row r="480" spans="2:7" x14ac:dyDescent="0.2">
      <c r="B480" s="92"/>
      <c r="C480" s="93"/>
      <c r="D480" s="93"/>
      <c r="E480" s="94" t="str">
        <f t="shared" si="7"/>
        <v/>
      </c>
      <c r="F480" s="95"/>
      <c r="G480" s="93"/>
    </row>
    <row r="481" spans="2:7" x14ac:dyDescent="0.2">
      <c r="B481" s="92"/>
      <c r="C481" s="93"/>
      <c r="D481" s="93"/>
      <c r="E481" s="94" t="str">
        <f t="shared" si="7"/>
        <v/>
      </c>
      <c r="F481" s="95"/>
      <c r="G481" s="93"/>
    </row>
    <row r="482" spans="2:7" x14ac:dyDescent="0.2">
      <c r="B482" s="92"/>
      <c r="C482" s="93"/>
      <c r="D482" s="93"/>
      <c r="E482" s="94" t="str">
        <f t="shared" si="7"/>
        <v/>
      </c>
      <c r="F482" s="95"/>
      <c r="G482" s="93"/>
    </row>
    <row r="483" spans="2:7" x14ac:dyDescent="0.2">
      <c r="B483" s="92"/>
      <c r="C483" s="93"/>
      <c r="D483" s="93"/>
      <c r="E483" s="94" t="str">
        <f t="shared" si="7"/>
        <v/>
      </c>
      <c r="F483" s="95"/>
      <c r="G483" s="93"/>
    </row>
    <row r="484" spans="2:7" x14ac:dyDescent="0.2">
      <c r="B484" s="92"/>
      <c r="C484" s="93"/>
      <c r="D484" s="93"/>
      <c r="E484" s="94" t="str">
        <f t="shared" si="7"/>
        <v/>
      </c>
      <c r="F484" s="95"/>
      <c r="G484" s="93"/>
    </row>
    <row r="485" spans="2:7" x14ac:dyDescent="0.2">
      <c r="B485" s="92"/>
      <c r="C485" s="93"/>
      <c r="D485" s="93"/>
      <c r="E485" s="94" t="str">
        <f t="shared" si="7"/>
        <v/>
      </c>
      <c r="F485" s="95"/>
      <c r="G485" s="93"/>
    </row>
    <row r="486" spans="2:7" x14ac:dyDescent="0.2">
      <c r="B486" s="92"/>
      <c r="C486" s="93"/>
      <c r="D486" s="93"/>
      <c r="E486" s="94" t="str">
        <f t="shared" si="7"/>
        <v/>
      </c>
      <c r="F486" s="95"/>
      <c r="G486" s="93"/>
    </row>
    <row r="487" spans="2:7" x14ac:dyDescent="0.2">
      <c r="B487" s="92"/>
      <c r="C487" s="93"/>
      <c r="D487" s="93"/>
      <c r="E487" s="94" t="str">
        <f t="shared" si="7"/>
        <v/>
      </c>
      <c r="F487" s="95"/>
      <c r="G487" s="93"/>
    </row>
    <row r="488" spans="2:7" x14ac:dyDescent="0.2">
      <c r="B488" s="92"/>
      <c r="C488" s="93"/>
      <c r="D488" s="93"/>
      <c r="E488" s="94" t="str">
        <f t="shared" si="7"/>
        <v/>
      </c>
      <c r="F488" s="95"/>
      <c r="G488" s="93"/>
    </row>
    <row r="489" spans="2:7" x14ac:dyDescent="0.2">
      <c r="B489" s="92"/>
      <c r="C489" s="93"/>
      <c r="D489" s="93"/>
      <c r="E489" s="94" t="str">
        <f t="shared" si="7"/>
        <v/>
      </c>
      <c r="F489" s="95"/>
      <c r="G489" s="93"/>
    </row>
    <row r="490" spans="2:7" x14ac:dyDescent="0.2">
      <c r="B490" s="92"/>
      <c r="C490" s="93"/>
      <c r="D490" s="93"/>
      <c r="E490" s="94" t="str">
        <f t="shared" si="7"/>
        <v/>
      </c>
      <c r="F490" s="95"/>
      <c r="G490" s="93"/>
    </row>
    <row r="491" spans="2:7" x14ac:dyDescent="0.2">
      <c r="B491" s="92"/>
      <c r="C491" s="93"/>
      <c r="D491" s="93"/>
      <c r="E491" s="94" t="str">
        <f t="shared" si="7"/>
        <v/>
      </c>
      <c r="F491" s="95"/>
      <c r="G491" s="93"/>
    </row>
    <row r="492" spans="2:7" x14ac:dyDescent="0.2">
      <c r="B492" s="92"/>
      <c r="C492" s="93"/>
      <c r="D492" s="93"/>
      <c r="E492" s="94" t="str">
        <f t="shared" si="7"/>
        <v/>
      </c>
      <c r="F492" s="95"/>
      <c r="G492" s="93"/>
    </row>
    <row r="493" spans="2:7" x14ac:dyDescent="0.2">
      <c r="B493" s="92"/>
      <c r="C493" s="93"/>
      <c r="D493" s="93"/>
      <c r="E493" s="94" t="str">
        <f t="shared" si="7"/>
        <v/>
      </c>
      <c r="F493" s="95"/>
      <c r="G493" s="93"/>
    </row>
    <row r="494" spans="2:7" x14ac:dyDescent="0.2">
      <c r="B494" s="92"/>
      <c r="C494" s="93"/>
      <c r="D494" s="93"/>
      <c r="E494" s="94" t="str">
        <f t="shared" si="7"/>
        <v/>
      </c>
      <c r="F494" s="95"/>
      <c r="G494" s="93"/>
    </row>
    <row r="495" spans="2:7" x14ac:dyDescent="0.2">
      <c r="B495" s="92"/>
      <c r="C495" s="93"/>
      <c r="D495" s="93"/>
      <c r="E495" s="94" t="str">
        <f t="shared" si="7"/>
        <v/>
      </c>
      <c r="F495" s="95"/>
      <c r="G495" s="93"/>
    </row>
    <row r="496" spans="2:7" x14ac:dyDescent="0.2">
      <c r="B496" s="92"/>
      <c r="C496" s="93"/>
      <c r="D496" s="93"/>
      <c r="E496" s="94" t="str">
        <f t="shared" si="7"/>
        <v/>
      </c>
      <c r="F496" s="95"/>
      <c r="G496" s="93"/>
    </row>
    <row r="497" spans="2:7" x14ac:dyDescent="0.2">
      <c r="B497" s="92"/>
      <c r="C497" s="93"/>
      <c r="D497" s="93"/>
      <c r="E497" s="94" t="str">
        <f t="shared" si="7"/>
        <v/>
      </c>
      <c r="F497" s="95"/>
      <c r="G497" s="93"/>
    </row>
    <row r="498" spans="2:7" x14ac:dyDescent="0.2">
      <c r="B498" s="92"/>
      <c r="C498" s="93"/>
      <c r="D498" s="93"/>
      <c r="E498" s="94" t="str">
        <f t="shared" si="7"/>
        <v/>
      </c>
      <c r="F498" s="95"/>
      <c r="G498" s="93"/>
    </row>
    <row r="499" spans="2:7" x14ac:dyDescent="0.2">
      <c r="B499" s="92"/>
      <c r="C499" s="93"/>
      <c r="D499" s="93"/>
      <c r="E499" s="94" t="str">
        <f t="shared" si="7"/>
        <v/>
      </c>
      <c r="F499" s="95"/>
      <c r="G499" s="93"/>
    </row>
    <row r="500" spans="2:7" x14ac:dyDescent="0.2">
      <c r="B500" s="92"/>
      <c r="C500" s="93"/>
      <c r="D500" s="93"/>
      <c r="E500" s="94" t="str">
        <f t="shared" si="7"/>
        <v/>
      </c>
      <c r="F500" s="95"/>
      <c r="G500" s="93"/>
    </row>
    <row r="501" spans="2:7" x14ac:dyDescent="0.2">
      <c r="B501" s="92"/>
      <c r="C501" s="93"/>
      <c r="D501" s="93"/>
      <c r="E501" s="94" t="str">
        <f t="shared" si="7"/>
        <v/>
      </c>
      <c r="F501" s="95"/>
      <c r="G501" s="93"/>
    </row>
    <row r="502" spans="2:7" x14ac:dyDescent="0.2">
      <c r="B502" s="92"/>
      <c r="C502" s="93"/>
      <c r="D502" s="93"/>
      <c r="E502" s="94" t="str">
        <f t="shared" si="7"/>
        <v/>
      </c>
      <c r="F502" s="95"/>
      <c r="G502" s="93"/>
    </row>
    <row r="503" spans="2:7" x14ac:dyDescent="0.2">
      <c r="B503" s="92"/>
      <c r="C503" s="93"/>
      <c r="D503" s="93"/>
      <c r="E503" s="94" t="str">
        <f t="shared" si="7"/>
        <v/>
      </c>
      <c r="F503" s="95"/>
      <c r="G503" s="93"/>
    </row>
    <row r="504" spans="2:7" x14ac:dyDescent="0.2">
      <c r="B504" s="92"/>
      <c r="C504" s="93"/>
      <c r="D504" s="93"/>
      <c r="E504" s="94" t="str">
        <f t="shared" si="7"/>
        <v/>
      </c>
      <c r="F504" s="95"/>
      <c r="G504" s="93"/>
    </row>
    <row r="505" spans="2:7" x14ac:dyDescent="0.2">
      <c r="B505" s="92"/>
      <c r="C505" s="93"/>
      <c r="D505" s="93"/>
      <c r="E505" s="94" t="str">
        <f t="shared" si="7"/>
        <v/>
      </c>
      <c r="F505" s="95"/>
      <c r="G505" s="93"/>
    </row>
    <row r="506" spans="2:7" x14ac:dyDescent="0.2">
      <c r="B506" s="92"/>
      <c r="C506" s="93"/>
      <c r="D506" s="93"/>
      <c r="E506" s="94" t="str">
        <f t="shared" si="7"/>
        <v/>
      </c>
      <c r="F506" s="95"/>
      <c r="G506" s="93"/>
    </row>
    <row r="507" spans="2:7" x14ac:dyDescent="0.2">
      <c r="B507" s="92"/>
      <c r="C507" s="93"/>
      <c r="D507" s="93"/>
      <c r="E507" s="94" t="str">
        <f t="shared" si="7"/>
        <v/>
      </c>
      <c r="F507" s="95"/>
      <c r="G507" s="93"/>
    </row>
    <row r="508" spans="2:7" x14ac:dyDescent="0.2">
      <c r="B508" s="92"/>
      <c r="C508" s="93"/>
      <c r="D508" s="93"/>
      <c r="E508" s="94" t="str">
        <f t="shared" si="7"/>
        <v/>
      </c>
      <c r="F508" s="95"/>
      <c r="G508" s="93"/>
    </row>
    <row r="509" spans="2:7" x14ac:dyDescent="0.2">
      <c r="B509" s="92"/>
      <c r="C509" s="93"/>
      <c r="D509" s="93"/>
      <c r="E509" s="94" t="str">
        <f t="shared" si="7"/>
        <v/>
      </c>
      <c r="F509" s="95"/>
      <c r="G509" s="93"/>
    </row>
    <row r="510" spans="2:7" x14ac:dyDescent="0.2">
      <c r="B510" s="92"/>
      <c r="C510" s="93"/>
      <c r="D510" s="93"/>
      <c r="E510" s="94" t="str">
        <f t="shared" si="7"/>
        <v/>
      </c>
      <c r="F510" s="95"/>
      <c r="G510" s="93"/>
    </row>
    <row r="511" spans="2:7" x14ac:dyDescent="0.2">
      <c r="B511" s="92"/>
      <c r="C511" s="93"/>
      <c r="D511" s="93"/>
      <c r="E511" s="94" t="str">
        <f t="shared" si="7"/>
        <v/>
      </c>
      <c r="F511" s="95"/>
      <c r="G511" s="93"/>
    </row>
    <row r="512" spans="2:7" x14ac:dyDescent="0.2">
      <c r="B512" s="92"/>
      <c r="C512" s="93"/>
      <c r="D512" s="93"/>
      <c r="E512" s="94" t="str">
        <f t="shared" si="7"/>
        <v/>
      </c>
      <c r="F512" s="95"/>
      <c r="G512" s="93"/>
    </row>
    <row r="513" spans="2:7" x14ac:dyDescent="0.2">
      <c r="B513" s="92"/>
      <c r="C513" s="93"/>
      <c r="D513" s="93"/>
      <c r="E513" s="94" t="str">
        <f t="shared" si="7"/>
        <v/>
      </c>
      <c r="F513" s="95"/>
      <c r="G513" s="93"/>
    </row>
    <row r="514" spans="2:7" x14ac:dyDescent="0.2">
      <c r="B514" s="92"/>
      <c r="C514" s="93"/>
      <c r="D514" s="93"/>
      <c r="E514" s="94" t="str">
        <f t="shared" si="7"/>
        <v/>
      </c>
      <c r="F514" s="95"/>
      <c r="G514" s="93"/>
    </row>
    <row r="515" spans="2:7" x14ac:dyDescent="0.2">
      <c r="B515" s="92"/>
      <c r="C515" s="93"/>
      <c r="D515" s="93"/>
      <c r="E515" s="94" t="str">
        <f t="shared" si="7"/>
        <v/>
      </c>
      <c r="F515" s="95"/>
      <c r="G515" s="93"/>
    </row>
    <row r="516" spans="2:7" x14ac:dyDescent="0.2">
      <c r="B516" s="92"/>
      <c r="C516" s="93"/>
      <c r="D516" s="93"/>
      <c r="E516" s="94" t="str">
        <f t="shared" si="7"/>
        <v/>
      </c>
      <c r="F516" s="95"/>
      <c r="G516" s="93"/>
    </row>
    <row r="517" spans="2:7" x14ac:dyDescent="0.2">
      <c r="B517" s="92"/>
      <c r="C517" s="93"/>
      <c r="D517" s="93"/>
      <c r="E517" s="94" t="str">
        <f t="shared" si="7"/>
        <v/>
      </c>
      <c r="F517" s="95"/>
      <c r="G517" s="93"/>
    </row>
    <row r="518" spans="2:7" x14ac:dyDescent="0.2">
      <c r="B518" s="92"/>
      <c r="C518" s="93"/>
      <c r="D518" s="93"/>
      <c r="E518" s="94" t="str">
        <f t="shared" ref="E518:E581" si="8">IF(C518&lt;&gt;"",D518-C518,"")</f>
        <v/>
      </c>
      <c r="F518" s="95"/>
      <c r="G518" s="93"/>
    </row>
    <row r="519" spans="2:7" x14ac:dyDescent="0.2">
      <c r="B519" s="92"/>
      <c r="C519" s="93"/>
      <c r="D519" s="93"/>
      <c r="E519" s="94" t="str">
        <f t="shared" si="8"/>
        <v/>
      </c>
      <c r="F519" s="95"/>
      <c r="G519" s="93"/>
    </row>
    <row r="520" spans="2:7" x14ac:dyDescent="0.2">
      <c r="B520" s="92"/>
      <c r="C520" s="93"/>
      <c r="D520" s="93"/>
      <c r="E520" s="94" t="str">
        <f t="shared" si="8"/>
        <v/>
      </c>
      <c r="F520" s="95"/>
      <c r="G520" s="93"/>
    </row>
    <row r="521" spans="2:7" x14ac:dyDescent="0.2">
      <c r="B521" s="92"/>
      <c r="C521" s="93"/>
      <c r="D521" s="93"/>
      <c r="E521" s="94" t="str">
        <f t="shared" si="8"/>
        <v/>
      </c>
      <c r="F521" s="95"/>
      <c r="G521" s="93"/>
    </row>
    <row r="522" spans="2:7" x14ac:dyDescent="0.2">
      <c r="B522" s="92"/>
      <c r="C522" s="93"/>
      <c r="D522" s="93"/>
      <c r="E522" s="94" t="str">
        <f t="shared" si="8"/>
        <v/>
      </c>
      <c r="F522" s="95"/>
      <c r="G522" s="93"/>
    </row>
    <row r="523" spans="2:7" x14ac:dyDescent="0.2">
      <c r="B523" s="92"/>
      <c r="C523" s="93"/>
      <c r="D523" s="93"/>
      <c r="E523" s="94" t="str">
        <f t="shared" si="8"/>
        <v/>
      </c>
      <c r="F523" s="95"/>
      <c r="G523" s="93"/>
    </row>
    <row r="524" spans="2:7" x14ac:dyDescent="0.2">
      <c r="B524" s="92"/>
      <c r="C524" s="93"/>
      <c r="D524" s="93"/>
      <c r="E524" s="94" t="str">
        <f t="shared" si="8"/>
        <v/>
      </c>
      <c r="F524" s="95"/>
      <c r="G524" s="93"/>
    </row>
    <row r="525" spans="2:7" x14ac:dyDescent="0.2">
      <c r="B525" s="92"/>
      <c r="C525" s="93"/>
      <c r="D525" s="93"/>
      <c r="E525" s="94" t="str">
        <f t="shared" si="8"/>
        <v/>
      </c>
      <c r="F525" s="95"/>
      <c r="G525" s="93"/>
    </row>
    <row r="526" spans="2:7" x14ac:dyDescent="0.2">
      <c r="B526" s="92"/>
      <c r="C526" s="93"/>
      <c r="D526" s="93"/>
      <c r="E526" s="94" t="str">
        <f t="shared" si="8"/>
        <v/>
      </c>
      <c r="F526" s="95"/>
      <c r="G526" s="93"/>
    </row>
    <row r="527" spans="2:7" x14ac:dyDescent="0.2">
      <c r="B527" s="92"/>
      <c r="C527" s="93"/>
      <c r="D527" s="93"/>
      <c r="E527" s="94" t="str">
        <f t="shared" si="8"/>
        <v/>
      </c>
      <c r="F527" s="95"/>
      <c r="G527" s="93"/>
    </row>
    <row r="528" spans="2:7" x14ac:dyDescent="0.2">
      <c r="B528" s="92"/>
      <c r="C528" s="93"/>
      <c r="D528" s="93"/>
      <c r="E528" s="94" t="str">
        <f t="shared" si="8"/>
        <v/>
      </c>
      <c r="F528" s="95"/>
      <c r="G528" s="93"/>
    </row>
    <row r="529" spans="2:7" x14ac:dyDescent="0.2">
      <c r="B529" s="92"/>
      <c r="C529" s="93"/>
      <c r="D529" s="93"/>
      <c r="E529" s="94" t="str">
        <f t="shared" si="8"/>
        <v/>
      </c>
      <c r="F529" s="95"/>
      <c r="G529" s="93"/>
    </row>
    <row r="530" spans="2:7" x14ac:dyDescent="0.2">
      <c r="B530" s="92"/>
      <c r="C530" s="93"/>
      <c r="D530" s="93"/>
      <c r="E530" s="94" t="str">
        <f t="shared" si="8"/>
        <v/>
      </c>
      <c r="F530" s="95"/>
      <c r="G530" s="93"/>
    </row>
    <row r="531" spans="2:7" x14ac:dyDescent="0.2">
      <c r="B531" s="92"/>
      <c r="C531" s="93"/>
      <c r="D531" s="93"/>
      <c r="E531" s="94" t="str">
        <f t="shared" si="8"/>
        <v/>
      </c>
      <c r="F531" s="95"/>
      <c r="G531" s="93"/>
    </row>
    <row r="532" spans="2:7" x14ac:dyDescent="0.2">
      <c r="B532" s="92"/>
      <c r="C532" s="93"/>
      <c r="D532" s="93"/>
      <c r="E532" s="94" t="str">
        <f t="shared" si="8"/>
        <v/>
      </c>
      <c r="F532" s="95"/>
      <c r="G532" s="93"/>
    </row>
    <row r="533" spans="2:7" x14ac:dyDescent="0.2">
      <c r="B533" s="92"/>
      <c r="C533" s="93"/>
      <c r="D533" s="93"/>
      <c r="E533" s="94" t="str">
        <f t="shared" si="8"/>
        <v/>
      </c>
      <c r="F533" s="95"/>
      <c r="G533" s="93"/>
    </row>
    <row r="534" spans="2:7" x14ac:dyDescent="0.2">
      <c r="B534" s="92"/>
      <c r="C534" s="93"/>
      <c r="D534" s="93"/>
      <c r="E534" s="94" t="str">
        <f t="shared" si="8"/>
        <v/>
      </c>
      <c r="F534" s="95"/>
      <c r="G534" s="93"/>
    </row>
    <row r="535" spans="2:7" x14ac:dyDescent="0.2">
      <c r="B535" s="92"/>
      <c r="C535" s="93"/>
      <c r="D535" s="93"/>
      <c r="E535" s="94" t="str">
        <f t="shared" si="8"/>
        <v/>
      </c>
      <c r="F535" s="95"/>
      <c r="G535" s="93"/>
    </row>
    <row r="536" spans="2:7" x14ac:dyDescent="0.2">
      <c r="B536" s="92"/>
      <c r="C536" s="93"/>
      <c r="D536" s="93"/>
      <c r="E536" s="94" t="str">
        <f t="shared" si="8"/>
        <v/>
      </c>
      <c r="F536" s="95"/>
      <c r="G536" s="93"/>
    </row>
    <row r="537" spans="2:7" x14ac:dyDescent="0.2">
      <c r="B537" s="92"/>
      <c r="C537" s="93"/>
      <c r="D537" s="93"/>
      <c r="E537" s="94" t="str">
        <f t="shared" si="8"/>
        <v/>
      </c>
      <c r="F537" s="95"/>
      <c r="G537" s="93"/>
    </row>
    <row r="538" spans="2:7" x14ac:dyDescent="0.2">
      <c r="B538" s="92"/>
      <c r="C538" s="93"/>
      <c r="D538" s="93"/>
      <c r="E538" s="94" t="str">
        <f t="shared" si="8"/>
        <v/>
      </c>
      <c r="F538" s="95"/>
      <c r="G538" s="93"/>
    </row>
    <row r="539" spans="2:7" x14ac:dyDescent="0.2">
      <c r="B539" s="92"/>
      <c r="C539" s="93"/>
      <c r="D539" s="93"/>
      <c r="E539" s="94" t="str">
        <f t="shared" si="8"/>
        <v/>
      </c>
      <c r="F539" s="95"/>
      <c r="G539" s="93"/>
    </row>
    <row r="540" spans="2:7" x14ac:dyDescent="0.2">
      <c r="B540" s="92"/>
      <c r="C540" s="93"/>
      <c r="D540" s="93"/>
      <c r="E540" s="94" t="str">
        <f t="shared" si="8"/>
        <v/>
      </c>
      <c r="F540" s="95"/>
      <c r="G540" s="93"/>
    </row>
    <row r="541" spans="2:7" x14ac:dyDescent="0.2">
      <c r="B541" s="92"/>
      <c r="C541" s="93"/>
      <c r="D541" s="93"/>
      <c r="E541" s="94" t="str">
        <f t="shared" si="8"/>
        <v/>
      </c>
      <c r="F541" s="95"/>
      <c r="G541" s="93"/>
    </row>
    <row r="542" spans="2:7" x14ac:dyDescent="0.2">
      <c r="B542" s="92"/>
      <c r="C542" s="93"/>
      <c r="D542" s="93"/>
      <c r="E542" s="94" t="str">
        <f t="shared" si="8"/>
        <v/>
      </c>
      <c r="F542" s="95"/>
      <c r="G542" s="93"/>
    </row>
    <row r="543" spans="2:7" x14ac:dyDescent="0.2">
      <c r="B543" s="92"/>
      <c r="C543" s="93"/>
      <c r="D543" s="93"/>
      <c r="E543" s="94" t="str">
        <f t="shared" si="8"/>
        <v/>
      </c>
      <c r="F543" s="95"/>
      <c r="G543" s="93"/>
    </row>
    <row r="544" spans="2:7" x14ac:dyDescent="0.2">
      <c r="B544" s="92"/>
      <c r="C544" s="93"/>
      <c r="D544" s="93"/>
      <c r="E544" s="94" t="str">
        <f t="shared" si="8"/>
        <v/>
      </c>
      <c r="F544" s="95"/>
      <c r="G544" s="93"/>
    </row>
    <row r="545" spans="2:7" x14ac:dyDescent="0.2">
      <c r="B545" s="92"/>
      <c r="C545" s="93"/>
      <c r="D545" s="93"/>
      <c r="E545" s="94" t="str">
        <f t="shared" si="8"/>
        <v/>
      </c>
      <c r="F545" s="95"/>
      <c r="G545" s="93"/>
    </row>
    <row r="546" spans="2:7" x14ac:dyDescent="0.2">
      <c r="B546" s="92"/>
      <c r="C546" s="93"/>
      <c r="D546" s="93"/>
      <c r="E546" s="94" t="str">
        <f t="shared" si="8"/>
        <v/>
      </c>
      <c r="F546" s="95"/>
      <c r="G546" s="93"/>
    </row>
    <row r="547" spans="2:7" x14ac:dyDescent="0.2">
      <c r="B547" s="92"/>
      <c r="C547" s="93"/>
      <c r="D547" s="93"/>
      <c r="E547" s="94" t="str">
        <f t="shared" si="8"/>
        <v/>
      </c>
      <c r="F547" s="95"/>
      <c r="G547" s="93"/>
    </row>
    <row r="548" spans="2:7" x14ac:dyDescent="0.2">
      <c r="B548" s="92"/>
      <c r="C548" s="93"/>
      <c r="D548" s="93"/>
      <c r="E548" s="94" t="str">
        <f t="shared" si="8"/>
        <v/>
      </c>
      <c r="F548" s="95"/>
      <c r="G548" s="93"/>
    </row>
    <row r="549" spans="2:7" x14ac:dyDescent="0.2">
      <c r="B549" s="92"/>
      <c r="C549" s="93"/>
      <c r="D549" s="93"/>
      <c r="E549" s="94" t="str">
        <f t="shared" si="8"/>
        <v/>
      </c>
      <c r="F549" s="95"/>
      <c r="G549" s="93"/>
    </row>
    <row r="550" spans="2:7" x14ac:dyDescent="0.2">
      <c r="B550" s="92"/>
      <c r="C550" s="93"/>
      <c r="D550" s="93"/>
      <c r="E550" s="94" t="str">
        <f t="shared" si="8"/>
        <v/>
      </c>
      <c r="F550" s="95"/>
      <c r="G550" s="93"/>
    </row>
    <row r="551" spans="2:7" x14ac:dyDescent="0.2">
      <c r="B551" s="92"/>
      <c r="C551" s="93"/>
      <c r="D551" s="93"/>
      <c r="E551" s="94" t="str">
        <f t="shared" si="8"/>
        <v/>
      </c>
      <c r="F551" s="95"/>
      <c r="G551" s="93"/>
    </row>
    <row r="552" spans="2:7" x14ac:dyDescent="0.2">
      <c r="B552" s="92"/>
      <c r="C552" s="93"/>
      <c r="D552" s="93"/>
      <c r="E552" s="94" t="str">
        <f t="shared" si="8"/>
        <v/>
      </c>
      <c r="F552" s="95"/>
      <c r="G552" s="93"/>
    </row>
    <row r="553" spans="2:7" x14ac:dyDescent="0.2">
      <c r="B553" s="92"/>
      <c r="C553" s="93"/>
      <c r="D553" s="93"/>
      <c r="E553" s="94" t="str">
        <f t="shared" si="8"/>
        <v/>
      </c>
      <c r="F553" s="95"/>
      <c r="G553" s="93"/>
    </row>
    <row r="554" spans="2:7" x14ac:dyDescent="0.2">
      <c r="B554" s="92"/>
      <c r="C554" s="93"/>
      <c r="D554" s="93"/>
      <c r="E554" s="94" t="str">
        <f t="shared" si="8"/>
        <v/>
      </c>
      <c r="F554" s="95"/>
      <c r="G554" s="93"/>
    </row>
    <row r="555" spans="2:7" x14ac:dyDescent="0.2">
      <c r="B555" s="92"/>
      <c r="C555" s="93"/>
      <c r="D555" s="93"/>
      <c r="E555" s="94" t="str">
        <f t="shared" si="8"/>
        <v/>
      </c>
      <c r="F555" s="95"/>
      <c r="G555" s="93"/>
    </row>
    <row r="556" spans="2:7" x14ac:dyDescent="0.2">
      <c r="B556" s="92"/>
      <c r="C556" s="93"/>
      <c r="D556" s="93"/>
      <c r="E556" s="94" t="str">
        <f t="shared" si="8"/>
        <v/>
      </c>
      <c r="F556" s="95"/>
      <c r="G556" s="93"/>
    </row>
    <row r="557" spans="2:7" x14ac:dyDescent="0.2">
      <c r="B557" s="92"/>
      <c r="C557" s="93"/>
      <c r="D557" s="93"/>
      <c r="E557" s="94" t="str">
        <f t="shared" si="8"/>
        <v/>
      </c>
      <c r="F557" s="95"/>
      <c r="G557" s="93"/>
    </row>
    <row r="558" spans="2:7" x14ac:dyDescent="0.2">
      <c r="B558" s="92"/>
      <c r="C558" s="93"/>
      <c r="D558" s="93"/>
      <c r="E558" s="94" t="str">
        <f t="shared" si="8"/>
        <v/>
      </c>
      <c r="F558" s="95"/>
      <c r="G558" s="93"/>
    </row>
    <row r="559" spans="2:7" x14ac:dyDescent="0.2">
      <c r="B559" s="92"/>
      <c r="C559" s="93"/>
      <c r="D559" s="93"/>
      <c r="E559" s="94" t="str">
        <f t="shared" si="8"/>
        <v/>
      </c>
      <c r="F559" s="95"/>
      <c r="G559" s="93"/>
    </row>
    <row r="560" spans="2:7" x14ac:dyDescent="0.2">
      <c r="B560" s="92"/>
      <c r="C560" s="93"/>
      <c r="D560" s="93"/>
      <c r="E560" s="94" t="str">
        <f t="shared" si="8"/>
        <v/>
      </c>
      <c r="F560" s="95"/>
      <c r="G560" s="93"/>
    </row>
    <row r="561" spans="2:7" x14ac:dyDescent="0.2">
      <c r="B561" s="92"/>
      <c r="C561" s="93"/>
      <c r="D561" s="93"/>
      <c r="E561" s="94" t="str">
        <f t="shared" si="8"/>
        <v/>
      </c>
      <c r="F561" s="95"/>
      <c r="G561" s="93"/>
    </row>
    <row r="562" spans="2:7" x14ac:dyDescent="0.2">
      <c r="B562" s="92"/>
      <c r="C562" s="93"/>
      <c r="D562" s="93"/>
      <c r="E562" s="94" t="str">
        <f t="shared" si="8"/>
        <v/>
      </c>
      <c r="F562" s="95"/>
      <c r="G562" s="93"/>
    </row>
    <row r="563" spans="2:7" x14ac:dyDescent="0.2">
      <c r="B563" s="92"/>
      <c r="C563" s="93"/>
      <c r="D563" s="93"/>
      <c r="E563" s="94" t="str">
        <f t="shared" si="8"/>
        <v/>
      </c>
      <c r="F563" s="95"/>
      <c r="G563" s="93"/>
    </row>
    <row r="564" spans="2:7" x14ac:dyDescent="0.2">
      <c r="B564" s="92"/>
      <c r="C564" s="93"/>
      <c r="D564" s="93"/>
      <c r="E564" s="94" t="str">
        <f t="shared" si="8"/>
        <v/>
      </c>
      <c r="F564" s="95"/>
      <c r="G564" s="93"/>
    </row>
    <row r="565" spans="2:7" x14ac:dyDescent="0.2">
      <c r="B565" s="92"/>
      <c r="C565" s="93"/>
      <c r="D565" s="93"/>
      <c r="E565" s="94" t="str">
        <f t="shared" si="8"/>
        <v/>
      </c>
      <c r="F565" s="95"/>
      <c r="G565" s="93"/>
    </row>
    <row r="566" spans="2:7" x14ac:dyDescent="0.2">
      <c r="B566" s="92"/>
      <c r="C566" s="93"/>
      <c r="D566" s="93"/>
      <c r="E566" s="94" t="str">
        <f t="shared" si="8"/>
        <v/>
      </c>
      <c r="F566" s="95"/>
      <c r="G566" s="93"/>
    </row>
    <row r="567" spans="2:7" x14ac:dyDescent="0.2">
      <c r="B567" s="92"/>
      <c r="C567" s="93"/>
      <c r="D567" s="93"/>
      <c r="E567" s="94" t="str">
        <f t="shared" si="8"/>
        <v/>
      </c>
      <c r="F567" s="95"/>
      <c r="G567" s="93"/>
    </row>
    <row r="568" spans="2:7" x14ac:dyDescent="0.2">
      <c r="B568" s="92"/>
      <c r="C568" s="93"/>
      <c r="D568" s="93"/>
      <c r="E568" s="94" t="str">
        <f t="shared" si="8"/>
        <v/>
      </c>
      <c r="F568" s="95"/>
      <c r="G568" s="93"/>
    </row>
    <row r="569" spans="2:7" x14ac:dyDescent="0.2">
      <c r="B569" s="92"/>
      <c r="C569" s="93"/>
      <c r="D569" s="93"/>
      <c r="E569" s="94" t="str">
        <f t="shared" si="8"/>
        <v/>
      </c>
      <c r="F569" s="95"/>
      <c r="G569" s="93"/>
    </row>
    <row r="570" spans="2:7" x14ac:dyDescent="0.2">
      <c r="B570" s="92"/>
      <c r="C570" s="93"/>
      <c r="D570" s="93"/>
      <c r="E570" s="94" t="str">
        <f t="shared" si="8"/>
        <v/>
      </c>
      <c r="F570" s="95"/>
      <c r="G570" s="93"/>
    </row>
    <row r="571" spans="2:7" x14ac:dyDescent="0.2">
      <c r="B571" s="92"/>
      <c r="C571" s="93"/>
      <c r="D571" s="93"/>
      <c r="E571" s="94" t="str">
        <f t="shared" si="8"/>
        <v/>
      </c>
      <c r="F571" s="95"/>
      <c r="G571" s="93"/>
    </row>
    <row r="572" spans="2:7" x14ac:dyDescent="0.2">
      <c r="B572" s="92"/>
      <c r="C572" s="93"/>
      <c r="D572" s="93"/>
      <c r="E572" s="94" t="str">
        <f t="shared" si="8"/>
        <v/>
      </c>
      <c r="F572" s="95"/>
      <c r="G572" s="93"/>
    </row>
    <row r="573" spans="2:7" x14ac:dyDescent="0.2">
      <c r="B573" s="92"/>
      <c r="C573" s="93"/>
      <c r="D573" s="93"/>
      <c r="E573" s="94" t="str">
        <f t="shared" si="8"/>
        <v/>
      </c>
      <c r="F573" s="95"/>
      <c r="G573" s="93"/>
    </row>
    <row r="574" spans="2:7" x14ac:dyDescent="0.2">
      <c r="B574" s="92"/>
      <c r="C574" s="93"/>
      <c r="D574" s="93"/>
      <c r="E574" s="94" t="str">
        <f t="shared" si="8"/>
        <v/>
      </c>
      <c r="F574" s="95"/>
      <c r="G574" s="93"/>
    </row>
    <row r="575" spans="2:7" x14ac:dyDescent="0.2">
      <c r="B575" s="92"/>
      <c r="C575" s="93"/>
      <c r="D575" s="93"/>
      <c r="E575" s="94" t="str">
        <f t="shared" si="8"/>
        <v/>
      </c>
      <c r="F575" s="95"/>
      <c r="G575" s="93"/>
    </row>
    <row r="576" spans="2:7" x14ac:dyDescent="0.2">
      <c r="B576" s="92"/>
      <c r="C576" s="93"/>
      <c r="D576" s="93"/>
      <c r="E576" s="94" t="str">
        <f t="shared" si="8"/>
        <v/>
      </c>
      <c r="F576" s="95"/>
      <c r="G576" s="93"/>
    </row>
    <row r="577" spans="2:7" x14ac:dyDescent="0.2">
      <c r="B577" s="92"/>
      <c r="C577" s="93"/>
      <c r="D577" s="93"/>
      <c r="E577" s="94" t="str">
        <f t="shared" si="8"/>
        <v/>
      </c>
      <c r="F577" s="95"/>
      <c r="G577" s="93"/>
    </row>
    <row r="578" spans="2:7" x14ac:dyDescent="0.2">
      <c r="B578" s="92"/>
      <c r="C578" s="93"/>
      <c r="D578" s="93"/>
      <c r="E578" s="94" t="str">
        <f t="shared" si="8"/>
        <v/>
      </c>
      <c r="F578" s="95"/>
      <c r="G578" s="93"/>
    </row>
    <row r="579" spans="2:7" x14ac:dyDescent="0.2">
      <c r="B579" s="92"/>
      <c r="C579" s="93"/>
      <c r="D579" s="93"/>
      <c r="E579" s="94" t="str">
        <f t="shared" si="8"/>
        <v/>
      </c>
      <c r="F579" s="95"/>
      <c r="G579" s="93"/>
    </row>
    <row r="580" spans="2:7" x14ac:dyDescent="0.2">
      <c r="B580" s="92"/>
      <c r="C580" s="93"/>
      <c r="D580" s="93"/>
      <c r="E580" s="94" t="str">
        <f t="shared" si="8"/>
        <v/>
      </c>
      <c r="F580" s="95"/>
      <c r="G580" s="93"/>
    </row>
    <row r="581" spans="2:7" x14ac:dyDescent="0.2">
      <c r="B581" s="92"/>
      <c r="C581" s="93"/>
      <c r="D581" s="93"/>
      <c r="E581" s="94" t="str">
        <f t="shared" si="8"/>
        <v/>
      </c>
      <c r="F581" s="95"/>
      <c r="G581" s="93"/>
    </row>
    <row r="582" spans="2:7" x14ac:dyDescent="0.2">
      <c r="B582" s="92"/>
      <c r="C582" s="93"/>
      <c r="D582" s="93"/>
      <c r="E582" s="94" t="str">
        <f t="shared" ref="E582:E645" si="9">IF(C582&lt;&gt;"",D582-C582,"")</f>
        <v/>
      </c>
      <c r="F582" s="95"/>
      <c r="G582" s="93"/>
    </row>
    <row r="583" spans="2:7" x14ac:dyDescent="0.2">
      <c r="B583" s="92"/>
      <c r="C583" s="93"/>
      <c r="D583" s="93"/>
      <c r="E583" s="94" t="str">
        <f t="shared" si="9"/>
        <v/>
      </c>
      <c r="F583" s="95"/>
      <c r="G583" s="93"/>
    </row>
    <row r="584" spans="2:7" x14ac:dyDescent="0.2">
      <c r="B584" s="92"/>
      <c r="C584" s="93"/>
      <c r="D584" s="93"/>
      <c r="E584" s="94" t="str">
        <f t="shared" si="9"/>
        <v/>
      </c>
      <c r="F584" s="95"/>
      <c r="G584" s="93"/>
    </row>
    <row r="585" spans="2:7" x14ac:dyDescent="0.2">
      <c r="B585" s="92"/>
      <c r="C585" s="93"/>
      <c r="D585" s="93"/>
      <c r="E585" s="94" t="str">
        <f t="shared" si="9"/>
        <v/>
      </c>
      <c r="F585" s="95"/>
      <c r="G585" s="93"/>
    </row>
    <row r="586" spans="2:7" x14ac:dyDescent="0.2">
      <c r="B586" s="92"/>
      <c r="C586" s="93"/>
      <c r="D586" s="93"/>
      <c r="E586" s="94" t="str">
        <f t="shared" si="9"/>
        <v/>
      </c>
      <c r="F586" s="95"/>
      <c r="G586" s="93"/>
    </row>
    <row r="587" spans="2:7" x14ac:dyDescent="0.2">
      <c r="B587" s="92"/>
      <c r="C587" s="93"/>
      <c r="D587" s="93"/>
      <c r="E587" s="94" t="str">
        <f t="shared" si="9"/>
        <v/>
      </c>
      <c r="F587" s="95"/>
      <c r="G587" s="93"/>
    </row>
    <row r="588" spans="2:7" x14ac:dyDescent="0.2">
      <c r="B588" s="92"/>
      <c r="C588" s="93"/>
      <c r="D588" s="93"/>
      <c r="E588" s="94" t="str">
        <f t="shared" si="9"/>
        <v/>
      </c>
      <c r="F588" s="95"/>
      <c r="G588" s="93"/>
    </row>
    <row r="589" spans="2:7" x14ac:dyDescent="0.2">
      <c r="B589" s="92"/>
      <c r="C589" s="93"/>
      <c r="D589" s="93"/>
      <c r="E589" s="94" t="str">
        <f t="shared" si="9"/>
        <v/>
      </c>
      <c r="F589" s="95"/>
      <c r="G589" s="93"/>
    </row>
    <row r="590" spans="2:7" x14ac:dyDescent="0.2">
      <c r="B590" s="92"/>
      <c r="C590" s="93"/>
      <c r="D590" s="93"/>
      <c r="E590" s="94" t="str">
        <f t="shared" si="9"/>
        <v/>
      </c>
      <c r="F590" s="95"/>
      <c r="G590" s="93"/>
    </row>
    <row r="591" spans="2:7" x14ac:dyDescent="0.2">
      <c r="B591" s="92"/>
      <c r="C591" s="93"/>
      <c r="D591" s="93"/>
      <c r="E591" s="94" t="str">
        <f t="shared" si="9"/>
        <v/>
      </c>
      <c r="F591" s="95"/>
      <c r="G591" s="93"/>
    </row>
    <row r="592" spans="2:7" x14ac:dyDescent="0.2">
      <c r="B592" s="92"/>
      <c r="C592" s="93"/>
      <c r="D592" s="93"/>
      <c r="E592" s="94" t="str">
        <f t="shared" si="9"/>
        <v/>
      </c>
      <c r="F592" s="95"/>
      <c r="G592" s="93"/>
    </row>
    <row r="593" spans="2:7" x14ac:dyDescent="0.2">
      <c r="B593" s="92"/>
      <c r="C593" s="93"/>
      <c r="D593" s="93"/>
      <c r="E593" s="94" t="str">
        <f t="shared" si="9"/>
        <v/>
      </c>
      <c r="F593" s="95"/>
      <c r="G593" s="93"/>
    </row>
    <row r="594" spans="2:7" x14ac:dyDescent="0.2">
      <c r="B594" s="92"/>
      <c r="C594" s="93"/>
      <c r="D594" s="93"/>
      <c r="E594" s="94" t="str">
        <f t="shared" si="9"/>
        <v/>
      </c>
      <c r="F594" s="95"/>
      <c r="G594" s="93"/>
    </row>
    <row r="595" spans="2:7" x14ac:dyDescent="0.2">
      <c r="B595" s="92"/>
      <c r="C595" s="93"/>
      <c r="D595" s="93"/>
      <c r="E595" s="94" t="str">
        <f t="shared" si="9"/>
        <v/>
      </c>
      <c r="F595" s="95"/>
      <c r="G595" s="93"/>
    </row>
    <row r="596" spans="2:7" x14ac:dyDescent="0.2">
      <c r="B596" s="92"/>
      <c r="C596" s="93"/>
      <c r="D596" s="93"/>
      <c r="E596" s="94" t="str">
        <f t="shared" si="9"/>
        <v/>
      </c>
      <c r="F596" s="95"/>
      <c r="G596" s="93"/>
    </row>
    <row r="597" spans="2:7" x14ac:dyDescent="0.2">
      <c r="B597" s="92"/>
      <c r="C597" s="93"/>
      <c r="D597" s="93"/>
      <c r="E597" s="94" t="str">
        <f t="shared" si="9"/>
        <v/>
      </c>
      <c r="F597" s="95"/>
      <c r="G597" s="93"/>
    </row>
    <row r="598" spans="2:7" x14ac:dyDescent="0.2">
      <c r="B598" s="92"/>
      <c r="C598" s="93"/>
      <c r="D598" s="93"/>
      <c r="E598" s="94" t="str">
        <f t="shared" si="9"/>
        <v/>
      </c>
      <c r="F598" s="95"/>
      <c r="G598" s="93"/>
    </row>
    <row r="599" spans="2:7" x14ac:dyDescent="0.2">
      <c r="B599" s="92"/>
      <c r="C599" s="93"/>
      <c r="D599" s="93"/>
      <c r="E599" s="94" t="str">
        <f t="shared" si="9"/>
        <v/>
      </c>
      <c r="F599" s="95"/>
      <c r="G599" s="93"/>
    </row>
    <row r="600" spans="2:7" x14ac:dyDescent="0.2">
      <c r="B600" s="92"/>
      <c r="C600" s="93"/>
      <c r="D600" s="93"/>
      <c r="E600" s="94" t="str">
        <f t="shared" si="9"/>
        <v/>
      </c>
      <c r="F600" s="95"/>
      <c r="G600" s="93"/>
    </row>
    <row r="601" spans="2:7" x14ac:dyDescent="0.2">
      <c r="B601" s="92"/>
      <c r="C601" s="93"/>
      <c r="D601" s="93"/>
      <c r="E601" s="94" t="str">
        <f t="shared" si="9"/>
        <v/>
      </c>
      <c r="F601" s="95"/>
      <c r="G601" s="93"/>
    </row>
    <row r="602" spans="2:7" x14ac:dyDescent="0.2">
      <c r="B602" s="92"/>
      <c r="C602" s="93"/>
      <c r="D602" s="93"/>
      <c r="E602" s="94" t="str">
        <f t="shared" si="9"/>
        <v/>
      </c>
      <c r="F602" s="95"/>
      <c r="G602" s="93"/>
    </row>
    <row r="603" spans="2:7" x14ac:dyDescent="0.2">
      <c r="B603" s="92"/>
      <c r="C603" s="93"/>
      <c r="D603" s="93"/>
      <c r="E603" s="94" t="str">
        <f t="shared" si="9"/>
        <v/>
      </c>
      <c r="F603" s="95"/>
      <c r="G603" s="93"/>
    </row>
    <row r="604" spans="2:7" x14ac:dyDescent="0.2">
      <c r="B604" s="92"/>
      <c r="C604" s="93"/>
      <c r="D604" s="93"/>
      <c r="E604" s="94" t="str">
        <f t="shared" si="9"/>
        <v/>
      </c>
      <c r="F604" s="95"/>
      <c r="G604" s="93"/>
    </row>
    <row r="605" spans="2:7" x14ac:dyDescent="0.2">
      <c r="B605" s="92"/>
      <c r="C605" s="93"/>
      <c r="D605" s="93"/>
      <c r="E605" s="94" t="str">
        <f t="shared" si="9"/>
        <v/>
      </c>
      <c r="F605" s="95"/>
      <c r="G605" s="93"/>
    </row>
    <row r="606" spans="2:7" x14ac:dyDescent="0.2">
      <c r="B606" s="92"/>
      <c r="C606" s="93"/>
      <c r="D606" s="93"/>
      <c r="E606" s="94" t="str">
        <f t="shared" si="9"/>
        <v/>
      </c>
      <c r="F606" s="95"/>
      <c r="G606" s="93"/>
    </row>
    <row r="607" spans="2:7" x14ac:dyDescent="0.2">
      <c r="B607" s="92"/>
      <c r="C607" s="93"/>
      <c r="D607" s="93"/>
      <c r="E607" s="94" t="str">
        <f t="shared" si="9"/>
        <v/>
      </c>
      <c r="F607" s="95"/>
      <c r="G607" s="93"/>
    </row>
    <row r="608" spans="2:7" x14ac:dyDescent="0.2">
      <c r="B608" s="92"/>
      <c r="C608" s="93"/>
      <c r="D608" s="93"/>
      <c r="E608" s="94" t="str">
        <f t="shared" si="9"/>
        <v/>
      </c>
      <c r="F608" s="95"/>
      <c r="G608" s="93"/>
    </row>
    <row r="609" spans="2:7" x14ac:dyDescent="0.2">
      <c r="B609" s="92"/>
      <c r="C609" s="93"/>
      <c r="D609" s="93"/>
      <c r="E609" s="94" t="str">
        <f t="shared" si="9"/>
        <v/>
      </c>
      <c r="F609" s="95"/>
      <c r="G609" s="93"/>
    </row>
    <row r="610" spans="2:7" x14ac:dyDescent="0.2">
      <c r="B610" s="92"/>
      <c r="C610" s="93"/>
      <c r="D610" s="93"/>
      <c r="E610" s="94" t="str">
        <f t="shared" si="9"/>
        <v/>
      </c>
      <c r="F610" s="95"/>
      <c r="G610" s="93"/>
    </row>
    <row r="611" spans="2:7" x14ac:dyDescent="0.2">
      <c r="B611" s="92"/>
      <c r="C611" s="93"/>
      <c r="D611" s="93"/>
      <c r="E611" s="94" t="str">
        <f t="shared" si="9"/>
        <v/>
      </c>
      <c r="F611" s="95"/>
      <c r="G611" s="93"/>
    </row>
    <row r="612" spans="2:7" x14ac:dyDescent="0.2">
      <c r="B612" s="92"/>
      <c r="C612" s="93"/>
      <c r="D612" s="93"/>
      <c r="E612" s="94" t="str">
        <f t="shared" si="9"/>
        <v/>
      </c>
      <c r="F612" s="95"/>
      <c r="G612" s="93"/>
    </row>
    <row r="613" spans="2:7" x14ac:dyDescent="0.2">
      <c r="B613" s="92"/>
      <c r="C613" s="93"/>
      <c r="D613" s="93"/>
      <c r="E613" s="94" t="str">
        <f t="shared" si="9"/>
        <v/>
      </c>
      <c r="F613" s="95"/>
      <c r="G613" s="93"/>
    </row>
    <row r="614" spans="2:7" x14ac:dyDescent="0.2">
      <c r="B614" s="92"/>
      <c r="C614" s="93"/>
      <c r="D614" s="93"/>
      <c r="E614" s="94" t="str">
        <f t="shared" si="9"/>
        <v/>
      </c>
      <c r="F614" s="95"/>
      <c r="G614" s="93"/>
    </row>
    <row r="615" spans="2:7" x14ac:dyDescent="0.2">
      <c r="B615" s="92"/>
      <c r="C615" s="93"/>
      <c r="D615" s="93"/>
      <c r="E615" s="94" t="str">
        <f t="shared" si="9"/>
        <v/>
      </c>
      <c r="F615" s="95"/>
      <c r="G615" s="93"/>
    </row>
    <row r="616" spans="2:7" x14ac:dyDescent="0.2">
      <c r="B616" s="92"/>
      <c r="C616" s="93"/>
      <c r="D616" s="93"/>
      <c r="E616" s="94" t="str">
        <f t="shared" si="9"/>
        <v/>
      </c>
      <c r="F616" s="95"/>
      <c r="G616" s="93"/>
    </row>
    <row r="617" spans="2:7" x14ac:dyDescent="0.2">
      <c r="B617" s="92"/>
      <c r="C617" s="93"/>
      <c r="D617" s="93"/>
      <c r="E617" s="94" t="str">
        <f t="shared" si="9"/>
        <v/>
      </c>
      <c r="F617" s="95"/>
      <c r="G617" s="93"/>
    </row>
    <row r="618" spans="2:7" x14ac:dyDescent="0.2">
      <c r="B618" s="92"/>
      <c r="C618" s="93"/>
      <c r="D618" s="93"/>
      <c r="E618" s="94" t="str">
        <f t="shared" si="9"/>
        <v/>
      </c>
      <c r="F618" s="95"/>
      <c r="G618" s="93"/>
    </row>
    <row r="619" spans="2:7" x14ac:dyDescent="0.2">
      <c r="B619" s="92"/>
      <c r="C619" s="93"/>
      <c r="D619" s="93"/>
      <c r="E619" s="94" t="str">
        <f t="shared" si="9"/>
        <v/>
      </c>
      <c r="F619" s="95"/>
      <c r="G619" s="93"/>
    </row>
    <row r="620" spans="2:7" x14ac:dyDescent="0.2">
      <c r="B620" s="92"/>
      <c r="C620" s="93"/>
      <c r="D620" s="93"/>
      <c r="E620" s="94" t="str">
        <f t="shared" si="9"/>
        <v/>
      </c>
      <c r="F620" s="95"/>
      <c r="G620" s="93"/>
    </row>
    <row r="621" spans="2:7" x14ac:dyDescent="0.2">
      <c r="B621" s="92"/>
      <c r="C621" s="93"/>
      <c r="D621" s="93"/>
      <c r="E621" s="94" t="str">
        <f t="shared" si="9"/>
        <v/>
      </c>
      <c r="F621" s="95"/>
      <c r="G621" s="93"/>
    </row>
    <row r="622" spans="2:7" x14ac:dyDescent="0.2">
      <c r="B622" s="92"/>
      <c r="C622" s="93"/>
      <c r="D622" s="93"/>
      <c r="E622" s="94" t="str">
        <f t="shared" si="9"/>
        <v/>
      </c>
      <c r="F622" s="95"/>
      <c r="G622" s="93"/>
    </row>
    <row r="623" spans="2:7" x14ac:dyDescent="0.2">
      <c r="B623" s="92"/>
      <c r="C623" s="93"/>
      <c r="D623" s="93"/>
      <c r="E623" s="94" t="str">
        <f t="shared" si="9"/>
        <v/>
      </c>
      <c r="F623" s="95"/>
      <c r="G623" s="93"/>
    </row>
    <row r="624" spans="2:7" x14ac:dyDescent="0.2">
      <c r="B624" s="92"/>
      <c r="C624" s="93"/>
      <c r="D624" s="93"/>
      <c r="E624" s="94" t="str">
        <f t="shared" si="9"/>
        <v/>
      </c>
      <c r="F624" s="95"/>
      <c r="G624" s="93"/>
    </row>
    <row r="625" spans="2:7" x14ac:dyDescent="0.2">
      <c r="B625" s="92"/>
      <c r="C625" s="93"/>
      <c r="D625" s="93"/>
      <c r="E625" s="94" t="str">
        <f t="shared" si="9"/>
        <v/>
      </c>
      <c r="F625" s="95"/>
      <c r="G625" s="93"/>
    </row>
    <row r="626" spans="2:7" x14ac:dyDescent="0.2">
      <c r="B626" s="92"/>
      <c r="C626" s="93"/>
      <c r="D626" s="93"/>
      <c r="E626" s="94" t="str">
        <f t="shared" si="9"/>
        <v/>
      </c>
      <c r="F626" s="95"/>
      <c r="G626" s="93"/>
    </row>
    <row r="627" spans="2:7" x14ac:dyDescent="0.2">
      <c r="B627" s="92"/>
      <c r="C627" s="93"/>
      <c r="D627" s="93"/>
      <c r="E627" s="94" t="str">
        <f t="shared" si="9"/>
        <v/>
      </c>
      <c r="F627" s="95"/>
      <c r="G627" s="93"/>
    </row>
    <row r="628" spans="2:7" x14ac:dyDescent="0.2">
      <c r="B628" s="92"/>
      <c r="C628" s="93"/>
      <c r="D628" s="93"/>
      <c r="E628" s="94" t="str">
        <f t="shared" si="9"/>
        <v/>
      </c>
      <c r="F628" s="95"/>
      <c r="G628" s="93"/>
    </row>
    <row r="629" spans="2:7" x14ac:dyDescent="0.2">
      <c r="B629" s="92"/>
      <c r="C629" s="93"/>
      <c r="D629" s="93"/>
      <c r="E629" s="94" t="str">
        <f t="shared" si="9"/>
        <v/>
      </c>
      <c r="F629" s="95"/>
      <c r="G629" s="93"/>
    </row>
    <row r="630" spans="2:7" x14ac:dyDescent="0.2">
      <c r="B630" s="92"/>
      <c r="C630" s="93"/>
      <c r="D630" s="93"/>
      <c r="E630" s="94" t="str">
        <f t="shared" si="9"/>
        <v/>
      </c>
      <c r="F630" s="95"/>
      <c r="G630" s="93"/>
    </row>
    <row r="631" spans="2:7" x14ac:dyDescent="0.2">
      <c r="B631" s="92"/>
      <c r="C631" s="93"/>
      <c r="D631" s="93"/>
      <c r="E631" s="94" t="str">
        <f t="shared" si="9"/>
        <v/>
      </c>
      <c r="F631" s="95"/>
      <c r="G631" s="93"/>
    </row>
    <row r="632" spans="2:7" x14ac:dyDescent="0.2">
      <c r="B632" s="92"/>
      <c r="C632" s="93"/>
      <c r="D632" s="93"/>
      <c r="E632" s="94" t="str">
        <f t="shared" si="9"/>
        <v/>
      </c>
      <c r="F632" s="95"/>
      <c r="G632" s="93"/>
    </row>
    <row r="633" spans="2:7" x14ac:dyDescent="0.2">
      <c r="B633" s="92"/>
      <c r="C633" s="93"/>
      <c r="D633" s="93"/>
      <c r="E633" s="94" t="str">
        <f t="shared" si="9"/>
        <v/>
      </c>
      <c r="F633" s="95"/>
      <c r="G633" s="93"/>
    </row>
    <row r="634" spans="2:7" x14ac:dyDescent="0.2">
      <c r="B634" s="92"/>
      <c r="C634" s="93"/>
      <c r="D634" s="93"/>
      <c r="E634" s="94" t="str">
        <f t="shared" si="9"/>
        <v/>
      </c>
      <c r="F634" s="95"/>
      <c r="G634" s="93"/>
    </row>
    <row r="635" spans="2:7" x14ac:dyDescent="0.2">
      <c r="B635" s="92"/>
      <c r="C635" s="93"/>
      <c r="D635" s="93"/>
      <c r="E635" s="94" t="str">
        <f t="shared" si="9"/>
        <v/>
      </c>
      <c r="F635" s="95"/>
      <c r="G635" s="93"/>
    </row>
    <row r="636" spans="2:7" x14ac:dyDescent="0.2">
      <c r="B636" s="92"/>
      <c r="C636" s="93"/>
      <c r="D636" s="93"/>
      <c r="E636" s="94" t="str">
        <f t="shared" si="9"/>
        <v/>
      </c>
      <c r="F636" s="95"/>
      <c r="G636" s="93"/>
    </row>
    <row r="637" spans="2:7" x14ac:dyDescent="0.2">
      <c r="B637" s="92"/>
      <c r="C637" s="93"/>
      <c r="D637" s="93"/>
      <c r="E637" s="94" t="str">
        <f t="shared" si="9"/>
        <v/>
      </c>
      <c r="F637" s="95"/>
      <c r="G637" s="93"/>
    </row>
    <row r="638" spans="2:7" x14ac:dyDescent="0.2">
      <c r="B638" s="92"/>
      <c r="C638" s="93"/>
      <c r="D638" s="93"/>
      <c r="E638" s="94" t="str">
        <f t="shared" si="9"/>
        <v/>
      </c>
      <c r="F638" s="95"/>
      <c r="G638" s="93"/>
    </row>
    <row r="639" spans="2:7" x14ac:dyDescent="0.2">
      <c r="B639" s="92"/>
      <c r="C639" s="93"/>
      <c r="D639" s="93"/>
      <c r="E639" s="94" t="str">
        <f t="shared" si="9"/>
        <v/>
      </c>
      <c r="F639" s="95"/>
      <c r="G639" s="93"/>
    </row>
    <row r="640" spans="2:7" x14ac:dyDescent="0.2">
      <c r="B640" s="92"/>
      <c r="C640" s="93"/>
      <c r="D640" s="93"/>
      <c r="E640" s="94" t="str">
        <f t="shared" si="9"/>
        <v/>
      </c>
      <c r="F640" s="95"/>
      <c r="G640" s="93"/>
    </row>
    <row r="641" spans="2:7" x14ac:dyDescent="0.2">
      <c r="B641" s="92"/>
      <c r="C641" s="93"/>
      <c r="D641" s="93"/>
      <c r="E641" s="94" t="str">
        <f t="shared" si="9"/>
        <v/>
      </c>
      <c r="F641" s="95"/>
      <c r="G641" s="93"/>
    </row>
    <row r="642" spans="2:7" x14ac:dyDescent="0.2">
      <c r="B642" s="92"/>
      <c r="C642" s="93"/>
      <c r="D642" s="93"/>
      <c r="E642" s="94" t="str">
        <f t="shared" si="9"/>
        <v/>
      </c>
      <c r="F642" s="95"/>
      <c r="G642" s="93"/>
    </row>
    <row r="643" spans="2:7" x14ac:dyDescent="0.2">
      <c r="B643" s="92"/>
      <c r="C643" s="93"/>
      <c r="D643" s="93"/>
      <c r="E643" s="94" t="str">
        <f t="shared" si="9"/>
        <v/>
      </c>
      <c r="F643" s="95"/>
      <c r="G643" s="93"/>
    </row>
    <row r="644" spans="2:7" x14ac:dyDescent="0.2">
      <c r="B644" s="92"/>
      <c r="C644" s="93"/>
      <c r="D644" s="93"/>
      <c r="E644" s="94" t="str">
        <f t="shared" si="9"/>
        <v/>
      </c>
      <c r="F644" s="95"/>
      <c r="G644" s="93"/>
    </row>
    <row r="645" spans="2:7" x14ac:dyDescent="0.2">
      <c r="B645" s="92"/>
      <c r="C645" s="93"/>
      <c r="D645" s="93"/>
      <c r="E645" s="94" t="str">
        <f t="shared" si="9"/>
        <v/>
      </c>
      <c r="F645" s="95"/>
      <c r="G645" s="93"/>
    </row>
    <row r="646" spans="2:7" x14ac:dyDescent="0.2">
      <c r="B646" s="92"/>
      <c r="C646" s="93"/>
      <c r="D646" s="93"/>
      <c r="E646" s="94" t="str">
        <f t="shared" ref="E646:E709" si="10">IF(C646&lt;&gt;"",D646-C646,"")</f>
        <v/>
      </c>
      <c r="F646" s="95"/>
      <c r="G646" s="93"/>
    </row>
    <row r="647" spans="2:7" x14ac:dyDescent="0.2">
      <c r="B647" s="92"/>
      <c r="C647" s="93"/>
      <c r="D647" s="93"/>
      <c r="E647" s="94" t="str">
        <f t="shared" si="10"/>
        <v/>
      </c>
      <c r="F647" s="95"/>
      <c r="G647" s="93"/>
    </row>
    <row r="648" spans="2:7" x14ac:dyDescent="0.2">
      <c r="B648" s="92"/>
      <c r="C648" s="93"/>
      <c r="D648" s="93"/>
      <c r="E648" s="94" t="str">
        <f t="shared" si="10"/>
        <v/>
      </c>
      <c r="F648" s="95"/>
      <c r="G648" s="93"/>
    </row>
    <row r="649" spans="2:7" x14ac:dyDescent="0.2">
      <c r="B649" s="92"/>
      <c r="C649" s="93"/>
      <c r="D649" s="93"/>
      <c r="E649" s="94" t="str">
        <f t="shared" si="10"/>
        <v/>
      </c>
      <c r="F649" s="95"/>
      <c r="G649" s="93"/>
    </row>
    <row r="650" spans="2:7" x14ac:dyDescent="0.2">
      <c r="B650" s="92"/>
      <c r="C650" s="93"/>
      <c r="D650" s="93"/>
      <c r="E650" s="94" t="str">
        <f t="shared" si="10"/>
        <v/>
      </c>
      <c r="F650" s="95"/>
      <c r="G650" s="93"/>
    </row>
    <row r="651" spans="2:7" x14ac:dyDescent="0.2">
      <c r="B651" s="92"/>
      <c r="C651" s="93"/>
      <c r="D651" s="93"/>
      <c r="E651" s="94" t="str">
        <f t="shared" si="10"/>
        <v/>
      </c>
      <c r="F651" s="95"/>
      <c r="G651" s="93"/>
    </row>
    <row r="652" spans="2:7" x14ac:dyDescent="0.2">
      <c r="B652" s="92"/>
      <c r="C652" s="93"/>
      <c r="D652" s="93"/>
      <c r="E652" s="94" t="str">
        <f t="shared" si="10"/>
        <v/>
      </c>
      <c r="F652" s="95"/>
      <c r="G652" s="93"/>
    </row>
    <row r="653" spans="2:7" x14ac:dyDescent="0.2">
      <c r="B653" s="92"/>
      <c r="C653" s="93"/>
      <c r="D653" s="93"/>
      <c r="E653" s="94" t="str">
        <f t="shared" si="10"/>
        <v/>
      </c>
      <c r="F653" s="95"/>
      <c r="G653" s="93"/>
    </row>
    <row r="654" spans="2:7" x14ac:dyDescent="0.2">
      <c r="B654" s="92"/>
      <c r="C654" s="93"/>
      <c r="D654" s="93"/>
      <c r="E654" s="94" t="str">
        <f t="shared" si="10"/>
        <v/>
      </c>
      <c r="F654" s="95"/>
      <c r="G654" s="93"/>
    </row>
    <row r="655" spans="2:7" x14ac:dyDescent="0.2">
      <c r="B655" s="92"/>
      <c r="C655" s="93"/>
      <c r="D655" s="93"/>
      <c r="E655" s="94" t="str">
        <f t="shared" si="10"/>
        <v/>
      </c>
      <c r="F655" s="95"/>
      <c r="G655" s="93"/>
    </row>
    <row r="656" spans="2:7" x14ac:dyDescent="0.2">
      <c r="B656" s="92"/>
      <c r="C656" s="93"/>
      <c r="D656" s="93"/>
      <c r="E656" s="94" t="str">
        <f t="shared" si="10"/>
        <v/>
      </c>
      <c r="F656" s="95"/>
      <c r="G656" s="93"/>
    </row>
    <row r="657" spans="2:7" x14ac:dyDescent="0.2">
      <c r="B657" s="92"/>
      <c r="C657" s="93"/>
      <c r="D657" s="93"/>
      <c r="E657" s="94" t="str">
        <f t="shared" si="10"/>
        <v/>
      </c>
      <c r="F657" s="95"/>
      <c r="G657" s="93"/>
    </row>
    <row r="658" spans="2:7" x14ac:dyDescent="0.2">
      <c r="B658" s="92"/>
      <c r="C658" s="93"/>
      <c r="D658" s="93"/>
      <c r="E658" s="94" t="str">
        <f t="shared" si="10"/>
        <v/>
      </c>
      <c r="F658" s="95"/>
      <c r="G658" s="93"/>
    </row>
    <row r="659" spans="2:7" x14ac:dyDescent="0.2">
      <c r="B659" s="92"/>
      <c r="C659" s="93"/>
      <c r="D659" s="93"/>
      <c r="E659" s="94" t="str">
        <f t="shared" si="10"/>
        <v/>
      </c>
      <c r="F659" s="95"/>
      <c r="G659" s="93"/>
    </row>
    <row r="660" spans="2:7" x14ac:dyDescent="0.2">
      <c r="B660" s="92"/>
      <c r="C660" s="93"/>
      <c r="D660" s="93"/>
      <c r="E660" s="94" t="str">
        <f t="shared" si="10"/>
        <v/>
      </c>
      <c r="F660" s="95"/>
      <c r="G660" s="93"/>
    </row>
    <row r="661" spans="2:7" x14ac:dyDescent="0.2">
      <c r="B661" s="92"/>
      <c r="C661" s="93"/>
      <c r="D661" s="93"/>
      <c r="E661" s="94" t="str">
        <f t="shared" si="10"/>
        <v/>
      </c>
      <c r="F661" s="95"/>
      <c r="G661" s="93"/>
    </row>
    <row r="662" spans="2:7" x14ac:dyDescent="0.2">
      <c r="B662" s="92"/>
      <c r="C662" s="93"/>
      <c r="D662" s="93"/>
      <c r="E662" s="94" t="str">
        <f t="shared" si="10"/>
        <v/>
      </c>
      <c r="F662" s="95"/>
      <c r="G662" s="93"/>
    </row>
    <row r="663" spans="2:7" x14ac:dyDescent="0.2">
      <c r="B663" s="92"/>
      <c r="C663" s="93"/>
      <c r="D663" s="93"/>
      <c r="E663" s="94" t="str">
        <f t="shared" si="10"/>
        <v/>
      </c>
      <c r="F663" s="95"/>
      <c r="G663" s="93"/>
    </row>
    <row r="664" spans="2:7" x14ac:dyDescent="0.2">
      <c r="B664" s="92"/>
      <c r="C664" s="93"/>
      <c r="D664" s="93"/>
      <c r="E664" s="94" t="str">
        <f t="shared" si="10"/>
        <v/>
      </c>
      <c r="F664" s="95"/>
      <c r="G664" s="93"/>
    </row>
    <row r="665" spans="2:7" x14ac:dyDescent="0.2">
      <c r="B665" s="92"/>
      <c r="C665" s="93"/>
      <c r="D665" s="93"/>
      <c r="E665" s="94" t="str">
        <f t="shared" si="10"/>
        <v/>
      </c>
      <c r="F665" s="95"/>
      <c r="G665" s="93"/>
    </row>
    <row r="666" spans="2:7" x14ac:dyDescent="0.2">
      <c r="B666" s="92"/>
      <c r="C666" s="93"/>
      <c r="D666" s="93"/>
      <c r="E666" s="94" t="str">
        <f t="shared" si="10"/>
        <v/>
      </c>
      <c r="F666" s="95"/>
      <c r="G666" s="93"/>
    </row>
    <row r="667" spans="2:7" x14ac:dyDescent="0.2">
      <c r="B667" s="92"/>
      <c r="C667" s="93"/>
      <c r="D667" s="93"/>
      <c r="E667" s="94" t="str">
        <f t="shared" si="10"/>
        <v/>
      </c>
      <c r="F667" s="95"/>
      <c r="G667" s="93"/>
    </row>
    <row r="668" spans="2:7" x14ac:dyDescent="0.2">
      <c r="B668" s="92"/>
      <c r="C668" s="93"/>
      <c r="D668" s="93"/>
      <c r="E668" s="94" t="str">
        <f t="shared" si="10"/>
        <v/>
      </c>
      <c r="F668" s="95"/>
      <c r="G668" s="93"/>
    </row>
    <row r="669" spans="2:7" x14ac:dyDescent="0.2">
      <c r="B669" s="92"/>
      <c r="C669" s="93"/>
      <c r="D669" s="93"/>
      <c r="E669" s="94" t="str">
        <f t="shared" si="10"/>
        <v/>
      </c>
      <c r="F669" s="95"/>
      <c r="G669" s="93"/>
    </row>
    <row r="670" spans="2:7" x14ac:dyDescent="0.2">
      <c r="B670" s="92"/>
      <c r="C670" s="93"/>
      <c r="D670" s="93"/>
      <c r="E670" s="94" t="str">
        <f t="shared" si="10"/>
        <v/>
      </c>
      <c r="F670" s="95"/>
      <c r="G670" s="93"/>
    </row>
    <row r="671" spans="2:7" x14ac:dyDescent="0.2">
      <c r="B671" s="92"/>
      <c r="C671" s="93"/>
      <c r="D671" s="93"/>
      <c r="E671" s="94" t="str">
        <f t="shared" si="10"/>
        <v/>
      </c>
      <c r="F671" s="95"/>
      <c r="G671" s="93"/>
    </row>
    <row r="672" spans="2:7" x14ac:dyDescent="0.2">
      <c r="B672" s="92"/>
      <c r="C672" s="93"/>
      <c r="D672" s="93"/>
      <c r="E672" s="94" t="str">
        <f t="shared" si="10"/>
        <v/>
      </c>
      <c r="F672" s="95"/>
      <c r="G672" s="93"/>
    </row>
    <row r="673" spans="2:7" x14ac:dyDescent="0.2">
      <c r="B673" s="92"/>
      <c r="C673" s="93"/>
      <c r="D673" s="93"/>
      <c r="E673" s="94" t="str">
        <f t="shared" si="10"/>
        <v/>
      </c>
      <c r="F673" s="95"/>
      <c r="G673" s="93"/>
    </row>
    <row r="674" spans="2:7" x14ac:dyDescent="0.2">
      <c r="B674" s="92"/>
      <c r="C674" s="93"/>
      <c r="D674" s="93"/>
      <c r="E674" s="94" t="str">
        <f t="shared" si="10"/>
        <v/>
      </c>
      <c r="F674" s="95"/>
      <c r="G674" s="93"/>
    </row>
    <row r="675" spans="2:7" x14ac:dyDescent="0.2">
      <c r="B675" s="92"/>
      <c r="C675" s="93"/>
      <c r="D675" s="93"/>
      <c r="E675" s="94" t="str">
        <f t="shared" si="10"/>
        <v/>
      </c>
      <c r="F675" s="95"/>
      <c r="G675" s="93"/>
    </row>
    <row r="676" spans="2:7" x14ac:dyDescent="0.2">
      <c r="B676" s="92"/>
      <c r="C676" s="93"/>
      <c r="D676" s="93"/>
      <c r="E676" s="94" t="str">
        <f t="shared" si="10"/>
        <v/>
      </c>
      <c r="F676" s="95"/>
      <c r="G676" s="93"/>
    </row>
    <row r="677" spans="2:7" x14ac:dyDescent="0.2">
      <c r="B677" s="92"/>
      <c r="C677" s="93"/>
      <c r="D677" s="93"/>
      <c r="E677" s="94" t="str">
        <f t="shared" si="10"/>
        <v/>
      </c>
      <c r="F677" s="95"/>
      <c r="G677" s="93"/>
    </row>
    <row r="678" spans="2:7" x14ac:dyDescent="0.2">
      <c r="B678" s="92"/>
      <c r="C678" s="93"/>
      <c r="D678" s="93"/>
      <c r="E678" s="94" t="str">
        <f t="shared" si="10"/>
        <v/>
      </c>
      <c r="F678" s="95"/>
      <c r="G678" s="93"/>
    </row>
    <row r="679" spans="2:7" x14ac:dyDescent="0.2">
      <c r="B679" s="92"/>
      <c r="C679" s="93"/>
      <c r="D679" s="93"/>
      <c r="E679" s="94" t="str">
        <f t="shared" si="10"/>
        <v/>
      </c>
      <c r="F679" s="95"/>
      <c r="G679" s="93"/>
    </row>
    <row r="680" spans="2:7" x14ac:dyDescent="0.2">
      <c r="B680" s="92"/>
      <c r="C680" s="93"/>
      <c r="D680" s="93"/>
      <c r="E680" s="94" t="str">
        <f t="shared" si="10"/>
        <v/>
      </c>
      <c r="F680" s="95"/>
      <c r="G680" s="93"/>
    </row>
    <row r="681" spans="2:7" x14ac:dyDescent="0.2">
      <c r="B681" s="92"/>
      <c r="C681" s="93"/>
      <c r="D681" s="93"/>
      <c r="E681" s="94" t="str">
        <f t="shared" si="10"/>
        <v/>
      </c>
      <c r="F681" s="95"/>
      <c r="G681" s="93"/>
    </row>
    <row r="682" spans="2:7" x14ac:dyDescent="0.2">
      <c r="B682" s="92"/>
      <c r="C682" s="93"/>
      <c r="D682" s="93"/>
      <c r="E682" s="94" t="str">
        <f t="shared" si="10"/>
        <v/>
      </c>
      <c r="F682" s="95"/>
      <c r="G682" s="93"/>
    </row>
    <row r="683" spans="2:7" x14ac:dyDescent="0.2">
      <c r="B683" s="92"/>
      <c r="C683" s="93"/>
      <c r="D683" s="93"/>
      <c r="E683" s="94" t="str">
        <f t="shared" si="10"/>
        <v/>
      </c>
      <c r="F683" s="95"/>
      <c r="G683" s="93"/>
    </row>
    <row r="684" spans="2:7" x14ac:dyDescent="0.2">
      <c r="B684" s="92"/>
      <c r="C684" s="93"/>
      <c r="D684" s="93"/>
      <c r="E684" s="94" t="str">
        <f t="shared" si="10"/>
        <v/>
      </c>
      <c r="F684" s="95"/>
      <c r="G684" s="93"/>
    </row>
    <row r="685" spans="2:7" x14ac:dyDescent="0.2">
      <c r="B685" s="92"/>
      <c r="C685" s="93"/>
      <c r="D685" s="93"/>
      <c r="E685" s="94" t="str">
        <f t="shared" si="10"/>
        <v/>
      </c>
      <c r="F685" s="95"/>
      <c r="G685" s="93"/>
    </row>
    <row r="686" spans="2:7" x14ac:dyDescent="0.2">
      <c r="B686" s="92"/>
      <c r="C686" s="93"/>
      <c r="D686" s="93"/>
      <c r="E686" s="94" t="str">
        <f t="shared" si="10"/>
        <v/>
      </c>
      <c r="F686" s="95"/>
      <c r="G686" s="93"/>
    </row>
    <row r="687" spans="2:7" x14ac:dyDescent="0.2">
      <c r="B687" s="92"/>
      <c r="C687" s="93"/>
      <c r="D687" s="93"/>
      <c r="E687" s="94" t="str">
        <f t="shared" si="10"/>
        <v/>
      </c>
      <c r="F687" s="95"/>
      <c r="G687" s="93"/>
    </row>
    <row r="688" spans="2:7" x14ac:dyDescent="0.2">
      <c r="B688" s="92"/>
      <c r="C688" s="93"/>
      <c r="D688" s="93"/>
      <c r="E688" s="94" t="str">
        <f t="shared" si="10"/>
        <v/>
      </c>
      <c r="F688" s="95"/>
      <c r="G688" s="93"/>
    </row>
    <row r="689" spans="2:7" x14ac:dyDescent="0.2">
      <c r="B689" s="92"/>
      <c r="C689" s="93"/>
      <c r="D689" s="93"/>
      <c r="E689" s="94" t="str">
        <f t="shared" si="10"/>
        <v/>
      </c>
      <c r="F689" s="95"/>
      <c r="G689" s="93"/>
    </row>
    <row r="690" spans="2:7" x14ac:dyDescent="0.2">
      <c r="B690" s="92"/>
      <c r="C690" s="93"/>
      <c r="D690" s="93"/>
      <c r="E690" s="94" t="str">
        <f t="shared" si="10"/>
        <v/>
      </c>
      <c r="F690" s="95"/>
      <c r="G690" s="93"/>
    </row>
    <row r="691" spans="2:7" x14ac:dyDescent="0.2">
      <c r="B691" s="92"/>
      <c r="C691" s="93"/>
      <c r="D691" s="93"/>
      <c r="E691" s="94" t="str">
        <f t="shared" si="10"/>
        <v/>
      </c>
      <c r="F691" s="95"/>
      <c r="G691" s="93"/>
    </row>
    <row r="692" spans="2:7" x14ac:dyDescent="0.2">
      <c r="B692" s="92"/>
      <c r="C692" s="93"/>
      <c r="D692" s="93"/>
      <c r="E692" s="94" t="str">
        <f t="shared" si="10"/>
        <v/>
      </c>
      <c r="F692" s="95"/>
      <c r="G692" s="93"/>
    </row>
    <row r="693" spans="2:7" x14ac:dyDescent="0.2">
      <c r="B693" s="92"/>
      <c r="C693" s="93"/>
      <c r="D693" s="93"/>
      <c r="E693" s="94" t="str">
        <f t="shared" si="10"/>
        <v/>
      </c>
      <c r="F693" s="95"/>
      <c r="G693" s="93"/>
    </row>
    <row r="694" spans="2:7" x14ac:dyDescent="0.2">
      <c r="B694" s="92"/>
      <c r="C694" s="93"/>
      <c r="D694" s="93"/>
      <c r="E694" s="94" t="str">
        <f t="shared" si="10"/>
        <v/>
      </c>
      <c r="F694" s="95"/>
      <c r="G694" s="93"/>
    </row>
    <row r="695" spans="2:7" x14ac:dyDescent="0.2">
      <c r="B695" s="92"/>
      <c r="C695" s="93"/>
      <c r="D695" s="93"/>
      <c r="E695" s="94" t="str">
        <f t="shared" si="10"/>
        <v/>
      </c>
      <c r="F695" s="95"/>
      <c r="G695" s="93"/>
    </row>
    <row r="696" spans="2:7" x14ac:dyDescent="0.2">
      <c r="B696" s="92"/>
      <c r="C696" s="93"/>
      <c r="D696" s="93"/>
      <c r="E696" s="94" t="str">
        <f t="shared" si="10"/>
        <v/>
      </c>
      <c r="F696" s="95"/>
      <c r="G696" s="93"/>
    </row>
    <row r="697" spans="2:7" x14ac:dyDescent="0.2">
      <c r="B697" s="92"/>
      <c r="C697" s="93"/>
      <c r="D697" s="93"/>
      <c r="E697" s="94" t="str">
        <f t="shared" si="10"/>
        <v/>
      </c>
      <c r="F697" s="95"/>
      <c r="G697" s="93"/>
    </row>
    <row r="698" spans="2:7" x14ac:dyDescent="0.2">
      <c r="B698" s="92"/>
      <c r="C698" s="93"/>
      <c r="D698" s="93"/>
      <c r="E698" s="94" t="str">
        <f t="shared" si="10"/>
        <v/>
      </c>
      <c r="F698" s="95"/>
      <c r="G698" s="93"/>
    </row>
    <row r="699" spans="2:7" x14ac:dyDescent="0.2">
      <c r="B699" s="92"/>
      <c r="C699" s="93"/>
      <c r="D699" s="93"/>
      <c r="E699" s="94" t="str">
        <f t="shared" si="10"/>
        <v/>
      </c>
      <c r="F699" s="95"/>
      <c r="G699" s="93"/>
    </row>
    <row r="700" spans="2:7" x14ac:dyDescent="0.2">
      <c r="B700" s="92"/>
      <c r="C700" s="93"/>
      <c r="D700" s="93"/>
      <c r="E700" s="94" t="str">
        <f t="shared" si="10"/>
        <v/>
      </c>
      <c r="F700" s="95"/>
      <c r="G700" s="93"/>
    </row>
    <row r="701" spans="2:7" x14ac:dyDescent="0.2">
      <c r="B701" s="92"/>
      <c r="C701" s="93"/>
      <c r="D701" s="93"/>
      <c r="E701" s="94" t="str">
        <f t="shared" si="10"/>
        <v/>
      </c>
      <c r="F701" s="95"/>
      <c r="G701" s="93"/>
    </row>
    <row r="702" spans="2:7" x14ac:dyDescent="0.2">
      <c r="B702" s="92"/>
      <c r="C702" s="93"/>
      <c r="D702" s="93"/>
      <c r="E702" s="94" t="str">
        <f t="shared" si="10"/>
        <v/>
      </c>
      <c r="F702" s="95"/>
      <c r="G702" s="93"/>
    </row>
    <row r="703" spans="2:7" x14ac:dyDescent="0.2">
      <c r="B703" s="92"/>
      <c r="C703" s="93"/>
      <c r="D703" s="93"/>
      <c r="E703" s="94" t="str">
        <f t="shared" si="10"/>
        <v/>
      </c>
      <c r="F703" s="95"/>
      <c r="G703" s="93"/>
    </row>
    <row r="704" spans="2:7" x14ac:dyDescent="0.2">
      <c r="B704" s="92"/>
      <c r="C704" s="93"/>
      <c r="D704" s="93"/>
      <c r="E704" s="94" t="str">
        <f t="shared" si="10"/>
        <v/>
      </c>
      <c r="F704" s="95"/>
      <c r="G704" s="93"/>
    </row>
    <row r="705" spans="2:7" x14ac:dyDescent="0.2">
      <c r="B705" s="92"/>
      <c r="C705" s="93"/>
      <c r="D705" s="93"/>
      <c r="E705" s="94" t="str">
        <f t="shared" si="10"/>
        <v/>
      </c>
      <c r="F705" s="95"/>
      <c r="G705" s="93"/>
    </row>
    <row r="706" spans="2:7" x14ac:dyDescent="0.2">
      <c r="B706" s="92"/>
      <c r="C706" s="93"/>
      <c r="D706" s="93"/>
      <c r="E706" s="94" t="str">
        <f t="shared" si="10"/>
        <v/>
      </c>
      <c r="F706" s="95"/>
      <c r="G706" s="93"/>
    </row>
    <row r="707" spans="2:7" x14ac:dyDescent="0.2">
      <c r="B707" s="92"/>
      <c r="C707" s="93"/>
      <c r="D707" s="93"/>
      <c r="E707" s="94" t="str">
        <f t="shared" si="10"/>
        <v/>
      </c>
      <c r="F707" s="95"/>
      <c r="G707" s="93"/>
    </row>
    <row r="708" spans="2:7" x14ac:dyDescent="0.2">
      <c r="B708" s="92"/>
      <c r="C708" s="93"/>
      <c r="D708" s="93"/>
      <c r="E708" s="94" t="str">
        <f t="shared" si="10"/>
        <v/>
      </c>
      <c r="F708" s="95"/>
      <c r="G708" s="93"/>
    </row>
    <row r="709" spans="2:7" x14ac:dyDescent="0.2">
      <c r="B709" s="92"/>
      <c r="C709" s="93"/>
      <c r="D709" s="93"/>
      <c r="E709" s="94" t="str">
        <f t="shared" si="10"/>
        <v/>
      </c>
      <c r="F709" s="95"/>
      <c r="G709" s="93"/>
    </row>
    <row r="710" spans="2:7" x14ac:dyDescent="0.2">
      <c r="B710" s="92"/>
      <c r="C710" s="93"/>
      <c r="D710" s="93"/>
      <c r="E710" s="94" t="str">
        <f t="shared" ref="E710:E773" si="11">IF(C710&lt;&gt;"",D710-C710,"")</f>
        <v/>
      </c>
      <c r="F710" s="95"/>
      <c r="G710" s="93"/>
    </row>
    <row r="711" spans="2:7" x14ac:dyDescent="0.2">
      <c r="B711" s="92"/>
      <c r="C711" s="93"/>
      <c r="D711" s="93"/>
      <c r="E711" s="94" t="str">
        <f t="shared" si="11"/>
        <v/>
      </c>
      <c r="F711" s="95"/>
      <c r="G711" s="93"/>
    </row>
    <row r="712" spans="2:7" x14ac:dyDescent="0.2">
      <c r="B712" s="92"/>
      <c r="C712" s="93"/>
      <c r="D712" s="93"/>
      <c r="E712" s="94" t="str">
        <f t="shared" si="11"/>
        <v/>
      </c>
      <c r="F712" s="95"/>
      <c r="G712" s="93"/>
    </row>
    <row r="713" spans="2:7" x14ac:dyDescent="0.2">
      <c r="B713" s="92"/>
      <c r="C713" s="93"/>
      <c r="D713" s="93"/>
      <c r="E713" s="94" t="str">
        <f t="shared" si="11"/>
        <v/>
      </c>
      <c r="F713" s="95"/>
      <c r="G713" s="93"/>
    </row>
    <row r="714" spans="2:7" x14ac:dyDescent="0.2">
      <c r="B714" s="92"/>
      <c r="C714" s="93"/>
      <c r="D714" s="93"/>
      <c r="E714" s="94" t="str">
        <f t="shared" si="11"/>
        <v/>
      </c>
      <c r="F714" s="95"/>
      <c r="G714" s="93"/>
    </row>
    <row r="715" spans="2:7" x14ac:dyDescent="0.2">
      <c r="B715" s="92"/>
      <c r="C715" s="93"/>
      <c r="D715" s="93"/>
      <c r="E715" s="94" t="str">
        <f t="shared" si="11"/>
        <v/>
      </c>
      <c r="F715" s="95"/>
      <c r="G715" s="93"/>
    </row>
    <row r="716" spans="2:7" x14ac:dyDescent="0.2">
      <c r="B716" s="92"/>
      <c r="C716" s="93"/>
      <c r="D716" s="93"/>
      <c r="E716" s="94" t="str">
        <f t="shared" si="11"/>
        <v/>
      </c>
      <c r="F716" s="95"/>
      <c r="G716" s="93"/>
    </row>
    <row r="717" spans="2:7" x14ac:dyDescent="0.2">
      <c r="B717" s="92"/>
      <c r="C717" s="93"/>
      <c r="D717" s="93"/>
      <c r="E717" s="94" t="str">
        <f t="shared" si="11"/>
        <v/>
      </c>
      <c r="F717" s="95"/>
      <c r="G717" s="93"/>
    </row>
    <row r="718" spans="2:7" x14ac:dyDescent="0.2">
      <c r="B718" s="92"/>
      <c r="C718" s="93"/>
      <c r="D718" s="93"/>
      <c r="E718" s="94" t="str">
        <f t="shared" si="11"/>
        <v/>
      </c>
      <c r="F718" s="95"/>
      <c r="G718" s="93"/>
    </row>
    <row r="719" spans="2:7" x14ac:dyDescent="0.2">
      <c r="B719" s="92"/>
      <c r="C719" s="93"/>
      <c r="D719" s="93"/>
      <c r="E719" s="94" t="str">
        <f t="shared" si="11"/>
        <v/>
      </c>
      <c r="F719" s="95"/>
      <c r="G719" s="93"/>
    </row>
    <row r="720" spans="2:7" x14ac:dyDescent="0.2">
      <c r="B720" s="92"/>
      <c r="C720" s="93"/>
      <c r="D720" s="93"/>
      <c r="E720" s="94" t="str">
        <f t="shared" si="11"/>
        <v/>
      </c>
      <c r="F720" s="95"/>
      <c r="G720" s="93"/>
    </row>
    <row r="721" spans="2:7" x14ac:dyDescent="0.2">
      <c r="B721" s="92"/>
      <c r="C721" s="93"/>
      <c r="D721" s="93"/>
      <c r="E721" s="94" t="str">
        <f t="shared" si="11"/>
        <v/>
      </c>
      <c r="F721" s="95"/>
      <c r="G721" s="93"/>
    </row>
    <row r="722" spans="2:7" x14ac:dyDescent="0.2">
      <c r="B722" s="92"/>
      <c r="C722" s="93"/>
      <c r="D722" s="93"/>
      <c r="E722" s="94" t="str">
        <f t="shared" si="11"/>
        <v/>
      </c>
      <c r="F722" s="95"/>
      <c r="G722" s="93"/>
    </row>
    <row r="723" spans="2:7" x14ac:dyDescent="0.2">
      <c r="B723" s="92"/>
      <c r="C723" s="93"/>
      <c r="D723" s="93"/>
      <c r="E723" s="94" t="str">
        <f t="shared" si="11"/>
        <v/>
      </c>
      <c r="F723" s="95"/>
      <c r="G723" s="93"/>
    </row>
    <row r="724" spans="2:7" x14ac:dyDescent="0.2">
      <c r="B724" s="92"/>
      <c r="C724" s="93"/>
      <c r="D724" s="93"/>
      <c r="E724" s="94" t="str">
        <f t="shared" si="11"/>
        <v/>
      </c>
      <c r="F724" s="95"/>
      <c r="G724" s="93"/>
    </row>
    <row r="725" spans="2:7" x14ac:dyDescent="0.2">
      <c r="B725" s="92"/>
      <c r="C725" s="93"/>
      <c r="D725" s="93"/>
      <c r="E725" s="94" t="str">
        <f t="shared" si="11"/>
        <v/>
      </c>
      <c r="F725" s="95"/>
      <c r="G725" s="93"/>
    </row>
    <row r="726" spans="2:7" x14ac:dyDescent="0.2">
      <c r="B726" s="92"/>
      <c r="C726" s="93"/>
      <c r="D726" s="93"/>
      <c r="E726" s="94" t="str">
        <f t="shared" si="11"/>
        <v/>
      </c>
      <c r="F726" s="95"/>
      <c r="G726" s="93"/>
    </row>
    <row r="727" spans="2:7" x14ac:dyDescent="0.2">
      <c r="B727" s="92"/>
      <c r="C727" s="93"/>
      <c r="D727" s="93"/>
      <c r="E727" s="94" t="str">
        <f t="shared" si="11"/>
        <v/>
      </c>
      <c r="F727" s="95"/>
      <c r="G727" s="93"/>
    </row>
    <row r="728" spans="2:7" x14ac:dyDescent="0.2">
      <c r="B728" s="92"/>
      <c r="C728" s="93"/>
      <c r="D728" s="93"/>
      <c r="E728" s="94" t="str">
        <f t="shared" si="11"/>
        <v/>
      </c>
      <c r="F728" s="95"/>
      <c r="G728" s="93"/>
    </row>
    <row r="729" spans="2:7" x14ac:dyDescent="0.2">
      <c r="B729" s="92"/>
      <c r="C729" s="93"/>
      <c r="D729" s="93"/>
      <c r="E729" s="94" t="str">
        <f t="shared" si="11"/>
        <v/>
      </c>
      <c r="F729" s="95"/>
      <c r="G729" s="93"/>
    </row>
    <row r="730" spans="2:7" x14ac:dyDescent="0.2">
      <c r="B730" s="92"/>
      <c r="C730" s="93"/>
      <c r="D730" s="93"/>
      <c r="E730" s="94" t="str">
        <f t="shared" si="11"/>
        <v/>
      </c>
      <c r="F730" s="95"/>
      <c r="G730" s="93"/>
    </row>
    <row r="731" spans="2:7" x14ac:dyDescent="0.2">
      <c r="B731" s="92"/>
      <c r="C731" s="93"/>
      <c r="D731" s="93"/>
      <c r="E731" s="94" t="str">
        <f t="shared" si="11"/>
        <v/>
      </c>
      <c r="F731" s="95"/>
      <c r="G731" s="93"/>
    </row>
    <row r="732" spans="2:7" x14ac:dyDescent="0.2">
      <c r="B732" s="92"/>
      <c r="C732" s="93"/>
      <c r="D732" s="93"/>
      <c r="E732" s="94" t="str">
        <f t="shared" si="11"/>
        <v/>
      </c>
      <c r="F732" s="95"/>
      <c r="G732" s="93"/>
    </row>
    <row r="733" spans="2:7" x14ac:dyDescent="0.2">
      <c r="B733" s="92"/>
      <c r="C733" s="93"/>
      <c r="D733" s="93"/>
      <c r="E733" s="94" t="str">
        <f t="shared" si="11"/>
        <v/>
      </c>
      <c r="F733" s="95"/>
      <c r="G733" s="93"/>
    </row>
    <row r="734" spans="2:7" x14ac:dyDescent="0.2">
      <c r="B734" s="92"/>
      <c r="C734" s="93"/>
      <c r="D734" s="93"/>
      <c r="E734" s="94" t="str">
        <f t="shared" si="11"/>
        <v/>
      </c>
      <c r="F734" s="95"/>
      <c r="G734" s="93"/>
    </row>
    <row r="735" spans="2:7" x14ac:dyDescent="0.2">
      <c r="B735" s="92"/>
      <c r="C735" s="93"/>
      <c r="D735" s="93"/>
      <c r="E735" s="94" t="str">
        <f t="shared" si="11"/>
        <v/>
      </c>
      <c r="F735" s="95"/>
      <c r="G735" s="93"/>
    </row>
    <row r="736" spans="2:7" x14ac:dyDescent="0.2">
      <c r="B736" s="92"/>
      <c r="C736" s="93"/>
      <c r="D736" s="93"/>
      <c r="E736" s="94" t="str">
        <f t="shared" si="11"/>
        <v/>
      </c>
      <c r="F736" s="95"/>
      <c r="G736" s="93"/>
    </row>
    <row r="737" spans="2:7" x14ac:dyDescent="0.2">
      <c r="B737" s="92"/>
      <c r="C737" s="93"/>
      <c r="D737" s="93"/>
      <c r="E737" s="94" t="str">
        <f t="shared" si="11"/>
        <v/>
      </c>
      <c r="F737" s="95"/>
      <c r="G737" s="93"/>
    </row>
    <row r="738" spans="2:7" x14ac:dyDescent="0.2">
      <c r="B738" s="92"/>
      <c r="C738" s="93"/>
      <c r="D738" s="93"/>
      <c r="E738" s="94" t="str">
        <f t="shared" si="11"/>
        <v/>
      </c>
      <c r="F738" s="95"/>
      <c r="G738" s="93"/>
    </row>
    <row r="739" spans="2:7" x14ac:dyDescent="0.2">
      <c r="B739" s="92"/>
      <c r="C739" s="93"/>
      <c r="D739" s="93"/>
      <c r="E739" s="94" t="str">
        <f t="shared" si="11"/>
        <v/>
      </c>
      <c r="F739" s="95"/>
      <c r="G739" s="93"/>
    </row>
    <row r="740" spans="2:7" x14ac:dyDescent="0.2">
      <c r="B740" s="92"/>
      <c r="C740" s="93"/>
      <c r="D740" s="93"/>
      <c r="E740" s="94" t="str">
        <f t="shared" si="11"/>
        <v/>
      </c>
      <c r="F740" s="95"/>
      <c r="G740" s="93"/>
    </row>
    <row r="741" spans="2:7" x14ac:dyDescent="0.2">
      <c r="B741" s="92"/>
      <c r="C741" s="93"/>
      <c r="D741" s="93"/>
      <c r="E741" s="94" t="str">
        <f t="shared" si="11"/>
        <v/>
      </c>
      <c r="F741" s="95"/>
      <c r="G741" s="93"/>
    </row>
    <row r="742" spans="2:7" x14ac:dyDescent="0.2">
      <c r="B742" s="92"/>
      <c r="C742" s="93"/>
      <c r="D742" s="93"/>
      <c r="E742" s="94" t="str">
        <f t="shared" si="11"/>
        <v/>
      </c>
      <c r="F742" s="95"/>
      <c r="G742" s="93"/>
    </row>
    <row r="743" spans="2:7" x14ac:dyDescent="0.2">
      <c r="B743" s="92"/>
      <c r="C743" s="93"/>
      <c r="D743" s="93"/>
      <c r="E743" s="94" t="str">
        <f t="shared" si="11"/>
        <v/>
      </c>
      <c r="F743" s="95"/>
      <c r="G743" s="93"/>
    </row>
    <row r="744" spans="2:7" x14ac:dyDescent="0.2">
      <c r="B744" s="92"/>
      <c r="C744" s="93"/>
      <c r="D744" s="93"/>
      <c r="E744" s="94" t="str">
        <f t="shared" si="11"/>
        <v/>
      </c>
      <c r="F744" s="95"/>
      <c r="G744" s="93"/>
    </row>
    <row r="745" spans="2:7" x14ac:dyDescent="0.2">
      <c r="B745" s="92"/>
      <c r="C745" s="93"/>
      <c r="D745" s="93"/>
      <c r="E745" s="94" t="str">
        <f t="shared" si="11"/>
        <v/>
      </c>
      <c r="F745" s="95"/>
      <c r="G745" s="93"/>
    </row>
    <row r="746" spans="2:7" x14ac:dyDescent="0.2">
      <c r="B746" s="92"/>
      <c r="C746" s="93"/>
      <c r="D746" s="93"/>
      <c r="E746" s="94" t="str">
        <f t="shared" si="11"/>
        <v/>
      </c>
      <c r="F746" s="95"/>
      <c r="G746" s="93"/>
    </row>
    <row r="747" spans="2:7" x14ac:dyDescent="0.2">
      <c r="B747" s="92"/>
      <c r="C747" s="93"/>
      <c r="D747" s="93"/>
      <c r="E747" s="94" t="str">
        <f t="shared" si="11"/>
        <v/>
      </c>
      <c r="F747" s="95"/>
      <c r="G747" s="93"/>
    </row>
    <row r="748" spans="2:7" x14ac:dyDescent="0.2">
      <c r="B748" s="92"/>
      <c r="C748" s="93"/>
      <c r="D748" s="93"/>
      <c r="E748" s="94" t="str">
        <f t="shared" si="11"/>
        <v/>
      </c>
      <c r="F748" s="95"/>
      <c r="G748" s="93"/>
    </row>
    <row r="749" spans="2:7" x14ac:dyDescent="0.2">
      <c r="B749" s="92"/>
      <c r="C749" s="93"/>
      <c r="D749" s="93"/>
      <c r="E749" s="94" t="str">
        <f t="shared" si="11"/>
        <v/>
      </c>
      <c r="F749" s="95"/>
      <c r="G749" s="93"/>
    </row>
    <row r="750" spans="2:7" x14ac:dyDescent="0.2">
      <c r="B750" s="92"/>
      <c r="C750" s="93"/>
      <c r="D750" s="93"/>
      <c r="E750" s="94" t="str">
        <f t="shared" si="11"/>
        <v/>
      </c>
      <c r="F750" s="95"/>
      <c r="G750" s="93"/>
    </row>
    <row r="751" spans="2:7" x14ac:dyDescent="0.2">
      <c r="B751" s="92"/>
      <c r="C751" s="93"/>
      <c r="D751" s="93"/>
      <c r="E751" s="94" t="str">
        <f t="shared" si="11"/>
        <v/>
      </c>
      <c r="F751" s="95"/>
      <c r="G751" s="93"/>
    </row>
    <row r="752" spans="2:7" x14ac:dyDescent="0.2">
      <c r="B752" s="92"/>
      <c r="C752" s="93"/>
      <c r="D752" s="93"/>
      <c r="E752" s="94" t="str">
        <f t="shared" si="11"/>
        <v/>
      </c>
      <c r="F752" s="95"/>
      <c r="G752" s="93"/>
    </row>
    <row r="753" spans="2:7" x14ac:dyDescent="0.2">
      <c r="B753" s="92"/>
      <c r="C753" s="93"/>
      <c r="D753" s="93"/>
      <c r="E753" s="94" t="str">
        <f t="shared" si="11"/>
        <v/>
      </c>
      <c r="F753" s="95"/>
      <c r="G753" s="93"/>
    </row>
    <row r="754" spans="2:7" x14ac:dyDescent="0.2">
      <c r="B754" s="92"/>
      <c r="C754" s="93"/>
      <c r="D754" s="93"/>
      <c r="E754" s="94" t="str">
        <f t="shared" si="11"/>
        <v/>
      </c>
      <c r="F754" s="95"/>
      <c r="G754" s="93"/>
    </row>
    <row r="755" spans="2:7" x14ac:dyDescent="0.2">
      <c r="B755" s="92"/>
      <c r="C755" s="93"/>
      <c r="D755" s="93"/>
      <c r="E755" s="94" t="str">
        <f t="shared" si="11"/>
        <v/>
      </c>
      <c r="F755" s="95"/>
      <c r="G755" s="93"/>
    </row>
    <row r="756" spans="2:7" x14ac:dyDescent="0.2">
      <c r="B756" s="92"/>
      <c r="C756" s="93"/>
      <c r="D756" s="93"/>
      <c r="E756" s="94" t="str">
        <f t="shared" si="11"/>
        <v/>
      </c>
      <c r="F756" s="95"/>
      <c r="G756" s="93"/>
    </row>
    <row r="757" spans="2:7" x14ac:dyDescent="0.2">
      <c r="B757" s="92"/>
      <c r="C757" s="93"/>
      <c r="D757" s="93"/>
      <c r="E757" s="94" t="str">
        <f t="shared" si="11"/>
        <v/>
      </c>
      <c r="F757" s="95"/>
      <c r="G757" s="93"/>
    </row>
    <row r="758" spans="2:7" x14ac:dyDescent="0.2">
      <c r="B758" s="92"/>
      <c r="C758" s="93"/>
      <c r="D758" s="93"/>
      <c r="E758" s="94" t="str">
        <f t="shared" si="11"/>
        <v/>
      </c>
      <c r="F758" s="95"/>
      <c r="G758" s="93"/>
    </row>
    <row r="759" spans="2:7" x14ac:dyDescent="0.2">
      <c r="B759" s="92"/>
      <c r="C759" s="93"/>
      <c r="D759" s="93"/>
      <c r="E759" s="94" t="str">
        <f t="shared" si="11"/>
        <v/>
      </c>
      <c r="F759" s="95"/>
      <c r="G759" s="93"/>
    </row>
    <row r="760" spans="2:7" x14ac:dyDescent="0.2">
      <c r="B760" s="92"/>
      <c r="C760" s="93"/>
      <c r="D760" s="93"/>
      <c r="E760" s="94" t="str">
        <f t="shared" si="11"/>
        <v/>
      </c>
      <c r="F760" s="95"/>
      <c r="G760" s="93"/>
    </row>
    <row r="761" spans="2:7" x14ac:dyDescent="0.2">
      <c r="B761" s="92"/>
      <c r="C761" s="93"/>
      <c r="D761" s="93"/>
      <c r="E761" s="94" t="str">
        <f t="shared" si="11"/>
        <v/>
      </c>
      <c r="F761" s="95"/>
      <c r="G761" s="93"/>
    </row>
    <row r="762" spans="2:7" x14ac:dyDescent="0.2">
      <c r="B762" s="92"/>
      <c r="C762" s="93"/>
      <c r="D762" s="93"/>
      <c r="E762" s="94" t="str">
        <f t="shared" si="11"/>
        <v/>
      </c>
      <c r="F762" s="95"/>
      <c r="G762" s="93"/>
    </row>
    <row r="763" spans="2:7" x14ac:dyDescent="0.2">
      <c r="B763" s="92"/>
      <c r="C763" s="93"/>
      <c r="D763" s="93"/>
      <c r="E763" s="94" t="str">
        <f t="shared" si="11"/>
        <v/>
      </c>
      <c r="F763" s="95"/>
      <c r="G763" s="93"/>
    </row>
    <row r="764" spans="2:7" x14ac:dyDescent="0.2">
      <c r="B764" s="92"/>
      <c r="C764" s="93"/>
      <c r="D764" s="93"/>
      <c r="E764" s="94" t="str">
        <f t="shared" si="11"/>
        <v/>
      </c>
      <c r="F764" s="95"/>
      <c r="G764" s="93"/>
    </row>
    <row r="765" spans="2:7" x14ac:dyDescent="0.2">
      <c r="B765" s="92"/>
      <c r="C765" s="93"/>
      <c r="D765" s="93"/>
      <c r="E765" s="94" t="str">
        <f t="shared" si="11"/>
        <v/>
      </c>
      <c r="F765" s="95"/>
      <c r="G765" s="93"/>
    </row>
    <row r="766" spans="2:7" x14ac:dyDescent="0.2">
      <c r="B766" s="92"/>
      <c r="C766" s="93"/>
      <c r="D766" s="93"/>
      <c r="E766" s="94" t="str">
        <f t="shared" si="11"/>
        <v/>
      </c>
      <c r="F766" s="95"/>
      <c r="G766" s="93"/>
    </row>
    <row r="767" spans="2:7" x14ac:dyDescent="0.2">
      <c r="B767" s="92"/>
      <c r="C767" s="93"/>
      <c r="D767" s="93"/>
      <c r="E767" s="94" t="str">
        <f t="shared" si="11"/>
        <v/>
      </c>
      <c r="F767" s="95"/>
      <c r="G767" s="93"/>
    </row>
    <row r="768" spans="2:7" x14ac:dyDescent="0.2">
      <c r="B768" s="92"/>
      <c r="C768" s="93"/>
      <c r="D768" s="93"/>
      <c r="E768" s="94" t="str">
        <f t="shared" si="11"/>
        <v/>
      </c>
      <c r="F768" s="95"/>
      <c r="G768" s="93"/>
    </row>
    <row r="769" spans="2:7" x14ac:dyDescent="0.2">
      <c r="B769" s="92"/>
      <c r="C769" s="93"/>
      <c r="D769" s="93"/>
      <c r="E769" s="94" t="str">
        <f t="shared" si="11"/>
        <v/>
      </c>
      <c r="F769" s="95"/>
      <c r="G769" s="93"/>
    </row>
    <row r="770" spans="2:7" x14ac:dyDescent="0.2">
      <c r="B770" s="92"/>
      <c r="C770" s="93"/>
      <c r="D770" s="93"/>
      <c r="E770" s="94" t="str">
        <f t="shared" si="11"/>
        <v/>
      </c>
      <c r="F770" s="95"/>
      <c r="G770" s="93"/>
    </row>
    <row r="771" spans="2:7" x14ac:dyDescent="0.2">
      <c r="B771" s="92"/>
      <c r="C771" s="93"/>
      <c r="D771" s="93"/>
      <c r="E771" s="94" t="str">
        <f t="shared" si="11"/>
        <v/>
      </c>
      <c r="F771" s="95"/>
      <c r="G771" s="93"/>
    </row>
    <row r="772" spans="2:7" x14ac:dyDescent="0.2">
      <c r="B772" s="92"/>
      <c r="C772" s="93"/>
      <c r="D772" s="93"/>
      <c r="E772" s="94" t="str">
        <f t="shared" si="11"/>
        <v/>
      </c>
      <c r="F772" s="95"/>
      <c r="G772" s="93"/>
    </row>
    <row r="773" spans="2:7" x14ac:dyDescent="0.2">
      <c r="B773" s="92"/>
      <c r="C773" s="93"/>
      <c r="D773" s="93"/>
      <c r="E773" s="94" t="str">
        <f t="shared" si="11"/>
        <v/>
      </c>
      <c r="F773" s="95"/>
      <c r="G773" s="93"/>
    </row>
    <row r="774" spans="2:7" x14ac:dyDescent="0.2">
      <c r="B774" s="92"/>
      <c r="C774" s="93"/>
      <c r="D774" s="93"/>
      <c r="E774" s="94" t="str">
        <f t="shared" ref="E774:E837" si="12">IF(C774&lt;&gt;"",D774-C774,"")</f>
        <v/>
      </c>
      <c r="F774" s="95"/>
      <c r="G774" s="93"/>
    </row>
    <row r="775" spans="2:7" x14ac:dyDescent="0.2">
      <c r="B775" s="92"/>
      <c r="C775" s="93"/>
      <c r="D775" s="93"/>
      <c r="E775" s="94" t="str">
        <f t="shared" si="12"/>
        <v/>
      </c>
      <c r="F775" s="95"/>
      <c r="G775" s="93"/>
    </row>
    <row r="776" spans="2:7" x14ac:dyDescent="0.2">
      <c r="B776" s="92"/>
      <c r="C776" s="93"/>
      <c r="D776" s="93"/>
      <c r="E776" s="94" t="str">
        <f t="shared" si="12"/>
        <v/>
      </c>
      <c r="F776" s="95"/>
      <c r="G776" s="93"/>
    </row>
    <row r="777" spans="2:7" x14ac:dyDescent="0.2">
      <c r="B777" s="92"/>
      <c r="C777" s="93"/>
      <c r="D777" s="93"/>
      <c r="E777" s="94" t="str">
        <f t="shared" si="12"/>
        <v/>
      </c>
      <c r="F777" s="95"/>
      <c r="G777" s="93"/>
    </row>
    <row r="778" spans="2:7" x14ac:dyDescent="0.2">
      <c r="B778" s="92"/>
      <c r="C778" s="93"/>
      <c r="D778" s="93"/>
      <c r="E778" s="94" t="str">
        <f t="shared" si="12"/>
        <v/>
      </c>
      <c r="F778" s="95"/>
      <c r="G778" s="93"/>
    </row>
    <row r="779" spans="2:7" x14ac:dyDescent="0.2">
      <c r="B779" s="92"/>
      <c r="C779" s="93"/>
      <c r="D779" s="93"/>
      <c r="E779" s="94" t="str">
        <f t="shared" si="12"/>
        <v/>
      </c>
      <c r="F779" s="95"/>
      <c r="G779" s="93"/>
    </row>
    <row r="780" spans="2:7" x14ac:dyDescent="0.2">
      <c r="B780" s="92"/>
      <c r="C780" s="93"/>
      <c r="D780" s="93"/>
      <c r="E780" s="94" t="str">
        <f t="shared" si="12"/>
        <v/>
      </c>
      <c r="F780" s="95"/>
      <c r="G780" s="93"/>
    </row>
    <row r="781" spans="2:7" x14ac:dyDescent="0.2">
      <c r="B781" s="92"/>
      <c r="C781" s="93"/>
      <c r="D781" s="93"/>
      <c r="E781" s="94" t="str">
        <f t="shared" si="12"/>
        <v/>
      </c>
      <c r="F781" s="95"/>
      <c r="G781" s="93"/>
    </row>
    <row r="782" spans="2:7" x14ac:dyDescent="0.2">
      <c r="B782" s="92"/>
      <c r="C782" s="93"/>
      <c r="D782" s="93"/>
      <c r="E782" s="94" t="str">
        <f t="shared" si="12"/>
        <v/>
      </c>
      <c r="F782" s="95"/>
      <c r="G782" s="93"/>
    </row>
    <row r="783" spans="2:7" x14ac:dyDescent="0.2">
      <c r="B783" s="92"/>
      <c r="C783" s="93"/>
      <c r="D783" s="93"/>
      <c r="E783" s="94" t="str">
        <f t="shared" si="12"/>
        <v/>
      </c>
      <c r="F783" s="95"/>
      <c r="G783" s="93"/>
    </row>
    <row r="784" spans="2:7" x14ac:dyDescent="0.2">
      <c r="B784" s="92"/>
      <c r="C784" s="93"/>
      <c r="D784" s="93"/>
      <c r="E784" s="94" t="str">
        <f t="shared" si="12"/>
        <v/>
      </c>
      <c r="F784" s="95"/>
      <c r="G784" s="93"/>
    </row>
    <row r="785" spans="2:7" x14ac:dyDescent="0.2">
      <c r="B785" s="92"/>
      <c r="C785" s="93"/>
      <c r="D785" s="93"/>
      <c r="E785" s="94" t="str">
        <f t="shared" si="12"/>
        <v/>
      </c>
      <c r="F785" s="95"/>
      <c r="G785" s="93"/>
    </row>
    <row r="786" spans="2:7" x14ac:dyDescent="0.2">
      <c r="B786" s="92"/>
      <c r="C786" s="93"/>
      <c r="D786" s="93"/>
      <c r="E786" s="94" t="str">
        <f t="shared" si="12"/>
        <v/>
      </c>
      <c r="F786" s="95"/>
      <c r="G786" s="93"/>
    </row>
    <row r="787" spans="2:7" x14ac:dyDescent="0.2">
      <c r="B787" s="92"/>
      <c r="C787" s="93"/>
      <c r="D787" s="93"/>
      <c r="E787" s="94" t="str">
        <f t="shared" si="12"/>
        <v/>
      </c>
      <c r="F787" s="95"/>
      <c r="G787" s="93"/>
    </row>
    <row r="788" spans="2:7" x14ac:dyDescent="0.2">
      <c r="B788" s="92"/>
      <c r="C788" s="93"/>
      <c r="D788" s="93"/>
      <c r="E788" s="94" t="str">
        <f t="shared" si="12"/>
        <v/>
      </c>
      <c r="F788" s="95"/>
      <c r="G788" s="93"/>
    </row>
    <row r="789" spans="2:7" x14ac:dyDescent="0.2">
      <c r="B789" s="92"/>
      <c r="C789" s="93"/>
      <c r="D789" s="93"/>
      <c r="E789" s="94" t="str">
        <f t="shared" si="12"/>
        <v/>
      </c>
      <c r="F789" s="95"/>
      <c r="G789" s="93"/>
    </row>
    <row r="790" spans="2:7" x14ac:dyDescent="0.2">
      <c r="B790" s="92"/>
      <c r="C790" s="93"/>
      <c r="D790" s="93"/>
      <c r="E790" s="94" t="str">
        <f t="shared" si="12"/>
        <v/>
      </c>
      <c r="F790" s="95"/>
      <c r="G790" s="93"/>
    </row>
    <row r="791" spans="2:7" x14ac:dyDescent="0.2">
      <c r="B791" s="92"/>
      <c r="C791" s="93"/>
      <c r="D791" s="93"/>
      <c r="E791" s="94" t="str">
        <f t="shared" si="12"/>
        <v/>
      </c>
      <c r="F791" s="95"/>
      <c r="G791" s="93"/>
    </row>
    <row r="792" spans="2:7" x14ac:dyDescent="0.2">
      <c r="B792" s="92"/>
      <c r="C792" s="93"/>
      <c r="D792" s="93"/>
      <c r="E792" s="94" t="str">
        <f t="shared" si="12"/>
        <v/>
      </c>
      <c r="F792" s="95"/>
      <c r="G792" s="93"/>
    </row>
    <row r="793" spans="2:7" x14ac:dyDescent="0.2">
      <c r="B793" s="92"/>
      <c r="C793" s="93"/>
      <c r="D793" s="93"/>
      <c r="E793" s="94" t="str">
        <f t="shared" si="12"/>
        <v/>
      </c>
      <c r="F793" s="95"/>
      <c r="G793" s="93"/>
    </row>
    <row r="794" spans="2:7" x14ac:dyDescent="0.2">
      <c r="B794" s="92"/>
      <c r="C794" s="93"/>
      <c r="D794" s="93"/>
      <c r="E794" s="94" t="str">
        <f t="shared" si="12"/>
        <v/>
      </c>
      <c r="F794" s="95"/>
      <c r="G794" s="93"/>
    </row>
    <row r="795" spans="2:7" x14ac:dyDescent="0.2">
      <c r="B795" s="92"/>
      <c r="C795" s="93"/>
      <c r="D795" s="93"/>
      <c r="E795" s="94" t="str">
        <f t="shared" si="12"/>
        <v/>
      </c>
      <c r="F795" s="95"/>
      <c r="G795" s="93"/>
    </row>
    <row r="796" spans="2:7" x14ac:dyDescent="0.2">
      <c r="B796" s="92"/>
      <c r="C796" s="93"/>
      <c r="D796" s="93"/>
      <c r="E796" s="94" t="str">
        <f t="shared" si="12"/>
        <v/>
      </c>
      <c r="F796" s="95"/>
      <c r="G796" s="93"/>
    </row>
    <row r="797" spans="2:7" x14ac:dyDescent="0.2">
      <c r="B797" s="92"/>
      <c r="C797" s="93"/>
      <c r="D797" s="93"/>
      <c r="E797" s="94" t="str">
        <f t="shared" si="12"/>
        <v/>
      </c>
      <c r="F797" s="95"/>
      <c r="G797" s="93"/>
    </row>
    <row r="798" spans="2:7" x14ac:dyDescent="0.2">
      <c r="B798" s="92"/>
      <c r="C798" s="93"/>
      <c r="D798" s="93"/>
      <c r="E798" s="94" t="str">
        <f t="shared" si="12"/>
        <v/>
      </c>
      <c r="F798" s="95"/>
      <c r="G798" s="93"/>
    </row>
    <row r="799" spans="2:7" x14ac:dyDescent="0.2">
      <c r="B799" s="92"/>
      <c r="C799" s="93"/>
      <c r="D799" s="93"/>
      <c r="E799" s="94" t="str">
        <f t="shared" si="12"/>
        <v/>
      </c>
      <c r="F799" s="95"/>
      <c r="G799" s="93"/>
    </row>
    <row r="800" spans="2:7" x14ac:dyDescent="0.2">
      <c r="B800" s="92"/>
      <c r="C800" s="93"/>
      <c r="D800" s="93"/>
      <c r="E800" s="94" t="str">
        <f t="shared" si="12"/>
        <v/>
      </c>
      <c r="F800" s="95"/>
      <c r="G800" s="93"/>
    </row>
    <row r="801" spans="2:7" x14ac:dyDescent="0.2">
      <c r="B801" s="92"/>
      <c r="C801" s="93"/>
      <c r="D801" s="93"/>
      <c r="E801" s="94" t="str">
        <f t="shared" si="12"/>
        <v/>
      </c>
      <c r="F801" s="95"/>
      <c r="G801" s="93"/>
    </row>
    <row r="802" spans="2:7" x14ac:dyDescent="0.2">
      <c r="B802" s="92"/>
      <c r="C802" s="93"/>
      <c r="D802" s="93"/>
      <c r="E802" s="94" t="str">
        <f t="shared" si="12"/>
        <v/>
      </c>
      <c r="F802" s="95"/>
      <c r="G802" s="93"/>
    </row>
    <row r="803" spans="2:7" x14ac:dyDescent="0.2">
      <c r="B803" s="92"/>
      <c r="C803" s="93"/>
      <c r="D803" s="93"/>
      <c r="E803" s="94" t="str">
        <f t="shared" si="12"/>
        <v/>
      </c>
      <c r="F803" s="95"/>
      <c r="G803" s="93"/>
    </row>
    <row r="804" spans="2:7" x14ac:dyDescent="0.2">
      <c r="B804" s="92"/>
      <c r="C804" s="93"/>
      <c r="D804" s="93"/>
      <c r="E804" s="94" t="str">
        <f t="shared" si="12"/>
        <v/>
      </c>
      <c r="F804" s="95"/>
      <c r="G804" s="93"/>
    </row>
    <row r="805" spans="2:7" x14ac:dyDescent="0.2">
      <c r="B805" s="92"/>
      <c r="C805" s="93"/>
      <c r="D805" s="93"/>
      <c r="E805" s="94" t="str">
        <f t="shared" si="12"/>
        <v/>
      </c>
      <c r="F805" s="95"/>
      <c r="G805" s="93"/>
    </row>
    <row r="806" spans="2:7" x14ac:dyDescent="0.2">
      <c r="B806" s="92"/>
      <c r="C806" s="93"/>
      <c r="D806" s="93"/>
      <c r="E806" s="94" t="str">
        <f t="shared" si="12"/>
        <v/>
      </c>
      <c r="F806" s="95"/>
      <c r="G806" s="93"/>
    </row>
    <row r="807" spans="2:7" x14ac:dyDescent="0.2">
      <c r="B807" s="92"/>
      <c r="C807" s="93"/>
      <c r="D807" s="93"/>
      <c r="E807" s="94" t="str">
        <f t="shared" si="12"/>
        <v/>
      </c>
      <c r="F807" s="95"/>
      <c r="G807" s="93"/>
    </row>
    <row r="808" spans="2:7" x14ac:dyDescent="0.2">
      <c r="B808" s="92"/>
      <c r="C808" s="93"/>
      <c r="D808" s="93"/>
      <c r="E808" s="94" t="str">
        <f t="shared" si="12"/>
        <v/>
      </c>
      <c r="F808" s="95"/>
      <c r="G808" s="93"/>
    </row>
    <row r="809" spans="2:7" x14ac:dyDescent="0.2">
      <c r="B809" s="92"/>
      <c r="C809" s="93"/>
      <c r="D809" s="93"/>
      <c r="E809" s="94" t="str">
        <f t="shared" si="12"/>
        <v/>
      </c>
      <c r="F809" s="95"/>
      <c r="G809" s="93"/>
    </row>
    <row r="810" spans="2:7" x14ac:dyDescent="0.2">
      <c r="B810" s="92"/>
      <c r="C810" s="93"/>
      <c r="D810" s="93"/>
      <c r="E810" s="94" t="str">
        <f t="shared" si="12"/>
        <v/>
      </c>
      <c r="F810" s="95"/>
      <c r="G810" s="93"/>
    </row>
    <row r="811" spans="2:7" x14ac:dyDescent="0.2">
      <c r="B811" s="92"/>
      <c r="C811" s="93"/>
      <c r="D811" s="93"/>
      <c r="E811" s="94" t="str">
        <f t="shared" si="12"/>
        <v/>
      </c>
      <c r="F811" s="95"/>
      <c r="G811" s="93"/>
    </row>
    <row r="812" spans="2:7" x14ac:dyDescent="0.2">
      <c r="B812" s="92"/>
      <c r="C812" s="93"/>
      <c r="D812" s="93"/>
      <c r="E812" s="94" t="str">
        <f t="shared" si="12"/>
        <v/>
      </c>
      <c r="F812" s="95"/>
      <c r="G812" s="93"/>
    </row>
    <row r="813" spans="2:7" x14ac:dyDescent="0.2">
      <c r="B813" s="92"/>
      <c r="C813" s="93"/>
      <c r="D813" s="93"/>
      <c r="E813" s="94" t="str">
        <f t="shared" si="12"/>
        <v/>
      </c>
      <c r="F813" s="95"/>
      <c r="G813" s="93"/>
    </row>
    <row r="814" spans="2:7" x14ac:dyDescent="0.2">
      <c r="B814" s="92"/>
      <c r="C814" s="93"/>
      <c r="D814" s="93"/>
      <c r="E814" s="94" t="str">
        <f t="shared" si="12"/>
        <v/>
      </c>
      <c r="F814" s="95"/>
      <c r="G814" s="93"/>
    </row>
    <row r="815" spans="2:7" x14ac:dyDescent="0.2">
      <c r="B815" s="92"/>
      <c r="C815" s="93"/>
      <c r="D815" s="93"/>
      <c r="E815" s="94" t="str">
        <f t="shared" si="12"/>
        <v/>
      </c>
      <c r="F815" s="95"/>
      <c r="G815" s="93"/>
    </row>
    <row r="816" spans="2:7" x14ac:dyDescent="0.2">
      <c r="B816" s="92"/>
      <c r="C816" s="93"/>
      <c r="D816" s="93"/>
      <c r="E816" s="94" t="str">
        <f t="shared" si="12"/>
        <v/>
      </c>
      <c r="F816" s="95"/>
      <c r="G816" s="93"/>
    </row>
    <row r="817" spans="2:7" x14ac:dyDescent="0.2">
      <c r="B817" s="92"/>
      <c r="C817" s="93"/>
      <c r="D817" s="93"/>
      <c r="E817" s="94" t="str">
        <f t="shared" si="12"/>
        <v/>
      </c>
      <c r="F817" s="95"/>
      <c r="G817" s="93"/>
    </row>
    <row r="818" spans="2:7" x14ac:dyDescent="0.2">
      <c r="B818" s="92"/>
      <c r="C818" s="93"/>
      <c r="D818" s="93"/>
      <c r="E818" s="94" t="str">
        <f t="shared" si="12"/>
        <v/>
      </c>
      <c r="F818" s="95"/>
      <c r="G818" s="93"/>
    </row>
    <row r="819" spans="2:7" x14ac:dyDescent="0.2">
      <c r="B819" s="92"/>
      <c r="C819" s="93"/>
      <c r="D819" s="93"/>
      <c r="E819" s="94" t="str">
        <f t="shared" si="12"/>
        <v/>
      </c>
      <c r="F819" s="95"/>
      <c r="G819" s="93"/>
    </row>
    <row r="820" spans="2:7" x14ac:dyDescent="0.2">
      <c r="B820" s="92"/>
      <c r="C820" s="93"/>
      <c r="D820" s="93"/>
      <c r="E820" s="94" t="str">
        <f t="shared" si="12"/>
        <v/>
      </c>
      <c r="F820" s="95"/>
      <c r="G820" s="93"/>
    </row>
    <row r="821" spans="2:7" x14ac:dyDescent="0.2">
      <c r="B821" s="92"/>
      <c r="C821" s="93"/>
      <c r="D821" s="93"/>
      <c r="E821" s="94" t="str">
        <f t="shared" si="12"/>
        <v/>
      </c>
      <c r="F821" s="95"/>
      <c r="G821" s="93"/>
    </row>
    <row r="822" spans="2:7" x14ac:dyDescent="0.2">
      <c r="B822" s="92"/>
      <c r="C822" s="93"/>
      <c r="D822" s="93"/>
      <c r="E822" s="94" t="str">
        <f t="shared" si="12"/>
        <v/>
      </c>
      <c r="F822" s="95"/>
      <c r="G822" s="93"/>
    </row>
    <row r="823" spans="2:7" x14ac:dyDescent="0.2">
      <c r="B823" s="92"/>
      <c r="C823" s="93"/>
      <c r="D823" s="93"/>
      <c r="E823" s="94" t="str">
        <f t="shared" si="12"/>
        <v/>
      </c>
      <c r="F823" s="95"/>
      <c r="G823" s="93"/>
    </row>
    <row r="824" spans="2:7" x14ac:dyDescent="0.2">
      <c r="B824" s="92"/>
      <c r="C824" s="93"/>
      <c r="D824" s="93"/>
      <c r="E824" s="94" t="str">
        <f t="shared" si="12"/>
        <v/>
      </c>
      <c r="F824" s="95"/>
      <c r="G824" s="93"/>
    </row>
    <row r="825" spans="2:7" x14ac:dyDescent="0.2">
      <c r="B825" s="92"/>
      <c r="C825" s="93"/>
      <c r="D825" s="93"/>
      <c r="E825" s="94" t="str">
        <f t="shared" si="12"/>
        <v/>
      </c>
      <c r="F825" s="95"/>
      <c r="G825" s="93"/>
    </row>
    <row r="826" spans="2:7" x14ac:dyDescent="0.2">
      <c r="B826" s="92"/>
      <c r="C826" s="93"/>
      <c r="D826" s="93"/>
      <c r="E826" s="94" t="str">
        <f t="shared" si="12"/>
        <v/>
      </c>
      <c r="F826" s="95"/>
      <c r="G826" s="93"/>
    </row>
    <row r="827" spans="2:7" x14ac:dyDescent="0.2">
      <c r="B827" s="92"/>
      <c r="C827" s="93"/>
      <c r="D827" s="93"/>
      <c r="E827" s="94" t="str">
        <f t="shared" si="12"/>
        <v/>
      </c>
      <c r="F827" s="95"/>
      <c r="G827" s="93"/>
    </row>
    <row r="828" spans="2:7" x14ac:dyDescent="0.2">
      <c r="B828" s="92"/>
      <c r="C828" s="93"/>
      <c r="D828" s="93"/>
      <c r="E828" s="94" t="str">
        <f t="shared" si="12"/>
        <v/>
      </c>
      <c r="F828" s="95"/>
      <c r="G828" s="93"/>
    </row>
    <row r="829" spans="2:7" x14ac:dyDescent="0.2">
      <c r="B829" s="92"/>
      <c r="C829" s="93"/>
      <c r="D829" s="93"/>
      <c r="E829" s="94" t="str">
        <f t="shared" si="12"/>
        <v/>
      </c>
      <c r="F829" s="95"/>
      <c r="G829" s="93"/>
    </row>
    <row r="830" spans="2:7" x14ac:dyDescent="0.2">
      <c r="B830" s="92"/>
      <c r="C830" s="93"/>
      <c r="D830" s="93"/>
      <c r="E830" s="94" t="str">
        <f t="shared" si="12"/>
        <v/>
      </c>
      <c r="F830" s="95"/>
      <c r="G830" s="93"/>
    </row>
    <row r="831" spans="2:7" x14ac:dyDescent="0.2">
      <c r="B831" s="92"/>
      <c r="C831" s="93"/>
      <c r="D831" s="93"/>
      <c r="E831" s="94" t="str">
        <f t="shared" si="12"/>
        <v/>
      </c>
      <c r="F831" s="95"/>
      <c r="G831" s="93"/>
    </row>
    <row r="832" spans="2:7" x14ac:dyDescent="0.2">
      <c r="B832" s="92"/>
      <c r="C832" s="93"/>
      <c r="D832" s="93"/>
      <c r="E832" s="94" t="str">
        <f t="shared" si="12"/>
        <v/>
      </c>
      <c r="F832" s="95"/>
      <c r="G832" s="93"/>
    </row>
    <row r="833" spans="2:7" x14ac:dyDescent="0.2">
      <c r="B833" s="92"/>
      <c r="C833" s="93"/>
      <c r="D833" s="93"/>
      <c r="E833" s="94" t="str">
        <f t="shared" si="12"/>
        <v/>
      </c>
      <c r="F833" s="95"/>
      <c r="G833" s="93"/>
    </row>
    <row r="834" spans="2:7" x14ac:dyDescent="0.2">
      <c r="B834" s="92"/>
      <c r="C834" s="93"/>
      <c r="D834" s="93"/>
      <c r="E834" s="94" t="str">
        <f t="shared" si="12"/>
        <v/>
      </c>
      <c r="F834" s="95"/>
      <c r="G834" s="93"/>
    </row>
    <row r="835" spans="2:7" x14ac:dyDescent="0.2">
      <c r="B835" s="92"/>
      <c r="C835" s="93"/>
      <c r="D835" s="93"/>
      <c r="E835" s="94" t="str">
        <f t="shared" si="12"/>
        <v/>
      </c>
      <c r="F835" s="95"/>
      <c r="G835" s="93"/>
    </row>
    <row r="836" spans="2:7" x14ac:dyDescent="0.2">
      <c r="B836" s="92"/>
      <c r="C836" s="93"/>
      <c r="D836" s="93"/>
      <c r="E836" s="94" t="str">
        <f t="shared" si="12"/>
        <v/>
      </c>
      <c r="F836" s="95"/>
      <c r="G836" s="93"/>
    </row>
    <row r="837" spans="2:7" x14ac:dyDescent="0.2">
      <c r="B837" s="92"/>
      <c r="C837" s="93"/>
      <c r="D837" s="93"/>
      <c r="E837" s="94" t="str">
        <f t="shared" si="12"/>
        <v/>
      </c>
      <c r="F837" s="95"/>
      <c r="G837" s="93"/>
    </row>
    <row r="838" spans="2:7" x14ac:dyDescent="0.2">
      <c r="B838" s="92"/>
      <c r="C838" s="93"/>
      <c r="D838" s="93"/>
      <c r="E838" s="94" t="str">
        <f t="shared" ref="E838:E901" si="13">IF(C838&lt;&gt;"",D838-C838,"")</f>
        <v/>
      </c>
      <c r="F838" s="95"/>
      <c r="G838" s="93"/>
    </row>
    <row r="839" spans="2:7" x14ac:dyDescent="0.2">
      <c r="B839" s="92"/>
      <c r="C839" s="93"/>
      <c r="D839" s="93"/>
      <c r="E839" s="94" t="str">
        <f t="shared" si="13"/>
        <v/>
      </c>
      <c r="F839" s="95"/>
      <c r="G839" s="93"/>
    </row>
    <row r="840" spans="2:7" x14ac:dyDescent="0.2">
      <c r="B840" s="92"/>
      <c r="C840" s="93"/>
      <c r="D840" s="93"/>
      <c r="E840" s="94" t="str">
        <f t="shared" si="13"/>
        <v/>
      </c>
      <c r="F840" s="95"/>
      <c r="G840" s="93"/>
    </row>
    <row r="841" spans="2:7" x14ac:dyDescent="0.2">
      <c r="B841" s="92"/>
      <c r="C841" s="93"/>
      <c r="D841" s="93"/>
      <c r="E841" s="94" t="str">
        <f t="shared" si="13"/>
        <v/>
      </c>
      <c r="F841" s="95"/>
      <c r="G841" s="93"/>
    </row>
    <row r="842" spans="2:7" x14ac:dyDescent="0.2">
      <c r="B842" s="92"/>
      <c r="C842" s="93"/>
      <c r="D842" s="93"/>
      <c r="E842" s="94" t="str">
        <f t="shared" si="13"/>
        <v/>
      </c>
      <c r="F842" s="95"/>
      <c r="G842" s="93"/>
    </row>
    <row r="843" spans="2:7" x14ac:dyDescent="0.2">
      <c r="B843" s="92"/>
      <c r="C843" s="93"/>
      <c r="D843" s="93"/>
      <c r="E843" s="94" t="str">
        <f t="shared" si="13"/>
        <v/>
      </c>
      <c r="F843" s="95"/>
      <c r="G843" s="93"/>
    </row>
    <row r="844" spans="2:7" x14ac:dyDescent="0.2">
      <c r="B844" s="92"/>
      <c r="C844" s="93"/>
      <c r="D844" s="93"/>
      <c r="E844" s="94" t="str">
        <f t="shared" si="13"/>
        <v/>
      </c>
      <c r="F844" s="95"/>
      <c r="G844" s="93"/>
    </row>
    <row r="845" spans="2:7" x14ac:dyDescent="0.2">
      <c r="B845" s="92"/>
      <c r="C845" s="93"/>
      <c r="D845" s="93"/>
      <c r="E845" s="94" t="str">
        <f t="shared" si="13"/>
        <v/>
      </c>
      <c r="F845" s="95"/>
      <c r="G845" s="93"/>
    </row>
    <row r="846" spans="2:7" x14ac:dyDescent="0.2">
      <c r="B846" s="92"/>
      <c r="C846" s="93"/>
      <c r="D846" s="93"/>
      <c r="E846" s="94" t="str">
        <f t="shared" si="13"/>
        <v/>
      </c>
      <c r="F846" s="95"/>
      <c r="G846" s="93"/>
    </row>
    <row r="847" spans="2:7" x14ac:dyDescent="0.2">
      <c r="B847" s="92"/>
      <c r="C847" s="93"/>
      <c r="D847" s="93"/>
      <c r="E847" s="94" t="str">
        <f t="shared" si="13"/>
        <v/>
      </c>
      <c r="F847" s="95"/>
      <c r="G847" s="93"/>
    </row>
    <row r="848" spans="2:7" x14ac:dyDescent="0.2">
      <c r="B848" s="92"/>
      <c r="C848" s="93"/>
      <c r="D848" s="93"/>
      <c r="E848" s="94" t="str">
        <f t="shared" si="13"/>
        <v/>
      </c>
      <c r="F848" s="95"/>
      <c r="G848" s="93"/>
    </row>
    <row r="849" spans="2:7" x14ac:dyDescent="0.2">
      <c r="B849" s="92"/>
      <c r="C849" s="93"/>
      <c r="D849" s="93"/>
      <c r="E849" s="94" t="str">
        <f t="shared" si="13"/>
        <v/>
      </c>
      <c r="F849" s="95"/>
      <c r="G849" s="93"/>
    </row>
    <row r="850" spans="2:7" x14ac:dyDescent="0.2">
      <c r="B850" s="92"/>
      <c r="C850" s="93"/>
      <c r="D850" s="93"/>
      <c r="E850" s="94" t="str">
        <f t="shared" si="13"/>
        <v/>
      </c>
      <c r="F850" s="95"/>
      <c r="G850" s="93"/>
    </row>
    <row r="851" spans="2:7" x14ac:dyDescent="0.2">
      <c r="B851" s="92"/>
      <c r="C851" s="93"/>
      <c r="D851" s="93"/>
      <c r="E851" s="94" t="str">
        <f t="shared" si="13"/>
        <v/>
      </c>
      <c r="F851" s="95"/>
      <c r="G851" s="93"/>
    </row>
    <row r="852" spans="2:7" x14ac:dyDescent="0.2">
      <c r="B852" s="92"/>
      <c r="C852" s="93"/>
      <c r="D852" s="93"/>
      <c r="E852" s="94" t="str">
        <f t="shared" si="13"/>
        <v/>
      </c>
      <c r="F852" s="95"/>
      <c r="G852" s="93"/>
    </row>
    <row r="853" spans="2:7" x14ac:dyDescent="0.2">
      <c r="B853" s="92"/>
      <c r="C853" s="93"/>
      <c r="D853" s="93"/>
      <c r="E853" s="94" t="str">
        <f t="shared" si="13"/>
        <v/>
      </c>
      <c r="F853" s="95"/>
      <c r="G853" s="93"/>
    </row>
    <row r="854" spans="2:7" x14ac:dyDescent="0.2">
      <c r="B854" s="92"/>
      <c r="C854" s="93"/>
      <c r="D854" s="93"/>
      <c r="E854" s="94" t="str">
        <f t="shared" si="13"/>
        <v/>
      </c>
      <c r="F854" s="95"/>
      <c r="G854" s="93"/>
    </row>
    <row r="855" spans="2:7" x14ac:dyDescent="0.2">
      <c r="B855" s="92"/>
      <c r="C855" s="93"/>
      <c r="D855" s="93"/>
      <c r="E855" s="94" t="str">
        <f t="shared" si="13"/>
        <v/>
      </c>
      <c r="F855" s="95"/>
      <c r="G855" s="93"/>
    </row>
    <row r="856" spans="2:7" x14ac:dyDescent="0.2">
      <c r="B856" s="92"/>
      <c r="C856" s="93"/>
      <c r="D856" s="93"/>
      <c r="E856" s="94" t="str">
        <f t="shared" si="13"/>
        <v/>
      </c>
      <c r="F856" s="95"/>
      <c r="G856" s="93"/>
    </row>
    <row r="857" spans="2:7" x14ac:dyDescent="0.2">
      <c r="B857" s="92"/>
      <c r="C857" s="93"/>
      <c r="D857" s="93"/>
      <c r="E857" s="94" t="str">
        <f t="shared" si="13"/>
        <v/>
      </c>
      <c r="F857" s="95"/>
      <c r="G857" s="93"/>
    </row>
    <row r="858" spans="2:7" x14ac:dyDescent="0.2">
      <c r="B858" s="92"/>
      <c r="C858" s="93"/>
      <c r="D858" s="93"/>
      <c r="E858" s="94" t="str">
        <f t="shared" si="13"/>
        <v/>
      </c>
      <c r="F858" s="95"/>
      <c r="G858" s="93"/>
    </row>
    <row r="859" spans="2:7" x14ac:dyDescent="0.2">
      <c r="B859" s="92"/>
      <c r="C859" s="93"/>
      <c r="D859" s="93"/>
      <c r="E859" s="94" t="str">
        <f t="shared" si="13"/>
        <v/>
      </c>
      <c r="F859" s="95"/>
      <c r="G859" s="93"/>
    </row>
    <row r="860" spans="2:7" x14ac:dyDescent="0.2">
      <c r="B860" s="92"/>
      <c r="C860" s="93"/>
      <c r="D860" s="93"/>
      <c r="E860" s="94" t="str">
        <f t="shared" si="13"/>
        <v/>
      </c>
      <c r="F860" s="95"/>
      <c r="G860" s="93"/>
    </row>
    <row r="861" spans="2:7" x14ac:dyDescent="0.2">
      <c r="B861" s="92"/>
      <c r="C861" s="93"/>
      <c r="D861" s="93"/>
      <c r="E861" s="94" t="str">
        <f t="shared" si="13"/>
        <v/>
      </c>
      <c r="F861" s="95"/>
      <c r="G861" s="93"/>
    </row>
    <row r="862" spans="2:7" x14ac:dyDescent="0.2">
      <c r="B862" s="92"/>
      <c r="C862" s="93"/>
      <c r="D862" s="93"/>
      <c r="E862" s="94" t="str">
        <f t="shared" si="13"/>
        <v/>
      </c>
      <c r="F862" s="95"/>
      <c r="G862" s="93"/>
    </row>
    <row r="863" spans="2:7" x14ac:dyDescent="0.2">
      <c r="B863" s="92"/>
      <c r="C863" s="93"/>
      <c r="D863" s="93"/>
      <c r="E863" s="94" t="str">
        <f t="shared" si="13"/>
        <v/>
      </c>
      <c r="F863" s="95"/>
      <c r="G863" s="93"/>
    </row>
    <row r="864" spans="2:7" x14ac:dyDescent="0.2">
      <c r="B864" s="92"/>
      <c r="C864" s="93"/>
      <c r="D864" s="93"/>
      <c r="E864" s="94" t="str">
        <f t="shared" si="13"/>
        <v/>
      </c>
      <c r="F864" s="95"/>
      <c r="G864" s="93"/>
    </row>
    <row r="865" spans="2:7" x14ac:dyDescent="0.2">
      <c r="B865" s="92"/>
      <c r="C865" s="93"/>
      <c r="D865" s="93"/>
      <c r="E865" s="94" t="str">
        <f t="shared" si="13"/>
        <v/>
      </c>
      <c r="F865" s="95"/>
      <c r="G865" s="93"/>
    </row>
    <row r="866" spans="2:7" x14ac:dyDescent="0.2">
      <c r="B866" s="92"/>
      <c r="C866" s="93"/>
      <c r="D866" s="93"/>
      <c r="E866" s="94" t="str">
        <f t="shared" si="13"/>
        <v/>
      </c>
      <c r="F866" s="95"/>
      <c r="G866" s="93"/>
    </row>
    <row r="867" spans="2:7" x14ac:dyDescent="0.2">
      <c r="B867" s="92"/>
      <c r="C867" s="93"/>
      <c r="D867" s="93"/>
      <c r="E867" s="94" t="str">
        <f t="shared" si="13"/>
        <v/>
      </c>
      <c r="F867" s="95"/>
      <c r="G867" s="93"/>
    </row>
    <row r="868" spans="2:7" x14ac:dyDescent="0.2">
      <c r="B868" s="92"/>
      <c r="C868" s="93"/>
      <c r="D868" s="93"/>
      <c r="E868" s="94" t="str">
        <f t="shared" si="13"/>
        <v/>
      </c>
      <c r="F868" s="95"/>
      <c r="G868" s="93"/>
    </row>
    <row r="869" spans="2:7" x14ac:dyDescent="0.2">
      <c r="B869" s="92"/>
      <c r="C869" s="93"/>
      <c r="D869" s="93"/>
      <c r="E869" s="94" t="str">
        <f t="shared" si="13"/>
        <v/>
      </c>
      <c r="F869" s="95"/>
      <c r="G869" s="93"/>
    </row>
    <row r="870" spans="2:7" x14ac:dyDescent="0.2">
      <c r="B870" s="92"/>
      <c r="C870" s="93"/>
      <c r="D870" s="93"/>
      <c r="E870" s="94" t="str">
        <f t="shared" si="13"/>
        <v/>
      </c>
      <c r="F870" s="95"/>
      <c r="G870" s="93"/>
    </row>
    <row r="871" spans="2:7" x14ac:dyDescent="0.2">
      <c r="B871" s="92"/>
      <c r="C871" s="93"/>
      <c r="D871" s="93"/>
      <c r="E871" s="94" t="str">
        <f t="shared" si="13"/>
        <v/>
      </c>
      <c r="F871" s="95"/>
      <c r="G871" s="93"/>
    </row>
    <row r="872" spans="2:7" x14ac:dyDescent="0.2">
      <c r="B872" s="92"/>
      <c r="C872" s="93"/>
      <c r="D872" s="93"/>
      <c r="E872" s="94" t="str">
        <f t="shared" si="13"/>
        <v/>
      </c>
      <c r="F872" s="95"/>
      <c r="G872" s="93"/>
    </row>
    <row r="873" spans="2:7" x14ac:dyDescent="0.2">
      <c r="B873" s="92"/>
      <c r="C873" s="93"/>
      <c r="D873" s="93"/>
      <c r="E873" s="94" t="str">
        <f t="shared" si="13"/>
        <v/>
      </c>
      <c r="F873" s="95"/>
      <c r="G873" s="93"/>
    </row>
    <row r="874" spans="2:7" x14ac:dyDescent="0.2">
      <c r="B874" s="92"/>
      <c r="C874" s="93"/>
      <c r="D874" s="93"/>
      <c r="E874" s="94" t="str">
        <f t="shared" si="13"/>
        <v/>
      </c>
      <c r="F874" s="95"/>
      <c r="G874" s="93"/>
    </row>
    <row r="875" spans="2:7" x14ac:dyDescent="0.2">
      <c r="B875" s="92"/>
      <c r="C875" s="93"/>
      <c r="D875" s="93"/>
      <c r="E875" s="94" t="str">
        <f t="shared" si="13"/>
        <v/>
      </c>
      <c r="F875" s="95"/>
      <c r="G875" s="93"/>
    </row>
    <row r="876" spans="2:7" x14ac:dyDescent="0.2">
      <c r="B876" s="92"/>
      <c r="C876" s="93"/>
      <c r="D876" s="93"/>
      <c r="E876" s="94" t="str">
        <f t="shared" si="13"/>
        <v/>
      </c>
      <c r="F876" s="95"/>
      <c r="G876" s="93"/>
    </row>
    <row r="877" spans="2:7" x14ac:dyDescent="0.2">
      <c r="B877" s="92"/>
      <c r="C877" s="93"/>
      <c r="D877" s="93"/>
      <c r="E877" s="94" t="str">
        <f t="shared" si="13"/>
        <v/>
      </c>
      <c r="F877" s="95"/>
      <c r="G877" s="93"/>
    </row>
    <row r="878" spans="2:7" x14ac:dyDescent="0.2">
      <c r="B878" s="92"/>
      <c r="C878" s="93"/>
      <c r="D878" s="93"/>
      <c r="E878" s="94" t="str">
        <f t="shared" si="13"/>
        <v/>
      </c>
      <c r="F878" s="95"/>
      <c r="G878" s="93"/>
    </row>
    <row r="879" spans="2:7" x14ac:dyDescent="0.2">
      <c r="B879" s="92"/>
      <c r="C879" s="93"/>
      <c r="D879" s="93"/>
      <c r="E879" s="94" t="str">
        <f t="shared" si="13"/>
        <v/>
      </c>
      <c r="F879" s="95"/>
      <c r="G879" s="93"/>
    </row>
    <row r="880" spans="2:7" x14ac:dyDescent="0.2">
      <c r="B880" s="92"/>
      <c r="C880" s="93"/>
      <c r="D880" s="93"/>
      <c r="E880" s="94" t="str">
        <f t="shared" si="13"/>
        <v/>
      </c>
      <c r="F880" s="95"/>
      <c r="G880" s="93"/>
    </row>
    <row r="881" spans="2:7" x14ac:dyDescent="0.2">
      <c r="B881" s="92"/>
      <c r="C881" s="93"/>
      <c r="D881" s="93"/>
      <c r="E881" s="94" t="str">
        <f t="shared" si="13"/>
        <v/>
      </c>
      <c r="F881" s="95"/>
      <c r="G881" s="93"/>
    </row>
    <row r="882" spans="2:7" x14ac:dyDescent="0.2">
      <c r="B882" s="92"/>
      <c r="C882" s="93"/>
      <c r="D882" s="93"/>
      <c r="E882" s="94" t="str">
        <f t="shared" si="13"/>
        <v/>
      </c>
      <c r="F882" s="95"/>
      <c r="G882" s="93"/>
    </row>
    <row r="883" spans="2:7" x14ac:dyDescent="0.2">
      <c r="B883" s="92"/>
      <c r="C883" s="93"/>
      <c r="D883" s="93"/>
      <c r="E883" s="94" t="str">
        <f t="shared" si="13"/>
        <v/>
      </c>
      <c r="F883" s="95"/>
      <c r="G883" s="93"/>
    </row>
    <row r="884" spans="2:7" x14ac:dyDescent="0.2">
      <c r="B884" s="92"/>
      <c r="C884" s="93"/>
      <c r="D884" s="93"/>
      <c r="E884" s="94" t="str">
        <f t="shared" si="13"/>
        <v/>
      </c>
      <c r="F884" s="95"/>
      <c r="G884" s="93"/>
    </row>
    <row r="885" spans="2:7" x14ac:dyDescent="0.2">
      <c r="B885" s="92"/>
      <c r="C885" s="93"/>
      <c r="D885" s="93"/>
      <c r="E885" s="94" t="str">
        <f t="shared" si="13"/>
        <v/>
      </c>
      <c r="F885" s="95"/>
      <c r="G885" s="93"/>
    </row>
    <row r="886" spans="2:7" x14ac:dyDescent="0.2">
      <c r="B886" s="92"/>
      <c r="C886" s="93"/>
      <c r="D886" s="93"/>
      <c r="E886" s="94" t="str">
        <f t="shared" si="13"/>
        <v/>
      </c>
      <c r="F886" s="95"/>
      <c r="G886" s="93"/>
    </row>
    <row r="887" spans="2:7" x14ac:dyDescent="0.2">
      <c r="B887" s="92"/>
      <c r="C887" s="93"/>
      <c r="D887" s="93"/>
      <c r="E887" s="94" t="str">
        <f t="shared" si="13"/>
        <v/>
      </c>
      <c r="F887" s="95"/>
      <c r="G887" s="93"/>
    </row>
    <row r="888" spans="2:7" x14ac:dyDescent="0.2">
      <c r="B888" s="92"/>
      <c r="C888" s="93"/>
      <c r="D888" s="93"/>
      <c r="E888" s="94" t="str">
        <f t="shared" si="13"/>
        <v/>
      </c>
      <c r="F888" s="95"/>
      <c r="G888" s="93"/>
    </row>
    <row r="889" spans="2:7" x14ac:dyDescent="0.2">
      <c r="B889" s="92"/>
      <c r="C889" s="93"/>
      <c r="D889" s="93"/>
      <c r="E889" s="94" t="str">
        <f t="shared" si="13"/>
        <v/>
      </c>
      <c r="F889" s="95"/>
      <c r="G889" s="93"/>
    </row>
    <row r="890" spans="2:7" x14ac:dyDescent="0.2">
      <c r="B890" s="92"/>
      <c r="C890" s="93"/>
      <c r="D890" s="93"/>
      <c r="E890" s="94" t="str">
        <f t="shared" si="13"/>
        <v/>
      </c>
      <c r="F890" s="95"/>
      <c r="G890" s="93"/>
    </row>
    <row r="891" spans="2:7" x14ac:dyDescent="0.2">
      <c r="B891" s="92"/>
      <c r="C891" s="93"/>
      <c r="D891" s="93"/>
      <c r="E891" s="94" t="str">
        <f t="shared" si="13"/>
        <v/>
      </c>
      <c r="F891" s="95"/>
      <c r="G891" s="93"/>
    </row>
    <row r="892" spans="2:7" x14ac:dyDescent="0.2">
      <c r="B892" s="92"/>
      <c r="C892" s="93"/>
      <c r="D892" s="93"/>
      <c r="E892" s="94" t="str">
        <f t="shared" si="13"/>
        <v/>
      </c>
      <c r="F892" s="95"/>
      <c r="G892" s="93"/>
    </row>
    <row r="893" spans="2:7" x14ac:dyDescent="0.2">
      <c r="B893" s="92"/>
      <c r="C893" s="93"/>
      <c r="D893" s="93"/>
      <c r="E893" s="94" t="str">
        <f t="shared" si="13"/>
        <v/>
      </c>
      <c r="F893" s="95"/>
      <c r="G893" s="93"/>
    </row>
    <row r="894" spans="2:7" x14ac:dyDescent="0.2">
      <c r="B894" s="92"/>
      <c r="C894" s="93"/>
      <c r="D894" s="93"/>
      <c r="E894" s="94" t="str">
        <f t="shared" si="13"/>
        <v/>
      </c>
      <c r="F894" s="95"/>
      <c r="G894" s="93"/>
    </row>
    <row r="895" spans="2:7" x14ac:dyDescent="0.2">
      <c r="B895" s="92"/>
      <c r="C895" s="93"/>
      <c r="D895" s="93"/>
      <c r="E895" s="94" t="str">
        <f t="shared" si="13"/>
        <v/>
      </c>
      <c r="F895" s="95"/>
      <c r="G895" s="93"/>
    </row>
    <row r="896" spans="2:7" x14ac:dyDescent="0.2">
      <c r="B896" s="92"/>
      <c r="C896" s="93"/>
      <c r="D896" s="93"/>
      <c r="E896" s="94" t="str">
        <f t="shared" si="13"/>
        <v/>
      </c>
      <c r="F896" s="95"/>
      <c r="G896" s="93"/>
    </row>
    <row r="897" spans="2:7" x14ac:dyDescent="0.2">
      <c r="B897" s="92"/>
      <c r="C897" s="93"/>
      <c r="D897" s="93"/>
      <c r="E897" s="94" t="str">
        <f t="shared" si="13"/>
        <v/>
      </c>
      <c r="F897" s="95"/>
      <c r="G897" s="93"/>
    </row>
    <row r="898" spans="2:7" x14ac:dyDescent="0.2">
      <c r="B898" s="92"/>
      <c r="C898" s="93"/>
      <c r="D898" s="93"/>
      <c r="E898" s="94" t="str">
        <f t="shared" si="13"/>
        <v/>
      </c>
      <c r="F898" s="95"/>
      <c r="G898" s="93"/>
    </row>
    <row r="899" spans="2:7" x14ac:dyDescent="0.2">
      <c r="B899" s="92"/>
      <c r="C899" s="93"/>
      <c r="D899" s="93"/>
      <c r="E899" s="94" t="str">
        <f t="shared" si="13"/>
        <v/>
      </c>
      <c r="F899" s="95"/>
      <c r="G899" s="93"/>
    </row>
    <row r="900" spans="2:7" x14ac:dyDescent="0.2">
      <c r="B900" s="92"/>
      <c r="C900" s="93"/>
      <c r="D900" s="93"/>
      <c r="E900" s="94" t="str">
        <f t="shared" si="13"/>
        <v/>
      </c>
      <c r="F900" s="95"/>
      <c r="G900" s="93"/>
    </row>
    <row r="901" spans="2:7" x14ac:dyDescent="0.2">
      <c r="B901" s="92"/>
      <c r="C901" s="93"/>
      <c r="D901" s="93"/>
      <c r="E901" s="94" t="str">
        <f t="shared" si="13"/>
        <v/>
      </c>
      <c r="F901" s="95"/>
      <c r="G901" s="93"/>
    </row>
    <row r="902" spans="2:7" x14ac:dyDescent="0.2">
      <c r="B902" s="92"/>
      <c r="C902" s="93"/>
      <c r="D902" s="93"/>
      <c r="E902" s="94" t="str">
        <f t="shared" ref="E902:E965" si="14">IF(C902&lt;&gt;"",D902-C902,"")</f>
        <v/>
      </c>
      <c r="F902" s="95"/>
      <c r="G902" s="93"/>
    </row>
    <row r="903" spans="2:7" x14ac:dyDescent="0.2">
      <c r="B903" s="92"/>
      <c r="C903" s="93"/>
      <c r="D903" s="93"/>
      <c r="E903" s="94" t="str">
        <f t="shared" si="14"/>
        <v/>
      </c>
      <c r="F903" s="95"/>
      <c r="G903" s="93"/>
    </row>
    <row r="904" spans="2:7" x14ac:dyDescent="0.2">
      <c r="B904" s="92"/>
      <c r="C904" s="93"/>
      <c r="D904" s="93"/>
      <c r="E904" s="94" t="str">
        <f t="shared" si="14"/>
        <v/>
      </c>
      <c r="F904" s="95"/>
      <c r="G904" s="93"/>
    </row>
    <row r="905" spans="2:7" x14ac:dyDescent="0.2">
      <c r="B905" s="92"/>
      <c r="C905" s="93"/>
      <c r="D905" s="93"/>
      <c r="E905" s="94" t="str">
        <f t="shared" si="14"/>
        <v/>
      </c>
      <c r="F905" s="95"/>
      <c r="G905" s="93"/>
    </row>
    <row r="906" spans="2:7" x14ac:dyDescent="0.2">
      <c r="B906" s="92"/>
      <c r="C906" s="93"/>
      <c r="D906" s="93"/>
      <c r="E906" s="94" t="str">
        <f t="shared" si="14"/>
        <v/>
      </c>
      <c r="F906" s="95"/>
      <c r="G906" s="93"/>
    </row>
    <row r="907" spans="2:7" x14ac:dyDescent="0.2">
      <c r="B907" s="92"/>
      <c r="C907" s="93"/>
      <c r="D907" s="93"/>
      <c r="E907" s="94" t="str">
        <f t="shared" si="14"/>
        <v/>
      </c>
      <c r="F907" s="95"/>
      <c r="G907" s="93"/>
    </row>
    <row r="908" spans="2:7" x14ac:dyDescent="0.2">
      <c r="B908" s="92"/>
      <c r="C908" s="93"/>
      <c r="D908" s="93"/>
      <c r="E908" s="94" t="str">
        <f t="shared" si="14"/>
        <v/>
      </c>
      <c r="F908" s="95"/>
      <c r="G908" s="93"/>
    </row>
    <row r="909" spans="2:7" x14ac:dyDescent="0.2">
      <c r="B909" s="92"/>
      <c r="C909" s="93"/>
      <c r="D909" s="93"/>
      <c r="E909" s="94" t="str">
        <f t="shared" si="14"/>
        <v/>
      </c>
      <c r="F909" s="95"/>
      <c r="G909" s="93"/>
    </row>
    <row r="910" spans="2:7" x14ac:dyDescent="0.2">
      <c r="B910" s="92"/>
      <c r="C910" s="93"/>
      <c r="D910" s="93"/>
      <c r="E910" s="94" t="str">
        <f t="shared" si="14"/>
        <v/>
      </c>
      <c r="F910" s="95"/>
      <c r="G910" s="93"/>
    </row>
    <row r="911" spans="2:7" x14ac:dyDescent="0.2">
      <c r="B911" s="92"/>
      <c r="C911" s="93"/>
      <c r="D911" s="93"/>
      <c r="E911" s="94" t="str">
        <f t="shared" si="14"/>
        <v/>
      </c>
      <c r="F911" s="95"/>
      <c r="G911" s="93"/>
    </row>
    <row r="912" spans="2:7" x14ac:dyDescent="0.2">
      <c r="B912" s="92"/>
      <c r="C912" s="93"/>
      <c r="D912" s="93"/>
      <c r="E912" s="94" t="str">
        <f t="shared" si="14"/>
        <v/>
      </c>
      <c r="F912" s="95"/>
      <c r="G912" s="93"/>
    </row>
    <row r="913" spans="2:7" x14ac:dyDescent="0.2">
      <c r="B913" s="92"/>
      <c r="C913" s="93"/>
      <c r="D913" s="93"/>
      <c r="E913" s="94" t="str">
        <f t="shared" si="14"/>
        <v/>
      </c>
      <c r="F913" s="95"/>
      <c r="G913" s="93"/>
    </row>
    <row r="914" spans="2:7" x14ac:dyDescent="0.2">
      <c r="B914" s="92"/>
      <c r="C914" s="93"/>
      <c r="D914" s="93"/>
      <c r="E914" s="94" t="str">
        <f t="shared" si="14"/>
        <v/>
      </c>
      <c r="F914" s="95"/>
      <c r="G914" s="93"/>
    </row>
    <row r="915" spans="2:7" x14ac:dyDescent="0.2">
      <c r="B915" s="92"/>
      <c r="C915" s="93"/>
      <c r="D915" s="93"/>
      <c r="E915" s="94" t="str">
        <f t="shared" si="14"/>
        <v/>
      </c>
      <c r="F915" s="95"/>
      <c r="G915" s="93"/>
    </row>
    <row r="916" spans="2:7" x14ac:dyDescent="0.2">
      <c r="B916" s="92"/>
      <c r="C916" s="93"/>
      <c r="D916" s="93"/>
      <c r="E916" s="94" t="str">
        <f t="shared" si="14"/>
        <v/>
      </c>
      <c r="F916" s="95"/>
      <c r="G916" s="93"/>
    </row>
    <row r="917" spans="2:7" x14ac:dyDescent="0.2">
      <c r="B917" s="92"/>
      <c r="C917" s="93"/>
      <c r="D917" s="93"/>
      <c r="E917" s="94" t="str">
        <f t="shared" si="14"/>
        <v/>
      </c>
      <c r="F917" s="95"/>
      <c r="G917" s="93"/>
    </row>
    <row r="918" spans="2:7" x14ac:dyDescent="0.2">
      <c r="B918" s="92"/>
      <c r="C918" s="93"/>
      <c r="D918" s="93"/>
      <c r="E918" s="94" t="str">
        <f t="shared" si="14"/>
        <v/>
      </c>
      <c r="F918" s="95"/>
      <c r="G918" s="93"/>
    </row>
    <row r="919" spans="2:7" x14ac:dyDescent="0.2">
      <c r="B919" s="92"/>
      <c r="C919" s="93"/>
      <c r="D919" s="93"/>
      <c r="E919" s="94" t="str">
        <f t="shared" si="14"/>
        <v/>
      </c>
      <c r="F919" s="95"/>
      <c r="G919" s="93"/>
    </row>
    <row r="920" spans="2:7" x14ac:dyDescent="0.2">
      <c r="B920" s="92"/>
      <c r="C920" s="93"/>
      <c r="D920" s="93"/>
      <c r="E920" s="94" t="str">
        <f t="shared" si="14"/>
        <v/>
      </c>
      <c r="F920" s="95"/>
      <c r="G920" s="93"/>
    </row>
    <row r="921" spans="2:7" x14ac:dyDescent="0.2">
      <c r="B921" s="92"/>
      <c r="C921" s="93"/>
      <c r="D921" s="93"/>
      <c r="E921" s="94" t="str">
        <f t="shared" si="14"/>
        <v/>
      </c>
      <c r="F921" s="95"/>
      <c r="G921" s="93"/>
    </row>
    <row r="922" spans="2:7" x14ac:dyDescent="0.2">
      <c r="B922" s="92"/>
      <c r="C922" s="93"/>
      <c r="D922" s="93"/>
      <c r="E922" s="94" t="str">
        <f t="shared" si="14"/>
        <v/>
      </c>
      <c r="F922" s="95"/>
      <c r="G922" s="93"/>
    </row>
    <row r="923" spans="2:7" x14ac:dyDescent="0.2">
      <c r="B923" s="92"/>
      <c r="C923" s="93"/>
      <c r="D923" s="93"/>
      <c r="E923" s="94" t="str">
        <f t="shared" si="14"/>
        <v/>
      </c>
      <c r="F923" s="95"/>
      <c r="G923" s="93"/>
    </row>
    <row r="924" spans="2:7" x14ac:dyDescent="0.2">
      <c r="B924" s="92"/>
      <c r="C924" s="93"/>
      <c r="D924" s="93"/>
      <c r="E924" s="94" t="str">
        <f t="shared" si="14"/>
        <v/>
      </c>
      <c r="F924" s="95"/>
      <c r="G924" s="93"/>
    </row>
    <row r="925" spans="2:7" x14ac:dyDescent="0.2">
      <c r="B925" s="92"/>
      <c r="C925" s="93"/>
      <c r="D925" s="93"/>
      <c r="E925" s="94" t="str">
        <f t="shared" si="14"/>
        <v/>
      </c>
      <c r="F925" s="95"/>
      <c r="G925" s="93"/>
    </row>
    <row r="926" spans="2:7" x14ac:dyDescent="0.2">
      <c r="B926" s="92"/>
      <c r="C926" s="93"/>
      <c r="D926" s="93"/>
      <c r="E926" s="94" t="str">
        <f t="shared" si="14"/>
        <v/>
      </c>
      <c r="F926" s="95"/>
      <c r="G926" s="93"/>
    </row>
    <row r="927" spans="2:7" x14ac:dyDescent="0.2">
      <c r="B927" s="92"/>
      <c r="C927" s="93"/>
      <c r="D927" s="93"/>
      <c r="E927" s="94" t="str">
        <f t="shared" si="14"/>
        <v/>
      </c>
      <c r="F927" s="95"/>
      <c r="G927" s="93"/>
    </row>
    <row r="928" spans="2:7" x14ac:dyDescent="0.2">
      <c r="B928" s="92"/>
      <c r="C928" s="93"/>
      <c r="D928" s="93"/>
      <c r="E928" s="94" t="str">
        <f t="shared" si="14"/>
        <v/>
      </c>
      <c r="F928" s="95"/>
      <c r="G928" s="93"/>
    </row>
    <row r="929" spans="2:7" x14ac:dyDescent="0.2">
      <c r="B929" s="92"/>
      <c r="C929" s="93"/>
      <c r="D929" s="93"/>
      <c r="E929" s="94" t="str">
        <f t="shared" si="14"/>
        <v/>
      </c>
      <c r="F929" s="95"/>
      <c r="G929" s="93"/>
    </row>
    <row r="930" spans="2:7" x14ac:dyDescent="0.2">
      <c r="B930" s="92"/>
      <c r="C930" s="93"/>
      <c r="D930" s="93"/>
      <c r="E930" s="94" t="str">
        <f t="shared" si="14"/>
        <v/>
      </c>
      <c r="F930" s="95"/>
      <c r="G930" s="93"/>
    </row>
    <row r="931" spans="2:7" x14ac:dyDescent="0.2">
      <c r="B931" s="92"/>
      <c r="C931" s="93"/>
      <c r="D931" s="93"/>
      <c r="E931" s="94" t="str">
        <f t="shared" si="14"/>
        <v/>
      </c>
      <c r="F931" s="95"/>
      <c r="G931" s="93"/>
    </row>
    <row r="932" spans="2:7" x14ac:dyDescent="0.2">
      <c r="B932" s="92"/>
      <c r="C932" s="93"/>
      <c r="D932" s="93"/>
      <c r="E932" s="94" t="str">
        <f t="shared" si="14"/>
        <v/>
      </c>
      <c r="F932" s="95"/>
      <c r="G932" s="93"/>
    </row>
    <row r="933" spans="2:7" x14ac:dyDescent="0.2">
      <c r="B933" s="92"/>
      <c r="C933" s="93"/>
      <c r="D933" s="93"/>
      <c r="E933" s="94" t="str">
        <f t="shared" si="14"/>
        <v/>
      </c>
      <c r="F933" s="95"/>
      <c r="G933" s="93"/>
    </row>
    <row r="934" spans="2:7" x14ac:dyDescent="0.2">
      <c r="B934" s="92"/>
      <c r="C934" s="93"/>
      <c r="D934" s="93"/>
      <c r="E934" s="94" t="str">
        <f t="shared" si="14"/>
        <v/>
      </c>
      <c r="F934" s="95"/>
      <c r="G934" s="93"/>
    </row>
    <row r="935" spans="2:7" x14ac:dyDescent="0.2">
      <c r="B935" s="92"/>
      <c r="C935" s="93"/>
      <c r="D935" s="93"/>
      <c r="E935" s="94" t="str">
        <f t="shared" si="14"/>
        <v/>
      </c>
      <c r="F935" s="95"/>
      <c r="G935" s="93"/>
    </row>
    <row r="936" spans="2:7" x14ac:dyDescent="0.2">
      <c r="B936" s="92"/>
      <c r="C936" s="93"/>
      <c r="D936" s="93"/>
      <c r="E936" s="94" t="str">
        <f t="shared" si="14"/>
        <v/>
      </c>
      <c r="F936" s="95"/>
      <c r="G936" s="93"/>
    </row>
    <row r="937" spans="2:7" x14ac:dyDescent="0.2">
      <c r="B937" s="92"/>
      <c r="C937" s="93"/>
      <c r="D937" s="93"/>
      <c r="E937" s="94" t="str">
        <f t="shared" si="14"/>
        <v/>
      </c>
      <c r="F937" s="95"/>
      <c r="G937" s="93"/>
    </row>
    <row r="938" spans="2:7" x14ac:dyDescent="0.2">
      <c r="B938" s="92"/>
      <c r="C938" s="93"/>
      <c r="D938" s="93"/>
      <c r="E938" s="94" t="str">
        <f t="shared" si="14"/>
        <v/>
      </c>
      <c r="F938" s="95"/>
      <c r="G938" s="93"/>
    </row>
    <row r="939" spans="2:7" x14ac:dyDescent="0.2">
      <c r="B939" s="92"/>
      <c r="C939" s="93"/>
      <c r="D939" s="93"/>
      <c r="E939" s="94" t="str">
        <f t="shared" si="14"/>
        <v/>
      </c>
      <c r="F939" s="95"/>
      <c r="G939" s="93"/>
    </row>
    <row r="940" spans="2:7" x14ac:dyDescent="0.2">
      <c r="B940" s="92"/>
      <c r="C940" s="93"/>
      <c r="D940" s="93"/>
      <c r="E940" s="94" t="str">
        <f t="shared" si="14"/>
        <v/>
      </c>
      <c r="F940" s="95"/>
      <c r="G940" s="93"/>
    </row>
    <row r="941" spans="2:7" x14ac:dyDescent="0.2">
      <c r="B941" s="92"/>
      <c r="C941" s="93"/>
      <c r="D941" s="93"/>
      <c r="E941" s="94" t="str">
        <f t="shared" si="14"/>
        <v/>
      </c>
      <c r="F941" s="95"/>
      <c r="G941" s="93"/>
    </row>
    <row r="942" spans="2:7" x14ac:dyDescent="0.2">
      <c r="B942" s="92"/>
      <c r="C942" s="93"/>
      <c r="D942" s="93"/>
      <c r="E942" s="94" t="str">
        <f t="shared" si="14"/>
        <v/>
      </c>
      <c r="F942" s="95"/>
      <c r="G942" s="93"/>
    </row>
    <row r="943" spans="2:7" x14ac:dyDescent="0.2">
      <c r="B943" s="92"/>
      <c r="C943" s="93"/>
      <c r="D943" s="93"/>
      <c r="E943" s="94" t="str">
        <f t="shared" si="14"/>
        <v/>
      </c>
      <c r="F943" s="95"/>
      <c r="G943" s="93"/>
    </row>
    <row r="944" spans="2:7" x14ac:dyDescent="0.2">
      <c r="B944" s="92"/>
      <c r="C944" s="93"/>
      <c r="D944" s="93"/>
      <c r="E944" s="94" t="str">
        <f t="shared" si="14"/>
        <v/>
      </c>
      <c r="F944" s="95"/>
      <c r="G944" s="93"/>
    </row>
    <row r="945" spans="2:7" x14ac:dyDescent="0.2">
      <c r="B945" s="92"/>
      <c r="C945" s="93"/>
      <c r="D945" s="93"/>
      <c r="E945" s="94" t="str">
        <f t="shared" si="14"/>
        <v/>
      </c>
      <c r="F945" s="95"/>
      <c r="G945" s="93"/>
    </row>
    <row r="946" spans="2:7" x14ac:dyDescent="0.2">
      <c r="B946" s="92"/>
      <c r="C946" s="93"/>
      <c r="D946" s="93"/>
      <c r="E946" s="94" t="str">
        <f t="shared" si="14"/>
        <v/>
      </c>
      <c r="F946" s="95"/>
      <c r="G946" s="93"/>
    </row>
    <row r="947" spans="2:7" x14ac:dyDescent="0.2">
      <c r="B947" s="92"/>
      <c r="C947" s="93"/>
      <c r="D947" s="93"/>
      <c r="E947" s="94" t="str">
        <f t="shared" si="14"/>
        <v/>
      </c>
      <c r="F947" s="95"/>
      <c r="G947" s="93"/>
    </row>
    <row r="948" spans="2:7" x14ac:dyDescent="0.2">
      <c r="B948" s="92"/>
      <c r="C948" s="93"/>
      <c r="D948" s="93"/>
      <c r="E948" s="94" t="str">
        <f t="shared" si="14"/>
        <v/>
      </c>
      <c r="F948" s="95"/>
      <c r="G948" s="93"/>
    </row>
    <row r="949" spans="2:7" x14ac:dyDescent="0.2">
      <c r="B949" s="92"/>
      <c r="C949" s="93"/>
      <c r="D949" s="93"/>
      <c r="E949" s="94" t="str">
        <f t="shared" si="14"/>
        <v/>
      </c>
      <c r="F949" s="95"/>
      <c r="G949" s="93"/>
    </row>
    <row r="950" spans="2:7" x14ac:dyDescent="0.2">
      <c r="B950" s="92"/>
      <c r="C950" s="93"/>
      <c r="D950" s="93"/>
      <c r="E950" s="94" t="str">
        <f t="shared" si="14"/>
        <v/>
      </c>
      <c r="F950" s="95"/>
      <c r="G950" s="93"/>
    </row>
    <row r="951" spans="2:7" x14ac:dyDescent="0.2">
      <c r="B951" s="92"/>
      <c r="C951" s="93"/>
      <c r="D951" s="93"/>
      <c r="E951" s="94" t="str">
        <f t="shared" si="14"/>
        <v/>
      </c>
      <c r="F951" s="95"/>
      <c r="G951" s="93"/>
    </row>
    <row r="952" spans="2:7" x14ac:dyDescent="0.2">
      <c r="B952" s="92"/>
      <c r="C952" s="93"/>
      <c r="D952" s="93"/>
      <c r="E952" s="94" t="str">
        <f t="shared" si="14"/>
        <v/>
      </c>
      <c r="F952" s="95"/>
      <c r="G952" s="93"/>
    </row>
    <row r="953" spans="2:7" x14ac:dyDescent="0.2">
      <c r="B953" s="92"/>
      <c r="C953" s="93"/>
      <c r="D953" s="93"/>
      <c r="E953" s="94" t="str">
        <f t="shared" si="14"/>
        <v/>
      </c>
      <c r="F953" s="95"/>
      <c r="G953" s="93"/>
    </row>
    <row r="954" spans="2:7" x14ac:dyDescent="0.2">
      <c r="B954" s="92"/>
      <c r="C954" s="93"/>
      <c r="D954" s="93"/>
      <c r="E954" s="94" t="str">
        <f t="shared" si="14"/>
        <v/>
      </c>
      <c r="F954" s="95"/>
      <c r="G954" s="93"/>
    </row>
    <row r="955" spans="2:7" x14ac:dyDescent="0.2">
      <c r="B955" s="92"/>
      <c r="C955" s="93"/>
      <c r="D955" s="93"/>
      <c r="E955" s="94" t="str">
        <f t="shared" si="14"/>
        <v/>
      </c>
      <c r="F955" s="95"/>
      <c r="G955" s="93"/>
    </row>
    <row r="956" spans="2:7" x14ac:dyDescent="0.2">
      <c r="B956" s="92"/>
      <c r="C956" s="93"/>
      <c r="D956" s="93"/>
      <c r="E956" s="94" t="str">
        <f t="shared" si="14"/>
        <v/>
      </c>
      <c r="F956" s="95"/>
      <c r="G956" s="93"/>
    </row>
    <row r="957" spans="2:7" x14ac:dyDescent="0.2">
      <c r="B957" s="92"/>
      <c r="C957" s="93"/>
      <c r="D957" s="93"/>
      <c r="E957" s="94" t="str">
        <f t="shared" si="14"/>
        <v/>
      </c>
      <c r="F957" s="95"/>
      <c r="G957" s="93"/>
    </row>
    <row r="958" spans="2:7" x14ac:dyDescent="0.2">
      <c r="B958" s="92"/>
      <c r="C958" s="93"/>
      <c r="D958" s="93"/>
      <c r="E958" s="94" t="str">
        <f t="shared" si="14"/>
        <v/>
      </c>
      <c r="F958" s="95"/>
      <c r="G958" s="93"/>
    </row>
    <row r="959" spans="2:7" x14ac:dyDescent="0.2">
      <c r="B959" s="92"/>
      <c r="C959" s="93"/>
      <c r="D959" s="93"/>
      <c r="E959" s="94" t="str">
        <f t="shared" si="14"/>
        <v/>
      </c>
      <c r="F959" s="95"/>
      <c r="G959" s="93"/>
    </row>
    <row r="960" spans="2:7" x14ac:dyDescent="0.2">
      <c r="B960" s="92"/>
      <c r="C960" s="93"/>
      <c r="D960" s="93"/>
      <c r="E960" s="94" t="str">
        <f t="shared" si="14"/>
        <v/>
      </c>
      <c r="F960" s="95"/>
      <c r="G960" s="93"/>
    </row>
    <row r="961" spans="2:7" x14ac:dyDescent="0.2">
      <c r="B961" s="92"/>
      <c r="C961" s="93"/>
      <c r="D961" s="93"/>
      <c r="E961" s="94" t="str">
        <f t="shared" si="14"/>
        <v/>
      </c>
      <c r="F961" s="95"/>
      <c r="G961" s="93"/>
    </row>
    <row r="962" spans="2:7" x14ac:dyDescent="0.2">
      <c r="B962" s="92"/>
      <c r="C962" s="93"/>
      <c r="D962" s="93"/>
      <c r="E962" s="94" t="str">
        <f t="shared" si="14"/>
        <v/>
      </c>
      <c r="F962" s="95"/>
      <c r="G962" s="93"/>
    </row>
    <row r="963" spans="2:7" x14ac:dyDescent="0.2">
      <c r="B963" s="92"/>
      <c r="C963" s="93"/>
      <c r="D963" s="93"/>
      <c r="E963" s="94" t="str">
        <f t="shared" si="14"/>
        <v/>
      </c>
      <c r="F963" s="95"/>
      <c r="G963" s="93"/>
    </row>
    <row r="964" spans="2:7" x14ac:dyDescent="0.2">
      <c r="B964" s="92"/>
      <c r="C964" s="93"/>
      <c r="D964" s="93"/>
      <c r="E964" s="94" t="str">
        <f t="shared" si="14"/>
        <v/>
      </c>
      <c r="F964" s="95"/>
      <c r="G964" s="93"/>
    </row>
    <row r="965" spans="2:7" x14ac:dyDescent="0.2">
      <c r="B965" s="92"/>
      <c r="C965" s="93"/>
      <c r="D965" s="93"/>
      <c r="E965" s="94" t="str">
        <f t="shared" si="14"/>
        <v/>
      </c>
      <c r="F965" s="95"/>
      <c r="G965" s="93"/>
    </row>
    <row r="966" spans="2:7" x14ac:dyDescent="0.2">
      <c r="B966" s="92"/>
      <c r="C966" s="93"/>
      <c r="D966" s="93"/>
      <c r="E966" s="94" t="str">
        <f t="shared" ref="E966:E1029" si="15">IF(C966&lt;&gt;"",D966-C966,"")</f>
        <v/>
      </c>
      <c r="F966" s="95"/>
      <c r="G966" s="93"/>
    </row>
    <row r="967" spans="2:7" x14ac:dyDescent="0.2">
      <c r="B967" s="92"/>
      <c r="C967" s="93"/>
      <c r="D967" s="93"/>
      <c r="E967" s="94" t="str">
        <f t="shared" si="15"/>
        <v/>
      </c>
      <c r="F967" s="95"/>
      <c r="G967" s="93"/>
    </row>
    <row r="968" spans="2:7" x14ac:dyDescent="0.2">
      <c r="B968" s="92"/>
      <c r="C968" s="93"/>
      <c r="D968" s="93"/>
      <c r="E968" s="94" t="str">
        <f t="shared" si="15"/>
        <v/>
      </c>
      <c r="F968" s="95"/>
      <c r="G968" s="93"/>
    </row>
    <row r="969" spans="2:7" x14ac:dyDescent="0.2">
      <c r="B969" s="92"/>
      <c r="C969" s="93"/>
      <c r="D969" s="93"/>
      <c r="E969" s="94" t="str">
        <f t="shared" si="15"/>
        <v/>
      </c>
      <c r="F969" s="95"/>
      <c r="G969" s="93"/>
    </row>
    <row r="970" spans="2:7" x14ac:dyDescent="0.2">
      <c r="B970" s="92"/>
      <c r="C970" s="93"/>
      <c r="D970" s="93"/>
      <c r="E970" s="94" t="str">
        <f t="shared" si="15"/>
        <v/>
      </c>
      <c r="F970" s="95"/>
      <c r="G970" s="93"/>
    </row>
    <row r="971" spans="2:7" x14ac:dyDescent="0.2">
      <c r="B971" s="92"/>
      <c r="C971" s="93"/>
      <c r="D971" s="93"/>
      <c r="E971" s="94" t="str">
        <f t="shared" si="15"/>
        <v/>
      </c>
      <c r="F971" s="95"/>
      <c r="G971" s="93"/>
    </row>
    <row r="972" spans="2:7" x14ac:dyDescent="0.2">
      <c r="B972" s="92"/>
      <c r="C972" s="93"/>
      <c r="D972" s="93"/>
      <c r="E972" s="94" t="str">
        <f t="shared" si="15"/>
        <v/>
      </c>
      <c r="F972" s="95"/>
      <c r="G972" s="93"/>
    </row>
    <row r="973" spans="2:7" x14ac:dyDescent="0.2">
      <c r="B973" s="92"/>
      <c r="C973" s="93"/>
      <c r="D973" s="93"/>
      <c r="E973" s="94" t="str">
        <f t="shared" si="15"/>
        <v/>
      </c>
      <c r="F973" s="95"/>
      <c r="G973" s="93"/>
    </row>
    <row r="974" spans="2:7" x14ac:dyDescent="0.2">
      <c r="B974" s="92"/>
      <c r="C974" s="93"/>
      <c r="D974" s="93"/>
      <c r="E974" s="94" t="str">
        <f t="shared" si="15"/>
        <v/>
      </c>
      <c r="F974" s="95"/>
      <c r="G974" s="93"/>
    </row>
    <row r="975" spans="2:7" x14ac:dyDescent="0.2">
      <c r="B975" s="92"/>
      <c r="C975" s="93"/>
      <c r="D975" s="93"/>
      <c r="E975" s="94" t="str">
        <f t="shared" si="15"/>
        <v/>
      </c>
      <c r="F975" s="95"/>
      <c r="G975" s="93"/>
    </row>
    <row r="976" spans="2:7" x14ac:dyDescent="0.2">
      <c r="B976" s="92"/>
      <c r="C976" s="93"/>
      <c r="D976" s="93"/>
      <c r="E976" s="94" t="str">
        <f t="shared" si="15"/>
        <v/>
      </c>
      <c r="F976" s="95"/>
      <c r="G976" s="93"/>
    </row>
    <row r="977" spans="2:7" x14ac:dyDescent="0.2">
      <c r="B977" s="92"/>
      <c r="C977" s="93"/>
      <c r="D977" s="93"/>
      <c r="E977" s="94" t="str">
        <f t="shared" si="15"/>
        <v/>
      </c>
      <c r="F977" s="95"/>
      <c r="G977" s="93"/>
    </row>
    <row r="978" spans="2:7" x14ac:dyDescent="0.2">
      <c r="B978" s="92"/>
      <c r="C978" s="93"/>
      <c r="D978" s="93"/>
      <c r="E978" s="94" t="str">
        <f t="shared" si="15"/>
        <v/>
      </c>
      <c r="F978" s="95"/>
      <c r="G978" s="93"/>
    </row>
    <row r="979" spans="2:7" x14ac:dyDescent="0.2">
      <c r="B979" s="92"/>
      <c r="C979" s="93"/>
      <c r="D979" s="93"/>
      <c r="E979" s="94" t="str">
        <f t="shared" si="15"/>
        <v/>
      </c>
      <c r="F979" s="95"/>
      <c r="G979" s="93"/>
    </row>
    <row r="980" spans="2:7" x14ac:dyDescent="0.2">
      <c r="B980" s="92"/>
      <c r="C980" s="93"/>
      <c r="D980" s="93"/>
      <c r="E980" s="94" t="str">
        <f t="shared" si="15"/>
        <v/>
      </c>
      <c r="F980" s="95"/>
      <c r="G980" s="93"/>
    </row>
    <row r="981" spans="2:7" x14ac:dyDescent="0.2">
      <c r="B981" s="92"/>
      <c r="C981" s="93"/>
      <c r="D981" s="93"/>
      <c r="E981" s="94" t="str">
        <f t="shared" si="15"/>
        <v/>
      </c>
      <c r="F981" s="95"/>
      <c r="G981" s="93"/>
    </row>
    <row r="982" spans="2:7" x14ac:dyDescent="0.2">
      <c r="B982" s="92"/>
      <c r="C982" s="93"/>
      <c r="D982" s="93"/>
      <c r="E982" s="94" t="str">
        <f t="shared" si="15"/>
        <v/>
      </c>
      <c r="F982" s="95"/>
      <c r="G982" s="93"/>
    </row>
    <row r="983" spans="2:7" x14ac:dyDescent="0.2">
      <c r="B983" s="92"/>
      <c r="C983" s="93"/>
      <c r="D983" s="93"/>
      <c r="E983" s="94" t="str">
        <f t="shared" si="15"/>
        <v/>
      </c>
      <c r="F983" s="95"/>
      <c r="G983" s="93"/>
    </row>
    <row r="984" spans="2:7" x14ac:dyDescent="0.2">
      <c r="B984" s="92"/>
      <c r="C984" s="93"/>
      <c r="D984" s="93"/>
      <c r="E984" s="94" t="str">
        <f t="shared" si="15"/>
        <v/>
      </c>
      <c r="F984" s="95"/>
      <c r="G984" s="93"/>
    </row>
    <row r="985" spans="2:7" x14ac:dyDescent="0.2">
      <c r="B985" s="92"/>
      <c r="C985" s="93"/>
      <c r="D985" s="93"/>
      <c r="E985" s="94" t="str">
        <f t="shared" si="15"/>
        <v/>
      </c>
      <c r="F985" s="95"/>
      <c r="G985" s="93"/>
    </row>
    <row r="986" spans="2:7" x14ac:dyDescent="0.2">
      <c r="B986" s="92"/>
      <c r="C986" s="93"/>
      <c r="D986" s="93"/>
      <c r="E986" s="94" t="str">
        <f t="shared" si="15"/>
        <v/>
      </c>
      <c r="F986" s="95"/>
      <c r="G986" s="93"/>
    </row>
    <row r="987" spans="2:7" x14ac:dyDescent="0.2">
      <c r="B987" s="92"/>
      <c r="C987" s="93"/>
      <c r="D987" s="93"/>
      <c r="E987" s="94" t="str">
        <f t="shared" si="15"/>
        <v/>
      </c>
      <c r="F987" s="95"/>
      <c r="G987" s="93"/>
    </row>
    <row r="988" spans="2:7" x14ac:dyDescent="0.2">
      <c r="B988" s="92"/>
      <c r="C988" s="93"/>
      <c r="D988" s="93"/>
      <c r="E988" s="94" t="str">
        <f t="shared" si="15"/>
        <v/>
      </c>
      <c r="F988" s="95"/>
      <c r="G988" s="93"/>
    </row>
    <row r="989" spans="2:7" x14ac:dyDescent="0.2">
      <c r="B989" s="92"/>
      <c r="C989" s="93"/>
      <c r="D989" s="93"/>
      <c r="E989" s="94" t="str">
        <f t="shared" si="15"/>
        <v/>
      </c>
      <c r="F989" s="95"/>
      <c r="G989" s="93"/>
    </row>
    <row r="990" spans="2:7" x14ac:dyDescent="0.2">
      <c r="B990" s="92"/>
      <c r="C990" s="93"/>
      <c r="D990" s="93"/>
      <c r="E990" s="94" t="str">
        <f t="shared" si="15"/>
        <v/>
      </c>
      <c r="F990" s="95"/>
      <c r="G990" s="93"/>
    </row>
    <row r="991" spans="2:7" x14ac:dyDescent="0.2">
      <c r="B991" s="92"/>
      <c r="C991" s="93"/>
      <c r="D991" s="93"/>
      <c r="E991" s="94" t="str">
        <f t="shared" si="15"/>
        <v/>
      </c>
      <c r="F991" s="95"/>
      <c r="G991" s="93"/>
    </row>
    <row r="992" spans="2:7" x14ac:dyDescent="0.2">
      <c r="B992" s="92"/>
      <c r="C992" s="93"/>
      <c r="D992" s="93"/>
      <c r="E992" s="94" t="str">
        <f t="shared" si="15"/>
        <v/>
      </c>
      <c r="F992" s="95"/>
      <c r="G992" s="93"/>
    </row>
    <row r="993" spans="2:7" x14ac:dyDescent="0.2">
      <c r="B993" s="92"/>
      <c r="C993" s="93"/>
      <c r="D993" s="93"/>
      <c r="E993" s="94" t="str">
        <f t="shared" si="15"/>
        <v/>
      </c>
      <c r="F993" s="95"/>
      <c r="G993" s="93"/>
    </row>
    <row r="994" spans="2:7" x14ac:dyDescent="0.2">
      <c r="B994" s="92"/>
      <c r="C994" s="93"/>
      <c r="D994" s="93"/>
      <c r="E994" s="94" t="str">
        <f t="shared" si="15"/>
        <v/>
      </c>
      <c r="F994" s="95"/>
      <c r="G994" s="93"/>
    </row>
    <row r="995" spans="2:7" x14ac:dyDescent="0.2">
      <c r="B995" s="92"/>
      <c r="C995" s="93"/>
      <c r="D995" s="93"/>
      <c r="E995" s="94" t="str">
        <f t="shared" si="15"/>
        <v/>
      </c>
      <c r="F995" s="95"/>
      <c r="G995" s="93"/>
    </row>
    <row r="996" spans="2:7" x14ac:dyDescent="0.2">
      <c r="B996" s="92"/>
      <c r="C996" s="93"/>
      <c r="D996" s="93"/>
      <c r="E996" s="94" t="str">
        <f t="shared" si="15"/>
        <v/>
      </c>
      <c r="F996" s="95"/>
      <c r="G996" s="93"/>
    </row>
    <row r="997" spans="2:7" x14ac:dyDescent="0.2">
      <c r="B997" s="92"/>
      <c r="C997" s="93"/>
      <c r="D997" s="93"/>
      <c r="E997" s="94" t="str">
        <f t="shared" si="15"/>
        <v/>
      </c>
      <c r="F997" s="95"/>
      <c r="G997" s="93"/>
    </row>
    <row r="998" spans="2:7" x14ac:dyDescent="0.2">
      <c r="B998" s="92"/>
      <c r="C998" s="93"/>
      <c r="D998" s="93"/>
      <c r="E998" s="94" t="str">
        <f t="shared" si="15"/>
        <v/>
      </c>
      <c r="F998" s="95"/>
      <c r="G998" s="93"/>
    </row>
    <row r="999" spans="2:7" x14ac:dyDescent="0.2">
      <c r="B999" s="92"/>
      <c r="C999" s="93"/>
      <c r="D999" s="93"/>
      <c r="E999" s="94" t="str">
        <f t="shared" si="15"/>
        <v/>
      </c>
      <c r="F999" s="95"/>
      <c r="G999" s="93"/>
    </row>
    <row r="1000" spans="2:7" x14ac:dyDescent="0.2">
      <c r="B1000" s="92"/>
      <c r="C1000" s="93"/>
      <c r="D1000" s="93"/>
      <c r="E1000" s="94" t="str">
        <f t="shared" si="15"/>
        <v/>
      </c>
      <c r="F1000" s="95"/>
      <c r="G1000" s="93"/>
    </row>
    <row r="1001" spans="2:7" x14ac:dyDescent="0.2">
      <c r="B1001" s="92"/>
      <c r="C1001" s="93"/>
      <c r="D1001" s="93"/>
      <c r="E1001" s="94" t="str">
        <f t="shared" si="15"/>
        <v/>
      </c>
      <c r="F1001" s="95"/>
      <c r="G1001" s="93"/>
    </row>
    <row r="1002" spans="2:7" x14ac:dyDescent="0.2">
      <c r="B1002" s="92"/>
      <c r="C1002" s="93"/>
      <c r="D1002" s="93"/>
      <c r="E1002" s="94" t="str">
        <f t="shared" si="15"/>
        <v/>
      </c>
      <c r="F1002" s="95"/>
      <c r="G1002" s="93"/>
    </row>
    <row r="1003" spans="2:7" x14ac:dyDescent="0.2">
      <c r="B1003" s="92"/>
      <c r="C1003" s="93"/>
      <c r="D1003" s="93"/>
      <c r="E1003" s="94" t="str">
        <f t="shared" si="15"/>
        <v/>
      </c>
      <c r="F1003" s="95"/>
      <c r="G1003" s="93"/>
    </row>
    <row r="1004" spans="2:7" x14ac:dyDescent="0.2">
      <c r="B1004" s="92"/>
      <c r="C1004" s="93"/>
      <c r="D1004" s="93"/>
      <c r="E1004" s="94" t="str">
        <f t="shared" si="15"/>
        <v/>
      </c>
      <c r="F1004" s="95"/>
      <c r="G1004" s="93"/>
    </row>
    <row r="1005" spans="2:7" x14ac:dyDescent="0.2">
      <c r="B1005" s="92"/>
      <c r="C1005" s="93"/>
      <c r="D1005" s="93"/>
      <c r="E1005" s="94" t="str">
        <f t="shared" si="15"/>
        <v/>
      </c>
      <c r="F1005" s="95"/>
      <c r="G1005" s="93"/>
    </row>
    <row r="1006" spans="2:7" x14ac:dyDescent="0.2">
      <c r="B1006" s="92"/>
      <c r="C1006" s="93"/>
      <c r="D1006" s="93"/>
      <c r="E1006" s="94" t="str">
        <f t="shared" si="15"/>
        <v/>
      </c>
      <c r="F1006" s="95"/>
      <c r="G1006" s="93"/>
    </row>
    <row r="1007" spans="2:7" x14ac:dyDescent="0.2">
      <c r="B1007" s="92"/>
      <c r="C1007" s="93"/>
      <c r="D1007" s="93"/>
      <c r="E1007" s="94" t="str">
        <f t="shared" si="15"/>
        <v/>
      </c>
      <c r="F1007" s="95"/>
      <c r="G1007" s="93"/>
    </row>
    <row r="1008" spans="2:7" x14ac:dyDescent="0.2">
      <c r="B1008" s="92"/>
      <c r="C1008" s="93"/>
      <c r="D1008" s="93"/>
      <c r="E1008" s="94" t="str">
        <f t="shared" si="15"/>
        <v/>
      </c>
      <c r="F1008" s="95"/>
      <c r="G1008" s="93"/>
    </row>
    <row r="1009" spans="2:7" x14ac:dyDescent="0.2">
      <c r="B1009" s="92"/>
      <c r="C1009" s="93"/>
      <c r="D1009" s="93"/>
      <c r="E1009" s="94" t="str">
        <f t="shared" si="15"/>
        <v/>
      </c>
      <c r="F1009" s="95"/>
      <c r="G1009" s="93"/>
    </row>
    <row r="1010" spans="2:7" x14ac:dyDescent="0.2">
      <c r="B1010" s="92"/>
      <c r="C1010" s="93"/>
      <c r="D1010" s="93"/>
      <c r="E1010" s="94" t="str">
        <f t="shared" si="15"/>
        <v/>
      </c>
      <c r="F1010" s="95"/>
      <c r="G1010" s="93"/>
    </row>
    <row r="1011" spans="2:7" x14ac:dyDescent="0.2">
      <c r="B1011" s="92"/>
      <c r="C1011" s="93"/>
      <c r="D1011" s="93"/>
      <c r="E1011" s="94" t="str">
        <f t="shared" si="15"/>
        <v/>
      </c>
      <c r="F1011" s="95"/>
      <c r="G1011" s="93"/>
    </row>
    <row r="1012" spans="2:7" x14ac:dyDescent="0.2">
      <c r="B1012" s="92"/>
      <c r="C1012" s="93"/>
      <c r="D1012" s="93"/>
      <c r="E1012" s="94" t="str">
        <f t="shared" si="15"/>
        <v/>
      </c>
      <c r="F1012" s="95"/>
      <c r="G1012" s="93"/>
    </row>
    <row r="1013" spans="2:7" x14ac:dyDescent="0.2">
      <c r="B1013" s="92"/>
      <c r="C1013" s="93"/>
      <c r="D1013" s="93"/>
      <c r="E1013" s="94" t="str">
        <f t="shared" si="15"/>
        <v/>
      </c>
      <c r="F1013" s="95"/>
      <c r="G1013" s="93"/>
    </row>
    <row r="1014" spans="2:7" x14ac:dyDescent="0.2">
      <c r="B1014" s="92"/>
      <c r="C1014" s="93"/>
      <c r="D1014" s="93"/>
      <c r="E1014" s="94" t="str">
        <f t="shared" si="15"/>
        <v/>
      </c>
      <c r="F1014" s="95"/>
      <c r="G1014" s="93"/>
    </row>
    <row r="1015" spans="2:7" x14ac:dyDescent="0.2">
      <c r="B1015" s="92"/>
      <c r="C1015" s="93"/>
      <c r="D1015" s="93"/>
      <c r="E1015" s="94" t="str">
        <f t="shared" si="15"/>
        <v/>
      </c>
      <c r="F1015" s="95"/>
      <c r="G1015" s="93"/>
    </row>
    <row r="1016" spans="2:7" x14ac:dyDescent="0.2">
      <c r="B1016" s="92"/>
      <c r="C1016" s="93"/>
      <c r="D1016" s="93"/>
      <c r="E1016" s="94" t="str">
        <f t="shared" si="15"/>
        <v/>
      </c>
      <c r="F1016" s="95"/>
      <c r="G1016" s="93"/>
    </row>
    <row r="1017" spans="2:7" x14ac:dyDescent="0.2">
      <c r="B1017" s="92"/>
      <c r="C1017" s="93"/>
      <c r="D1017" s="93"/>
      <c r="E1017" s="94" t="str">
        <f t="shared" si="15"/>
        <v/>
      </c>
      <c r="F1017" s="95"/>
      <c r="G1017" s="93"/>
    </row>
    <row r="1018" spans="2:7" x14ac:dyDescent="0.2">
      <c r="B1018" s="92"/>
      <c r="C1018" s="93"/>
      <c r="D1018" s="93"/>
      <c r="E1018" s="94" t="str">
        <f t="shared" si="15"/>
        <v/>
      </c>
      <c r="F1018" s="95"/>
      <c r="G1018" s="93"/>
    </row>
    <row r="1019" spans="2:7" x14ac:dyDescent="0.2">
      <c r="B1019" s="92"/>
      <c r="C1019" s="93"/>
      <c r="D1019" s="93"/>
      <c r="E1019" s="94" t="str">
        <f t="shared" si="15"/>
        <v/>
      </c>
      <c r="F1019" s="95"/>
      <c r="G1019" s="93"/>
    </row>
    <row r="1020" spans="2:7" x14ac:dyDescent="0.2">
      <c r="B1020" s="92"/>
      <c r="C1020" s="93"/>
      <c r="D1020" s="93"/>
      <c r="E1020" s="94" t="str">
        <f t="shared" si="15"/>
        <v/>
      </c>
      <c r="F1020" s="95"/>
      <c r="G1020" s="93"/>
    </row>
    <row r="1021" spans="2:7" x14ac:dyDescent="0.2">
      <c r="B1021" s="92"/>
      <c r="C1021" s="93"/>
      <c r="D1021" s="93"/>
      <c r="E1021" s="94" t="str">
        <f t="shared" si="15"/>
        <v/>
      </c>
      <c r="F1021" s="95"/>
      <c r="G1021" s="93"/>
    </row>
    <row r="1022" spans="2:7" x14ac:dyDescent="0.2">
      <c r="B1022" s="92"/>
      <c r="C1022" s="93"/>
      <c r="D1022" s="93"/>
      <c r="E1022" s="94" t="str">
        <f t="shared" si="15"/>
        <v/>
      </c>
      <c r="F1022" s="95"/>
      <c r="G1022" s="93"/>
    </row>
    <row r="1023" spans="2:7" x14ac:dyDescent="0.2">
      <c r="B1023" s="92"/>
      <c r="C1023" s="93"/>
      <c r="D1023" s="93"/>
      <c r="E1023" s="94" t="str">
        <f t="shared" si="15"/>
        <v/>
      </c>
      <c r="F1023" s="95"/>
      <c r="G1023" s="93"/>
    </row>
    <row r="1024" spans="2:7" x14ac:dyDescent="0.2">
      <c r="B1024" s="92"/>
      <c r="C1024" s="93"/>
      <c r="D1024" s="93"/>
      <c r="E1024" s="94" t="str">
        <f t="shared" si="15"/>
        <v/>
      </c>
      <c r="F1024" s="95"/>
      <c r="G1024" s="93"/>
    </row>
    <row r="1025" spans="2:7" x14ac:dyDescent="0.2">
      <c r="B1025" s="92"/>
      <c r="C1025" s="93"/>
      <c r="D1025" s="93"/>
      <c r="E1025" s="94" t="str">
        <f t="shared" si="15"/>
        <v/>
      </c>
      <c r="F1025" s="95"/>
      <c r="G1025" s="93"/>
    </row>
    <row r="1026" spans="2:7" x14ac:dyDescent="0.2">
      <c r="B1026" s="92"/>
      <c r="C1026" s="93"/>
      <c r="D1026" s="93"/>
      <c r="E1026" s="94" t="str">
        <f t="shared" si="15"/>
        <v/>
      </c>
      <c r="F1026" s="95"/>
      <c r="G1026" s="93"/>
    </row>
    <row r="1027" spans="2:7" x14ac:dyDescent="0.2">
      <c r="B1027" s="92"/>
      <c r="C1027" s="93"/>
      <c r="D1027" s="93"/>
      <c r="E1027" s="94" t="str">
        <f t="shared" si="15"/>
        <v/>
      </c>
      <c r="F1027" s="95"/>
      <c r="G1027" s="93"/>
    </row>
    <row r="1028" spans="2:7" x14ac:dyDescent="0.2">
      <c r="B1028" s="92"/>
      <c r="C1028" s="93"/>
      <c r="D1028" s="93"/>
      <c r="E1028" s="94" t="str">
        <f t="shared" si="15"/>
        <v/>
      </c>
      <c r="F1028" s="95"/>
      <c r="G1028" s="93"/>
    </row>
    <row r="1029" spans="2:7" x14ac:dyDescent="0.2">
      <c r="B1029" s="92"/>
      <c r="C1029" s="93"/>
      <c r="D1029" s="93"/>
      <c r="E1029" s="94" t="str">
        <f t="shared" si="15"/>
        <v/>
      </c>
      <c r="F1029" s="95"/>
      <c r="G1029" s="93"/>
    </row>
    <row r="1030" spans="2:7" x14ac:dyDescent="0.2">
      <c r="B1030" s="92"/>
      <c r="C1030" s="93"/>
      <c r="D1030" s="93"/>
      <c r="E1030" s="94" t="str">
        <f t="shared" ref="E1030:E1093" si="16">IF(C1030&lt;&gt;"",D1030-C1030,"")</f>
        <v/>
      </c>
      <c r="F1030" s="95"/>
      <c r="G1030" s="93"/>
    </row>
    <row r="1031" spans="2:7" x14ac:dyDescent="0.2">
      <c r="B1031" s="92"/>
      <c r="C1031" s="93"/>
      <c r="D1031" s="93"/>
      <c r="E1031" s="94" t="str">
        <f t="shared" si="16"/>
        <v/>
      </c>
      <c r="F1031" s="95"/>
      <c r="G1031" s="93"/>
    </row>
    <row r="1032" spans="2:7" x14ac:dyDescent="0.2">
      <c r="B1032" s="92"/>
      <c r="C1032" s="93"/>
      <c r="D1032" s="93"/>
      <c r="E1032" s="94" t="str">
        <f t="shared" si="16"/>
        <v/>
      </c>
      <c r="F1032" s="95"/>
      <c r="G1032" s="93"/>
    </row>
    <row r="1033" spans="2:7" x14ac:dyDescent="0.2">
      <c r="B1033" s="92"/>
      <c r="C1033" s="93"/>
      <c r="D1033" s="93"/>
      <c r="E1033" s="94" t="str">
        <f t="shared" si="16"/>
        <v/>
      </c>
      <c r="F1033" s="95"/>
      <c r="G1033" s="93"/>
    </row>
    <row r="1034" spans="2:7" x14ac:dyDescent="0.2">
      <c r="B1034" s="92"/>
      <c r="C1034" s="93"/>
      <c r="D1034" s="93"/>
      <c r="E1034" s="94" t="str">
        <f t="shared" si="16"/>
        <v/>
      </c>
      <c r="F1034" s="95"/>
      <c r="G1034" s="93"/>
    </row>
    <row r="1035" spans="2:7" x14ac:dyDescent="0.2">
      <c r="B1035" s="92"/>
      <c r="C1035" s="93"/>
      <c r="D1035" s="93"/>
      <c r="E1035" s="94" t="str">
        <f t="shared" si="16"/>
        <v/>
      </c>
      <c r="F1035" s="95"/>
      <c r="G1035" s="93"/>
    </row>
    <row r="1036" spans="2:7" x14ac:dyDescent="0.2">
      <c r="B1036" s="92"/>
      <c r="C1036" s="93"/>
      <c r="D1036" s="93"/>
      <c r="E1036" s="94" t="str">
        <f t="shared" si="16"/>
        <v/>
      </c>
      <c r="F1036" s="95"/>
      <c r="G1036" s="93"/>
    </row>
    <row r="1037" spans="2:7" x14ac:dyDescent="0.2">
      <c r="B1037" s="92"/>
      <c r="C1037" s="93"/>
      <c r="D1037" s="93"/>
      <c r="E1037" s="94" t="str">
        <f t="shared" si="16"/>
        <v/>
      </c>
      <c r="F1037" s="95"/>
      <c r="G1037" s="93"/>
    </row>
    <row r="1038" spans="2:7" x14ac:dyDescent="0.2">
      <c r="B1038" s="92"/>
      <c r="C1038" s="93"/>
      <c r="D1038" s="93"/>
      <c r="E1038" s="94" t="str">
        <f t="shared" si="16"/>
        <v/>
      </c>
      <c r="F1038" s="95"/>
      <c r="G1038" s="93"/>
    </row>
    <row r="1039" spans="2:7" x14ac:dyDescent="0.2">
      <c r="B1039" s="92"/>
      <c r="C1039" s="93"/>
      <c r="D1039" s="93"/>
      <c r="E1039" s="94" t="str">
        <f t="shared" si="16"/>
        <v/>
      </c>
      <c r="F1039" s="95"/>
      <c r="G1039" s="93"/>
    </row>
    <row r="1040" spans="2:7" x14ac:dyDescent="0.2">
      <c r="B1040" s="92"/>
      <c r="C1040" s="93"/>
      <c r="D1040" s="93"/>
      <c r="E1040" s="94" t="str">
        <f t="shared" si="16"/>
        <v/>
      </c>
      <c r="F1040" s="95"/>
      <c r="G1040" s="93"/>
    </row>
    <row r="1041" spans="2:7" x14ac:dyDescent="0.2">
      <c r="B1041" s="92"/>
      <c r="C1041" s="93"/>
      <c r="D1041" s="93"/>
      <c r="E1041" s="94" t="str">
        <f t="shared" si="16"/>
        <v/>
      </c>
      <c r="F1041" s="95"/>
      <c r="G1041" s="93"/>
    </row>
    <row r="1042" spans="2:7" x14ac:dyDescent="0.2">
      <c r="B1042" s="92"/>
      <c r="C1042" s="93"/>
      <c r="D1042" s="93"/>
      <c r="E1042" s="94" t="str">
        <f t="shared" si="16"/>
        <v/>
      </c>
      <c r="F1042" s="95"/>
      <c r="G1042" s="93"/>
    </row>
    <row r="1043" spans="2:7" x14ac:dyDescent="0.2">
      <c r="B1043" s="92"/>
      <c r="C1043" s="93"/>
      <c r="D1043" s="93"/>
      <c r="E1043" s="94" t="str">
        <f t="shared" si="16"/>
        <v/>
      </c>
      <c r="F1043" s="95"/>
      <c r="G1043" s="93"/>
    </row>
    <row r="1044" spans="2:7" x14ac:dyDescent="0.2">
      <c r="B1044" s="92"/>
      <c r="C1044" s="93"/>
      <c r="D1044" s="93"/>
      <c r="E1044" s="94" t="str">
        <f t="shared" si="16"/>
        <v/>
      </c>
      <c r="F1044" s="95"/>
      <c r="G1044" s="93"/>
    </row>
    <row r="1045" spans="2:7" x14ac:dyDescent="0.2">
      <c r="B1045" s="92"/>
      <c r="C1045" s="93"/>
      <c r="D1045" s="93"/>
      <c r="E1045" s="94" t="str">
        <f t="shared" si="16"/>
        <v/>
      </c>
      <c r="F1045" s="95"/>
      <c r="G1045" s="93"/>
    </row>
    <row r="1046" spans="2:7" x14ac:dyDescent="0.2">
      <c r="B1046" s="92"/>
      <c r="C1046" s="93"/>
      <c r="D1046" s="93"/>
      <c r="E1046" s="94" t="str">
        <f t="shared" si="16"/>
        <v/>
      </c>
      <c r="F1046" s="95"/>
      <c r="G1046" s="93"/>
    </row>
    <row r="1047" spans="2:7" x14ac:dyDescent="0.2">
      <c r="B1047" s="92"/>
      <c r="C1047" s="93"/>
      <c r="D1047" s="93"/>
      <c r="E1047" s="94" t="str">
        <f t="shared" si="16"/>
        <v/>
      </c>
      <c r="F1047" s="95"/>
      <c r="G1047" s="93"/>
    </row>
    <row r="1048" spans="2:7" x14ac:dyDescent="0.2">
      <c r="B1048" s="92"/>
      <c r="C1048" s="93"/>
      <c r="D1048" s="93"/>
      <c r="E1048" s="94" t="str">
        <f t="shared" si="16"/>
        <v/>
      </c>
      <c r="F1048" s="95"/>
      <c r="G1048" s="93"/>
    </row>
    <row r="1049" spans="2:7" x14ac:dyDescent="0.2">
      <c r="B1049" s="92"/>
      <c r="C1049" s="93"/>
      <c r="D1049" s="93"/>
      <c r="E1049" s="94" t="str">
        <f t="shared" si="16"/>
        <v/>
      </c>
      <c r="F1049" s="95"/>
      <c r="G1049" s="93"/>
    </row>
    <row r="1050" spans="2:7" x14ac:dyDescent="0.2">
      <c r="B1050" s="92"/>
      <c r="C1050" s="93"/>
      <c r="D1050" s="93"/>
      <c r="E1050" s="94" t="str">
        <f t="shared" si="16"/>
        <v/>
      </c>
      <c r="F1050" s="95"/>
      <c r="G1050" s="93"/>
    </row>
    <row r="1051" spans="2:7" x14ac:dyDescent="0.2">
      <c r="B1051" s="92"/>
      <c r="C1051" s="93"/>
      <c r="D1051" s="93"/>
      <c r="E1051" s="94" t="str">
        <f t="shared" si="16"/>
        <v/>
      </c>
      <c r="F1051" s="95"/>
      <c r="G1051" s="93"/>
    </row>
    <row r="1052" spans="2:7" x14ac:dyDescent="0.2">
      <c r="B1052" s="92"/>
      <c r="C1052" s="93"/>
      <c r="D1052" s="93"/>
      <c r="E1052" s="94" t="str">
        <f t="shared" si="16"/>
        <v/>
      </c>
      <c r="F1052" s="95"/>
      <c r="G1052" s="93"/>
    </row>
    <row r="1053" spans="2:7" x14ac:dyDescent="0.2">
      <c r="B1053" s="92"/>
      <c r="C1053" s="93"/>
      <c r="D1053" s="93"/>
      <c r="E1053" s="94" t="str">
        <f t="shared" si="16"/>
        <v/>
      </c>
      <c r="F1053" s="95"/>
      <c r="G1053" s="93"/>
    </row>
    <row r="1054" spans="2:7" x14ac:dyDescent="0.2">
      <c r="B1054" s="92"/>
      <c r="C1054" s="93"/>
      <c r="D1054" s="93"/>
      <c r="E1054" s="94" t="str">
        <f t="shared" si="16"/>
        <v/>
      </c>
      <c r="F1054" s="95"/>
      <c r="G1054" s="93"/>
    </row>
    <row r="1055" spans="2:7" x14ac:dyDescent="0.2">
      <c r="B1055" s="92"/>
      <c r="C1055" s="93"/>
      <c r="D1055" s="93"/>
      <c r="E1055" s="94" t="str">
        <f t="shared" si="16"/>
        <v/>
      </c>
      <c r="F1055" s="95"/>
      <c r="G1055" s="93"/>
    </row>
    <row r="1056" spans="2:7" x14ac:dyDescent="0.2">
      <c r="B1056" s="92"/>
      <c r="C1056" s="93"/>
      <c r="D1056" s="93"/>
      <c r="E1056" s="94" t="str">
        <f t="shared" si="16"/>
        <v/>
      </c>
      <c r="F1056" s="95"/>
      <c r="G1056" s="93"/>
    </row>
    <row r="1057" spans="2:7" x14ac:dyDescent="0.2">
      <c r="B1057" s="92"/>
      <c r="C1057" s="93"/>
      <c r="D1057" s="93"/>
      <c r="E1057" s="94" t="str">
        <f t="shared" si="16"/>
        <v/>
      </c>
      <c r="F1057" s="95"/>
      <c r="G1057" s="93"/>
    </row>
    <row r="1058" spans="2:7" x14ac:dyDescent="0.2">
      <c r="B1058" s="92"/>
      <c r="C1058" s="93"/>
      <c r="D1058" s="93"/>
      <c r="E1058" s="94" t="str">
        <f t="shared" si="16"/>
        <v/>
      </c>
      <c r="F1058" s="95"/>
      <c r="G1058" s="93"/>
    </row>
    <row r="1059" spans="2:7" x14ac:dyDescent="0.2">
      <c r="B1059" s="92"/>
      <c r="C1059" s="93"/>
      <c r="D1059" s="93"/>
      <c r="E1059" s="94" t="str">
        <f t="shared" si="16"/>
        <v/>
      </c>
      <c r="F1059" s="95"/>
      <c r="G1059" s="93"/>
    </row>
    <row r="1060" spans="2:7" x14ac:dyDescent="0.2">
      <c r="B1060" s="92"/>
      <c r="C1060" s="93"/>
      <c r="D1060" s="93"/>
      <c r="E1060" s="94" t="str">
        <f t="shared" si="16"/>
        <v/>
      </c>
      <c r="F1060" s="95"/>
      <c r="G1060" s="93"/>
    </row>
    <row r="1061" spans="2:7" x14ac:dyDescent="0.2">
      <c r="B1061" s="92"/>
      <c r="C1061" s="93"/>
      <c r="D1061" s="93"/>
      <c r="E1061" s="94" t="str">
        <f t="shared" si="16"/>
        <v/>
      </c>
      <c r="F1061" s="95"/>
      <c r="G1061" s="93"/>
    </row>
    <row r="1062" spans="2:7" x14ac:dyDescent="0.2">
      <c r="B1062" s="92"/>
      <c r="C1062" s="93"/>
      <c r="D1062" s="93"/>
      <c r="E1062" s="94" t="str">
        <f t="shared" si="16"/>
        <v/>
      </c>
      <c r="F1062" s="95"/>
      <c r="G1062" s="93"/>
    </row>
    <row r="1063" spans="2:7" x14ac:dyDescent="0.2">
      <c r="B1063" s="92"/>
      <c r="C1063" s="93"/>
      <c r="D1063" s="93"/>
      <c r="E1063" s="94" t="str">
        <f t="shared" si="16"/>
        <v/>
      </c>
      <c r="F1063" s="95"/>
      <c r="G1063" s="93"/>
    </row>
    <row r="1064" spans="2:7" x14ac:dyDescent="0.2">
      <c r="B1064" s="92"/>
      <c r="C1064" s="93"/>
      <c r="D1064" s="93"/>
      <c r="E1064" s="94" t="str">
        <f t="shared" si="16"/>
        <v/>
      </c>
      <c r="F1064" s="95"/>
      <c r="G1064" s="93"/>
    </row>
    <row r="1065" spans="2:7" x14ac:dyDescent="0.2">
      <c r="B1065" s="92"/>
      <c r="C1065" s="93"/>
      <c r="D1065" s="93"/>
      <c r="E1065" s="94" t="str">
        <f t="shared" si="16"/>
        <v/>
      </c>
      <c r="F1065" s="95"/>
      <c r="G1065" s="93"/>
    </row>
    <row r="1066" spans="2:7" x14ac:dyDescent="0.2">
      <c r="B1066" s="92"/>
      <c r="C1066" s="93"/>
      <c r="D1066" s="93"/>
      <c r="E1066" s="94" t="str">
        <f t="shared" si="16"/>
        <v/>
      </c>
      <c r="F1066" s="95"/>
      <c r="G1066" s="93"/>
    </row>
    <row r="1067" spans="2:7" x14ac:dyDescent="0.2">
      <c r="B1067" s="92"/>
      <c r="C1067" s="93"/>
      <c r="D1067" s="93"/>
      <c r="E1067" s="94" t="str">
        <f t="shared" si="16"/>
        <v/>
      </c>
      <c r="F1067" s="95"/>
      <c r="G1067" s="93"/>
    </row>
    <row r="1068" spans="2:7" x14ac:dyDescent="0.2">
      <c r="B1068" s="92"/>
      <c r="C1068" s="93"/>
      <c r="D1068" s="93"/>
      <c r="E1068" s="94" t="str">
        <f t="shared" si="16"/>
        <v/>
      </c>
      <c r="F1068" s="95"/>
      <c r="G1068" s="93"/>
    </row>
    <row r="1069" spans="2:7" x14ac:dyDescent="0.2">
      <c r="B1069" s="92"/>
      <c r="C1069" s="93"/>
      <c r="D1069" s="93"/>
      <c r="E1069" s="94" t="str">
        <f t="shared" si="16"/>
        <v/>
      </c>
      <c r="F1069" s="95"/>
      <c r="G1069" s="93"/>
    </row>
    <row r="1070" spans="2:7" x14ac:dyDescent="0.2">
      <c r="B1070" s="92"/>
      <c r="C1070" s="93"/>
      <c r="D1070" s="93"/>
      <c r="E1070" s="94" t="str">
        <f t="shared" si="16"/>
        <v/>
      </c>
      <c r="F1070" s="95"/>
      <c r="G1070" s="93"/>
    </row>
    <row r="1071" spans="2:7" x14ac:dyDescent="0.2">
      <c r="B1071" s="92"/>
      <c r="C1071" s="93"/>
      <c r="D1071" s="93"/>
      <c r="E1071" s="94" t="str">
        <f t="shared" si="16"/>
        <v/>
      </c>
      <c r="F1071" s="95"/>
      <c r="G1071" s="93"/>
    </row>
    <row r="1072" spans="2:7" x14ac:dyDescent="0.2">
      <c r="B1072" s="92"/>
      <c r="C1072" s="93"/>
      <c r="D1072" s="93"/>
      <c r="E1072" s="94" t="str">
        <f t="shared" si="16"/>
        <v/>
      </c>
      <c r="F1072" s="95"/>
      <c r="G1072" s="93"/>
    </row>
    <row r="1073" spans="2:7" x14ac:dyDescent="0.2">
      <c r="B1073" s="92"/>
      <c r="C1073" s="93"/>
      <c r="D1073" s="93"/>
      <c r="E1073" s="94" t="str">
        <f t="shared" si="16"/>
        <v/>
      </c>
      <c r="F1073" s="95"/>
      <c r="G1073" s="93"/>
    </row>
    <row r="1074" spans="2:7" x14ac:dyDescent="0.2">
      <c r="B1074" s="92"/>
      <c r="C1074" s="93"/>
      <c r="D1074" s="93"/>
      <c r="E1074" s="94" t="str">
        <f t="shared" si="16"/>
        <v/>
      </c>
      <c r="F1074" s="95"/>
      <c r="G1074" s="93"/>
    </row>
    <row r="1075" spans="2:7" x14ac:dyDescent="0.2">
      <c r="B1075" s="92"/>
      <c r="C1075" s="93"/>
      <c r="D1075" s="93"/>
      <c r="E1075" s="94" t="str">
        <f t="shared" si="16"/>
        <v/>
      </c>
      <c r="F1075" s="95"/>
      <c r="G1075" s="93"/>
    </row>
    <row r="1076" spans="2:7" x14ac:dyDescent="0.2">
      <c r="B1076" s="92"/>
      <c r="C1076" s="93"/>
      <c r="D1076" s="93"/>
      <c r="E1076" s="94" t="str">
        <f t="shared" si="16"/>
        <v/>
      </c>
      <c r="F1076" s="95"/>
      <c r="G1076" s="93"/>
    </row>
    <row r="1077" spans="2:7" x14ac:dyDescent="0.2">
      <c r="B1077" s="92"/>
      <c r="C1077" s="93"/>
      <c r="D1077" s="93"/>
      <c r="E1077" s="94" t="str">
        <f t="shared" si="16"/>
        <v/>
      </c>
      <c r="F1077" s="95"/>
      <c r="G1077" s="93"/>
    </row>
    <row r="1078" spans="2:7" x14ac:dyDescent="0.2">
      <c r="B1078" s="92"/>
      <c r="C1078" s="93"/>
      <c r="D1078" s="93"/>
      <c r="E1078" s="94" t="str">
        <f t="shared" si="16"/>
        <v/>
      </c>
      <c r="F1078" s="95"/>
      <c r="G1078" s="93"/>
    </row>
    <row r="1079" spans="2:7" x14ac:dyDescent="0.2">
      <c r="B1079" s="92"/>
      <c r="C1079" s="93"/>
      <c r="D1079" s="93"/>
      <c r="E1079" s="94" t="str">
        <f t="shared" si="16"/>
        <v/>
      </c>
      <c r="F1079" s="95"/>
      <c r="G1079" s="93"/>
    </row>
    <row r="1080" spans="2:7" x14ac:dyDescent="0.2">
      <c r="B1080" s="92"/>
      <c r="C1080" s="93"/>
      <c r="D1080" s="93"/>
      <c r="E1080" s="94" t="str">
        <f t="shared" si="16"/>
        <v/>
      </c>
      <c r="F1080" s="95"/>
      <c r="G1080" s="93"/>
    </row>
    <row r="1081" spans="2:7" x14ac:dyDescent="0.2">
      <c r="B1081" s="92"/>
      <c r="C1081" s="93"/>
      <c r="D1081" s="93"/>
      <c r="E1081" s="94" t="str">
        <f t="shared" si="16"/>
        <v/>
      </c>
      <c r="F1081" s="95"/>
      <c r="G1081" s="93"/>
    </row>
    <row r="1082" spans="2:7" x14ac:dyDescent="0.2">
      <c r="B1082" s="92"/>
      <c r="C1082" s="93"/>
      <c r="D1082" s="93"/>
      <c r="E1082" s="94" t="str">
        <f t="shared" si="16"/>
        <v/>
      </c>
      <c r="F1082" s="95"/>
      <c r="G1082" s="93"/>
    </row>
    <row r="1083" spans="2:7" x14ac:dyDescent="0.2">
      <c r="B1083" s="92"/>
      <c r="C1083" s="93"/>
      <c r="D1083" s="93"/>
      <c r="E1083" s="94" t="str">
        <f t="shared" si="16"/>
        <v/>
      </c>
      <c r="F1083" s="95"/>
      <c r="G1083" s="93"/>
    </row>
    <row r="1084" spans="2:7" x14ac:dyDescent="0.2">
      <c r="B1084" s="92"/>
      <c r="C1084" s="93"/>
      <c r="D1084" s="93"/>
      <c r="E1084" s="94" t="str">
        <f t="shared" si="16"/>
        <v/>
      </c>
      <c r="F1084" s="95"/>
      <c r="G1084" s="93"/>
    </row>
    <row r="1085" spans="2:7" x14ac:dyDescent="0.2">
      <c r="B1085" s="92"/>
      <c r="C1085" s="93"/>
      <c r="D1085" s="93"/>
      <c r="E1085" s="94" t="str">
        <f t="shared" si="16"/>
        <v/>
      </c>
      <c r="F1085" s="95"/>
      <c r="G1085" s="93"/>
    </row>
    <row r="1086" spans="2:7" x14ac:dyDescent="0.2">
      <c r="B1086" s="92"/>
      <c r="C1086" s="93"/>
      <c r="D1086" s="93"/>
      <c r="E1086" s="94" t="str">
        <f t="shared" si="16"/>
        <v/>
      </c>
      <c r="F1086" s="95"/>
      <c r="G1086" s="93"/>
    </row>
    <row r="1087" spans="2:7" x14ac:dyDescent="0.2">
      <c r="B1087" s="92"/>
      <c r="C1087" s="93"/>
      <c r="D1087" s="93"/>
      <c r="E1087" s="94" t="str">
        <f t="shared" si="16"/>
        <v/>
      </c>
      <c r="F1087" s="95"/>
      <c r="G1087" s="93"/>
    </row>
    <row r="1088" spans="2:7" x14ac:dyDescent="0.2">
      <c r="B1088" s="92"/>
      <c r="C1088" s="93"/>
      <c r="D1088" s="93"/>
      <c r="E1088" s="94" t="str">
        <f t="shared" si="16"/>
        <v/>
      </c>
      <c r="F1088" s="95"/>
      <c r="G1088" s="93"/>
    </row>
    <row r="1089" spans="2:7" x14ac:dyDescent="0.2">
      <c r="B1089" s="92"/>
      <c r="C1089" s="93"/>
      <c r="D1089" s="93"/>
      <c r="E1089" s="94" t="str">
        <f t="shared" si="16"/>
        <v/>
      </c>
      <c r="F1089" s="95"/>
      <c r="G1089" s="93"/>
    </row>
    <row r="1090" spans="2:7" x14ac:dyDescent="0.2">
      <c r="B1090" s="92"/>
      <c r="C1090" s="93"/>
      <c r="D1090" s="93"/>
      <c r="E1090" s="94" t="str">
        <f t="shared" si="16"/>
        <v/>
      </c>
      <c r="F1090" s="95"/>
      <c r="G1090" s="93"/>
    </row>
    <row r="1091" spans="2:7" x14ac:dyDescent="0.2">
      <c r="B1091" s="92"/>
      <c r="C1091" s="93"/>
      <c r="D1091" s="93"/>
      <c r="E1091" s="94" t="str">
        <f t="shared" si="16"/>
        <v/>
      </c>
      <c r="F1091" s="95"/>
      <c r="G1091" s="93"/>
    </row>
    <row r="1092" spans="2:7" x14ac:dyDescent="0.2">
      <c r="B1092" s="92"/>
      <c r="C1092" s="93"/>
      <c r="D1092" s="93"/>
      <c r="E1092" s="94" t="str">
        <f t="shared" si="16"/>
        <v/>
      </c>
      <c r="F1092" s="95"/>
      <c r="G1092" s="93"/>
    </row>
    <row r="1093" spans="2:7" x14ac:dyDescent="0.2">
      <c r="B1093" s="92"/>
      <c r="C1093" s="93"/>
      <c r="D1093" s="93"/>
      <c r="E1093" s="94" t="str">
        <f t="shared" si="16"/>
        <v/>
      </c>
      <c r="F1093" s="95"/>
      <c r="G1093" s="93"/>
    </row>
    <row r="1094" spans="2:7" x14ac:dyDescent="0.2">
      <c r="B1094" s="92"/>
      <c r="C1094" s="93"/>
      <c r="D1094" s="93"/>
      <c r="E1094" s="94" t="str">
        <f t="shared" ref="E1094:E1157" si="17">IF(C1094&lt;&gt;"",D1094-C1094,"")</f>
        <v/>
      </c>
      <c r="F1094" s="95"/>
      <c r="G1094" s="93"/>
    </row>
    <row r="1095" spans="2:7" x14ac:dyDescent="0.2">
      <c r="B1095" s="92"/>
      <c r="C1095" s="93"/>
      <c r="D1095" s="93"/>
      <c r="E1095" s="94" t="str">
        <f t="shared" si="17"/>
        <v/>
      </c>
      <c r="F1095" s="95"/>
      <c r="G1095" s="93"/>
    </row>
    <row r="1096" spans="2:7" x14ac:dyDescent="0.2">
      <c r="B1096" s="92"/>
      <c r="C1096" s="93"/>
      <c r="D1096" s="93"/>
      <c r="E1096" s="94" t="str">
        <f t="shared" si="17"/>
        <v/>
      </c>
      <c r="F1096" s="95"/>
      <c r="G1096" s="93"/>
    </row>
    <row r="1097" spans="2:7" x14ac:dyDescent="0.2">
      <c r="B1097" s="92"/>
      <c r="C1097" s="93"/>
      <c r="D1097" s="93"/>
      <c r="E1097" s="94" t="str">
        <f t="shared" si="17"/>
        <v/>
      </c>
      <c r="F1097" s="95"/>
      <c r="G1097" s="93"/>
    </row>
    <row r="1098" spans="2:7" x14ac:dyDescent="0.2">
      <c r="B1098" s="92"/>
      <c r="C1098" s="93"/>
      <c r="D1098" s="93"/>
      <c r="E1098" s="94" t="str">
        <f t="shared" si="17"/>
        <v/>
      </c>
      <c r="F1098" s="95"/>
      <c r="G1098" s="93"/>
    </row>
    <row r="1099" spans="2:7" x14ac:dyDescent="0.2">
      <c r="B1099" s="92"/>
      <c r="C1099" s="93"/>
      <c r="D1099" s="93"/>
      <c r="E1099" s="94" t="str">
        <f t="shared" si="17"/>
        <v/>
      </c>
      <c r="F1099" s="95"/>
      <c r="G1099" s="93"/>
    </row>
    <row r="1100" spans="2:7" x14ac:dyDescent="0.2">
      <c r="B1100" s="92"/>
      <c r="C1100" s="93"/>
      <c r="D1100" s="93"/>
      <c r="E1100" s="94" t="str">
        <f t="shared" si="17"/>
        <v/>
      </c>
      <c r="F1100" s="95"/>
      <c r="G1100" s="93"/>
    </row>
    <row r="1101" spans="2:7" x14ac:dyDescent="0.2">
      <c r="B1101" s="92"/>
      <c r="C1101" s="93"/>
      <c r="D1101" s="93"/>
      <c r="E1101" s="94" t="str">
        <f t="shared" si="17"/>
        <v/>
      </c>
      <c r="F1101" s="95"/>
      <c r="G1101" s="93"/>
    </row>
    <row r="1102" spans="2:7" x14ac:dyDescent="0.2">
      <c r="B1102" s="92"/>
      <c r="C1102" s="93"/>
      <c r="D1102" s="93"/>
      <c r="E1102" s="94" t="str">
        <f t="shared" si="17"/>
        <v/>
      </c>
      <c r="F1102" s="95"/>
      <c r="G1102" s="93"/>
    </row>
    <row r="1103" spans="2:7" x14ac:dyDescent="0.2">
      <c r="B1103" s="92"/>
      <c r="C1103" s="93"/>
      <c r="D1103" s="93"/>
      <c r="E1103" s="94" t="str">
        <f t="shared" si="17"/>
        <v/>
      </c>
      <c r="F1103" s="95"/>
      <c r="G1103" s="93"/>
    </row>
    <row r="1104" spans="2:7" x14ac:dyDescent="0.2">
      <c r="B1104" s="92"/>
      <c r="C1104" s="93"/>
      <c r="D1104" s="93"/>
      <c r="E1104" s="94" t="str">
        <f t="shared" si="17"/>
        <v/>
      </c>
      <c r="F1104" s="95"/>
      <c r="G1104" s="93"/>
    </row>
    <row r="1105" spans="2:7" x14ac:dyDescent="0.2">
      <c r="B1105" s="92"/>
      <c r="C1105" s="93"/>
      <c r="D1105" s="93"/>
      <c r="E1105" s="94" t="str">
        <f t="shared" si="17"/>
        <v/>
      </c>
      <c r="F1105" s="95"/>
      <c r="G1105" s="93"/>
    </row>
    <row r="1106" spans="2:7" x14ac:dyDescent="0.2">
      <c r="B1106" s="92"/>
      <c r="C1106" s="93"/>
      <c r="D1106" s="93"/>
      <c r="E1106" s="94" t="str">
        <f t="shared" si="17"/>
        <v/>
      </c>
      <c r="F1106" s="95"/>
      <c r="G1106" s="93"/>
    </row>
    <row r="1107" spans="2:7" x14ac:dyDescent="0.2">
      <c r="B1107" s="92"/>
      <c r="C1107" s="93"/>
      <c r="D1107" s="93"/>
      <c r="E1107" s="94" t="str">
        <f t="shared" si="17"/>
        <v/>
      </c>
      <c r="F1107" s="95"/>
      <c r="G1107" s="93"/>
    </row>
    <row r="1108" spans="2:7" x14ac:dyDescent="0.2">
      <c r="B1108" s="92"/>
      <c r="C1108" s="93"/>
      <c r="D1108" s="93"/>
      <c r="E1108" s="94" t="str">
        <f t="shared" si="17"/>
        <v/>
      </c>
      <c r="F1108" s="95"/>
      <c r="G1108" s="93"/>
    </row>
    <row r="1109" spans="2:7" x14ac:dyDescent="0.2">
      <c r="B1109" s="92"/>
      <c r="C1109" s="93"/>
      <c r="D1109" s="93"/>
      <c r="E1109" s="94" t="str">
        <f t="shared" si="17"/>
        <v/>
      </c>
      <c r="F1109" s="95"/>
      <c r="G1109" s="93"/>
    </row>
    <row r="1110" spans="2:7" x14ac:dyDescent="0.2">
      <c r="B1110" s="92"/>
      <c r="C1110" s="93"/>
      <c r="D1110" s="93"/>
      <c r="E1110" s="94" t="str">
        <f t="shared" si="17"/>
        <v/>
      </c>
      <c r="F1110" s="95"/>
      <c r="G1110" s="93"/>
    </row>
    <row r="1111" spans="2:7" x14ac:dyDescent="0.2">
      <c r="B1111" s="92"/>
      <c r="C1111" s="93"/>
      <c r="D1111" s="93"/>
      <c r="E1111" s="94" t="str">
        <f t="shared" si="17"/>
        <v/>
      </c>
      <c r="F1111" s="95"/>
      <c r="G1111" s="93"/>
    </row>
    <row r="1112" spans="2:7" x14ac:dyDescent="0.2">
      <c r="B1112" s="92"/>
      <c r="C1112" s="93"/>
      <c r="D1112" s="93"/>
      <c r="E1112" s="94" t="str">
        <f t="shared" si="17"/>
        <v/>
      </c>
      <c r="F1112" s="95"/>
      <c r="G1112" s="93"/>
    </row>
    <row r="1113" spans="2:7" x14ac:dyDescent="0.2">
      <c r="B1113" s="92"/>
      <c r="C1113" s="93"/>
      <c r="D1113" s="93"/>
      <c r="E1113" s="94" t="str">
        <f t="shared" si="17"/>
        <v/>
      </c>
      <c r="F1113" s="95"/>
      <c r="G1113" s="93"/>
    </row>
    <row r="1114" spans="2:7" x14ac:dyDescent="0.2">
      <c r="B1114" s="92"/>
      <c r="C1114" s="93"/>
      <c r="D1114" s="93"/>
      <c r="E1114" s="94" t="str">
        <f t="shared" si="17"/>
        <v/>
      </c>
      <c r="F1114" s="95"/>
      <c r="G1114" s="93"/>
    </row>
    <row r="1115" spans="2:7" x14ac:dyDescent="0.2">
      <c r="B1115" s="92"/>
      <c r="C1115" s="93"/>
      <c r="D1115" s="93"/>
      <c r="E1115" s="94" t="str">
        <f t="shared" si="17"/>
        <v/>
      </c>
      <c r="F1115" s="95"/>
      <c r="G1115" s="93"/>
    </row>
    <row r="1116" spans="2:7" x14ac:dyDescent="0.2">
      <c r="B1116" s="92"/>
      <c r="C1116" s="93"/>
      <c r="D1116" s="93"/>
      <c r="E1116" s="94" t="str">
        <f t="shared" si="17"/>
        <v/>
      </c>
      <c r="F1116" s="95"/>
      <c r="G1116" s="93"/>
    </row>
    <row r="1117" spans="2:7" x14ac:dyDescent="0.2">
      <c r="B1117" s="92"/>
      <c r="C1117" s="93"/>
      <c r="D1117" s="93"/>
      <c r="E1117" s="94" t="str">
        <f t="shared" si="17"/>
        <v/>
      </c>
      <c r="F1117" s="95"/>
      <c r="G1117" s="93"/>
    </row>
    <row r="1118" spans="2:7" x14ac:dyDescent="0.2">
      <c r="B1118" s="92"/>
      <c r="C1118" s="93"/>
      <c r="D1118" s="93"/>
      <c r="E1118" s="94" t="str">
        <f t="shared" si="17"/>
        <v/>
      </c>
      <c r="F1118" s="95"/>
      <c r="G1118" s="93"/>
    </row>
    <row r="1119" spans="2:7" x14ac:dyDescent="0.2">
      <c r="B1119" s="92"/>
      <c r="C1119" s="93"/>
      <c r="D1119" s="93"/>
      <c r="E1119" s="94" t="str">
        <f t="shared" si="17"/>
        <v/>
      </c>
      <c r="F1119" s="95"/>
      <c r="G1119" s="93"/>
    </row>
    <row r="1120" spans="2:7" x14ac:dyDescent="0.2">
      <c r="B1120" s="92"/>
      <c r="C1120" s="93"/>
      <c r="D1120" s="93"/>
      <c r="E1120" s="94" t="str">
        <f t="shared" si="17"/>
        <v/>
      </c>
      <c r="F1120" s="95"/>
      <c r="G1120" s="93"/>
    </row>
    <row r="1121" spans="2:7" x14ac:dyDescent="0.2">
      <c r="B1121" s="92"/>
      <c r="C1121" s="93"/>
      <c r="D1121" s="93"/>
      <c r="E1121" s="94" t="str">
        <f t="shared" si="17"/>
        <v/>
      </c>
      <c r="F1121" s="95"/>
      <c r="G1121" s="93"/>
    </row>
    <row r="1122" spans="2:7" x14ac:dyDescent="0.2">
      <c r="B1122" s="92"/>
      <c r="C1122" s="93"/>
      <c r="D1122" s="93"/>
      <c r="E1122" s="94" t="str">
        <f t="shared" si="17"/>
        <v/>
      </c>
      <c r="F1122" s="95"/>
      <c r="G1122" s="93"/>
    </row>
    <row r="1123" spans="2:7" x14ac:dyDescent="0.2">
      <c r="B1123" s="92"/>
      <c r="C1123" s="93"/>
      <c r="D1123" s="93"/>
      <c r="E1123" s="94" t="str">
        <f t="shared" si="17"/>
        <v/>
      </c>
      <c r="F1123" s="95"/>
      <c r="G1123" s="93"/>
    </row>
    <row r="1124" spans="2:7" x14ac:dyDescent="0.2">
      <c r="B1124" s="92"/>
      <c r="C1124" s="93"/>
      <c r="D1124" s="93"/>
      <c r="E1124" s="94" t="str">
        <f t="shared" si="17"/>
        <v/>
      </c>
      <c r="F1124" s="95"/>
      <c r="G1124" s="93"/>
    </row>
    <row r="1125" spans="2:7" x14ac:dyDescent="0.2">
      <c r="B1125" s="92"/>
      <c r="C1125" s="93"/>
      <c r="D1125" s="93"/>
      <c r="E1125" s="94" t="str">
        <f t="shared" si="17"/>
        <v/>
      </c>
      <c r="F1125" s="95"/>
      <c r="G1125" s="93"/>
    </row>
    <row r="1126" spans="2:7" x14ac:dyDescent="0.2">
      <c r="B1126" s="92"/>
      <c r="C1126" s="93"/>
      <c r="D1126" s="93"/>
      <c r="E1126" s="94" t="str">
        <f t="shared" si="17"/>
        <v/>
      </c>
      <c r="F1126" s="95"/>
      <c r="G1126" s="93"/>
    </row>
    <row r="1127" spans="2:7" x14ac:dyDescent="0.2">
      <c r="B1127" s="92"/>
      <c r="C1127" s="93"/>
      <c r="D1127" s="93"/>
      <c r="E1127" s="94" t="str">
        <f t="shared" si="17"/>
        <v/>
      </c>
      <c r="F1127" s="95"/>
      <c r="G1127" s="93"/>
    </row>
    <row r="1128" spans="2:7" x14ac:dyDescent="0.2">
      <c r="B1128" s="92"/>
      <c r="C1128" s="93"/>
      <c r="D1128" s="93"/>
      <c r="E1128" s="94" t="str">
        <f t="shared" si="17"/>
        <v/>
      </c>
      <c r="F1128" s="95"/>
      <c r="G1128" s="93"/>
    </row>
    <row r="1129" spans="2:7" x14ac:dyDescent="0.2">
      <c r="B1129" s="92"/>
      <c r="C1129" s="93"/>
      <c r="D1129" s="93"/>
      <c r="E1129" s="94" t="str">
        <f t="shared" si="17"/>
        <v/>
      </c>
      <c r="F1129" s="95"/>
      <c r="G1129" s="93"/>
    </row>
    <row r="1130" spans="2:7" x14ac:dyDescent="0.2">
      <c r="B1130" s="92"/>
      <c r="C1130" s="93"/>
      <c r="D1130" s="93"/>
      <c r="E1130" s="94" t="str">
        <f t="shared" si="17"/>
        <v/>
      </c>
      <c r="F1130" s="95"/>
      <c r="G1130" s="93"/>
    </row>
    <row r="1131" spans="2:7" x14ac:dyDescent="0.2">
      <c r="B1131" s="92"/>
      <c r="C1131" s="93"/>
      <c r="D1131" s="93"/>
      <c r="E1131" s="94" t="str">
        <f t="shared" si="17"/>
        <v/>
      </c>
      <c r="F1131" s="95"/>
      <c r="G1131" s="93"/>
    </row>
    <row r="1132" spans="2:7" x14ac:dyDescent="0.2">
      <c r="B1132" s="92"/>
      <c r="C1132" s="93"/>
      <c r="D1132" s="93"/>
      <c r="E1132" s="94" t="str">
        <f t="shared" si="17"/>
        <v/>
      </c>
      <c r="F1132" s="95"/>
      <c r="G1132" s="93"/>
    </row>
    <row r="1133" spans="2:7" x14ac:dyDescent="0.2">
      <c r="B1133" s="92"/>
      <c r="C1133" s="93"/>
      <c r="D1133" s="93"/>
      <c r="E1133" s="94" t="str">
        <f t="shared" si="17"/>
        <v/>
      </c>
      <c r="F1133" s="95"/>
      <c r="G1133" s="93"/>
    </row>
    <row r="1134" spans="2:7" x14ac:dyDescent="0.2">
      <c r="B1134" s="92"/>
      <c r="C1134" s="93"/>
      <c r="D1134" s="93"/>
      <c r="E1134" s="94" t="str">
        <f t="shared" si="17"/>
        <v/>
      </c>
      <c r="F1134" s="95"/>
      <c r="G1134" s="93"/>
    </row>
    <row r="1135" spans="2:7" x14ac:dyDescent="0.2">
      <c r="B1135" s="92"/>
      <c r="C1135" s="93"/>
      <c r="D1135" s="93"/>
      <c r="E1135" s="94" t="str">
        <f t="shared" si="17"/>
        <v/>
      </c>
      <c r="F1135" s="95"/>
      <c r="G1135" s="93"/>
    </row>
    <row r="1136" spans="2:7" x14ac:dyDescent="0.2">
      <c r="B1136" s="92"/>
      <c r="C1136" s="93"/>
      <c r="D1136" s="93"/>
      <c r="E1136" s="94" t="str">
        <f t="shared" si="17"/>
        <v/>
      </c>
      <c r="F1136" s="95"/>
      <c r="G1136" s="93"/>
    </row>
    <row r="1137" spans="2:7" x14ac:dyDescent="0.2">
      <c r="B1137" s="92"/>
      <c r="C1137" s="93"/>
      <c r="D1137" s="93"/>
      <c r="E1137" s="94" t="str">
        <f t="shared" si="17"/>
        <v/>
      </c>
      <c r="F1137" s="95"/>
      <c r="G1137" s="93"/>
    </row>
    <row r="1138" spans="2:7" x14ac:dyDescent="0.2">
      <c r="B1138" s="92"/>
      <c r="C1138" s="93"/>
      <c r="D1138" s="93"/>
      <c r="E1138" s="94" t="str">
        <f t="shared" si="17"/>
        <v/>
      </c>
      <c r="F1138" s="95"/>
      <c r="G1138" s="93"/>
    </row>
    <row r="1139" spans="2:7" x14ac:dyDescent="0.2">
      <c r="B1139" s="92"/>
      <c r="C1139" s="93"/>
      <c r="D1139" s="93"/>
      <c r="E1139" s="94" t="str">
        <f t="shared" si="17"/>
        <v/>
      </c>
      <c r="F1139" s="95"/>
      <c r="G1139" s="93"/>
    </row>
    <row r="1140" spans="2:7" x14ac:dyDescent="0.2">
      <c r="B1140" s="92"/>
      <c r="C1140" s="93"/>
      <c r="D1140" s="93"/>
      <c r="E1140" s="94" t="str">
        <f t="shared" si="17"/>
        <v/>
      </c>
      <c r="F1140" s="95"/>
      <c r="G1140" s="93"/>
    </row>
    <row r="1141" spans="2:7" x14ac:dyDescent="0.2">
      <c r="B1141" s="92"/>
      <c r="C1141" s="93"/>
      <c r="D1141" s="93"/>
      <c r="E1141" s="94" t="str">
        <f t="shared" si="17"/>
        <v/>
      </c>
      <c r="F1141" s="95"/>
      <c r="G1141" s="93"/>
    </row>
    <row r="1142" spans="2:7" x14ac:dyDescent="0.2">
      <c r="B1142" s="92"/>
      <c r="C1142" s="93"/>
      <c r="D1142" s="93"/>
      <c r="E1142" s="94" t="str">
        <f t="shared" si="17"/>
        <v/>
      </c>
      <c r="F1142" s="95"/>
      <c r="G1142" s="93"/>
    </row>
    <row r="1143" spans="2:7" x14ac:dyDescent="0.2">
      <c r="B1143" s="92"/>
      <c r="C1143" s="93"/>
      <c r="D1143" s="93"/>
      <c r="E1143" s="94" t="str">
        <f t="shared" si="17"/>
        <v/>
      </c>
      <c r="F1143" s="95"/>
      <c r="G1143" s="93"/>
    </row>
    <row r="1144" spans="2:7" x14ac:dyDescent="0.2">
      <c r="B1144" s="92"/>
      <c r="C1144" s="93"/>
      <c r="D1144" s="93"/>
      <c r="E1144" s="94" t="str">
        <f t="shared" si="17"/>
        <v/>
      </c>
      <c r="F1144" s="95"/>
      <c r="G1144" s="93"/>
    </row>
    <row r="1145" spans="2:7" x14ac:dyDescent="0.2">
      <c r="B1145" s="92"/>
      <c r="C1145" s="93"/>
      <c r="D1145" s="93"/>
      <c r="E1145" s="94" t="str">
        <f t="shared" si="17"/>
        <v/>
      </c>
      <c r="F1145" s="95"/>
      <c r="G1145" s="93"/>
    </row>
    <row r="1146" spans="2:7" x14ac:dyDescent="0.2">
      <c r="B1146" s="92"/>
      <c r="C1146" s="93"/>
      <c r="D1146" s="93"/>
      <c r="E1146" s="94" t="str">
        <f t="shared" si="17"/>
        <v/>
      </c>
      <c r="F1146" s="95"/>
      <c r="G1146" s="93"/>
    </row>
    <row r="1147" spans="2:7" x14ac:dyDescent="0.2">
      <c r="B1147" s="92"/>
      <c r="C1147" s="93"/>
      <c r="D1147" s="93"/>
      <c r="E1147" s="94" t="str">
        <f t="shared" si="17"/>
        <v/>
      </c>
      <c r="F1147" s="95"/>
      <c r="G1147" s="93"/>
    </row>
    <row r="1148" spans="2:7" x14ac:dyDescent="0.2">
      <c r="B1148" s="92"/>
      <c r="C1148" s="93"/>
      <c r="D1148" s="93"/>
      <c r="E1148" s="94" t="str">
        <f t="shared" si="17"/>
        <v/>
      </c>
      <c r="F1148" s="95"/>
      <c r="G1148" s="93"/>
    </row>
    <row r="1149" spans="2:7" x14ac:dyDescent="0.2">
      <c r="B1149" s="92"/>
      <c r="C1149" s="93"/>
      <c r="D1149" s="93"/>
      <c r="E1149" s="94" t="str">
        <f t="shared" si="17"/>
        <v/>
      </c>
      <c r="F1149" s="95"/>
      <c r="G1149" s="93"/>
    </row>
    <row r="1150" spans="2:7" x14ac:dyDescent="0.2">
      <c r="B1150" s="92"/>
      <c r="C1150" s="93"/>
      <c r="D1150" s="93"/>
      <c r="E1150" s="94" t="str">
        <f t="shared" si="17"/>
        <v/>
      </c>
      <c r="F1150" s="95"/>
      <c r="G1150" s="93"/>
    </row>
    <row r="1151" spans="2:7" x14ac:dyDescent="0.2">
      <c r="B1151" s="92"/>
      <c r="C1151" s="93"/>
      <c r="D1151" s="93"/>
      <c r="E1151" s="94" t="str">
        <f t="shared" si="17"/>
        <v/>
      </c>
      <c r="F1151" s="95"/>
      <c r="G1151" s="93"/>
    </row>
    <row r="1152" spans="2:7" x14ac:dyDescent="0.2">
      <c r="B1152" s="92"/>
      <c r="C1152" s="93"/>
      <c r="D1152" s="93"/>
      <c r="E1152" s="94" t="str">
        <f t="shared" si="17"/>
        <v/>
      </c>
      <c r="F1152" s="95"/>
      <c r="G1152" s="93"/>
    </row>
    <row r="1153" spans="2:7" x14ac:dyDescent="0.2">
      <c r="B1153" s="92"/>
      <c r="C1153" s="93"/>
      <c r="D1153" s="93"/>
      <c r="E1153" s="94" t="str">
        <f t="shared" si="17"/>
        <v/>
      </c>
      <c r="F1153" s="95"/>
      <c r="G1153" s="93"/>
    </row>
    <row r="1154" spans="2:7" x14ac:dyDescent="0.2">
      <c r="B1154" s="92"/>
      <c r="C1154" s="93"/>
      <c r="D1154" s="93"/>
      <c r="E1154" s="94" t="str">
        <f t="shared" si="17"/>
        <v/>
      </c>
      <c r="F1154" s="95"/>
      <c r="G1154" s="93"/>
    </row>
    <row r="1155" spans="2:7" x14ac:dyDescent="0.2">
      <c r="B1155" s="92"/>
      <c r="C1155" s="93"/>
      <c r="D1155" s="93"/>
      <c r="E1155" s="94" t="str">
        <f t="shared" si="17"/>
        <v/>
      </c>
      <c r="F1155" s="95"/>
      <c r="G1155" s="93"/>
    </row>
    <row r="1156" spans="2:7" x14ac:dyDescent="0.2">
      <c r="B1156" s="92"/>
      <c r="C1156" s="93"/>
      <c r="D1156" s="93"/>
      <c r="E1156" s="94" t="str">
        <f t="shared" si="17"/>
        <v/>
      </c>
      <c r="F1156" s="95"/>
      <c r="G1156" s="93"/>
    </row>
    <row r="1157" spans="2:7" x14ac:dyDescent="0.2">
      <c r="B1157" s="92"/>
      <c r="C1157" s="93"/>
      <c r="D1157" s="93"/>
      <c r="E1157" s="94" t="str">
        <f t="shared" si="17"/>
        <v/>
      </c>
      <c r="F1157" s="95"/>
      <c r="G1157" s="93"/>
    </row>
    <row r="1158" spans="2:7" x14ac:dyDescent="0.2">
      <c r="B1158" s="92"/>
      <c r="C1158" s="93"/>
      <c r="D1158" s="93"/>
      <c r="E1158" s="94" t="str">
        <f t="shared" ref="E1158:E1221" si="18">IF(C1158&lt;&gt;"",D1158-C1158,"")</f>
        <v/>
      </c>
      <c r="F1158" s="95"/>
      <c r="G1158" s="93"/>
    </row>
    <row r="1159" spans="2:7" x14ac:dyDescent="0.2">
      <c r="B1159" s="92"/>
      <c r="C1159" s="93"/>
      <c r="D1159" s="93"/>
      <c r="E1159" s="94" t="str">
        <f t="shared" si="18"/>
        <v/>
      </c>
      <c r="F1159" s="95"/>
      <c r="G1159" s="93"/>
    </row>
    <row r="1160" spans="2:7" x14ac:dyDescent="0.2">
      <c r="B1160" s="92"/>
      <c r="C1160" s="93"/>
      <c r="D1160" s="93"/>
      <c r="E1160" s="94" t="str">
        <f t="shared" si="18"/>
        <v/>
      </c>
      <c r="F1160" s="95"/>
      <c r="G1160" s="93"/>
    </row>
    <row r="1161" spans="2:7" x14ac:dyDescent="0.2">
      <c r="B1161" s="92"/>
      <c r="C1161" s="93"/>
      <c r="D1161" s="93"/>
      <c r="E1161" s="94" t="str">
        <f t="shared" si="18"/>
        <v/>
      </c>
      <c r="F1161" s="95"/>
      <c r="G1161" s="93"/>
    </row>
    <row r="1162" spans="2:7" x14ac:dyDescent="0.2">
      <c r="B1162" s="92"/>
      <c r="C1162" s="93"/>
      <c r="D1162" s="93"/>
      <c r="E1162" s="94" t="str">
        <f t="shared" si="18"/>
        <v/>
      </c>
      <c r="F1162" s="95"/>
      <c r="G1162" s="93"/>
    </row>
    <row r="1163" spans="2:7" x14ac:dyDescent="0.2">
      <c r="B1163" s="92"/>
      <c r="C1163" s="93"/>
      <c r="D1163" s="93"/>
      <c r="E1163" s="94" t="str">
        <f t="shared" si="18"/>
        <v/>
      </c>
      <c r="F1163" s="95"/>
      <c r="G1163" s="93"/>
    </row>
    <row r="1164" spans="2:7" x14ac:dyDescent="0.2">
      <c r="B1164" s="92"/>
      <c r="C1164" s="93"/>
      <c r="D1164" s="93"/>
      <c r="E1164" s="94" t="str">
        <f t="shared" si="18"/>
        <v/>
      </c>
      <c r="F1164" s="95"/>
      <c r="G1164" s="93"/>
    </row>
    <row r="1165" spans="2:7" x14ac:dyDescent="0.2">
      <c r="B1165" s="92"/>
      <c r="C1165" s="93"/>
      <c r="D1165" s="93"/>
      <c r="E1165" s="94" t="str">
        <f t="shared" si="18"/>
        <v/>
      </c>
      <c r="F1165" s="95"/>
      <c r="G1165" s="93"/>
    </row>
    <row r="1166" spans="2:7" x14ac:dyDescent="0.2">
      <c r="B1166" s="92"/>
      <c r="C1166" s="93"/>
      <c r="D1166" s="93"/>
      <c r="E1166" s="94" t="str">
        <f t="shared" si="18"/>
        <v/>
      </c>
      <c r="F1166" s="95"/>
      <c r="G1166" s="93"/>
    </row>
    <row r="1167" spans="2:7" x14ac:dyDescent="0.2">
      <c r="B1167" s="92"/>
      <c r="C1167" s="93"/>
      <c r="D1167" s="93"/>
      <c r="E1167" s="94" t="str">
        <f t="shared" si="18"/>
        <v/>
      </c>
      <c r="F1167" s="95"/>
      <c r="G1167" s="93"/>
    </row>
    <row r="1168" spans="2:7" x14ac:dyDescent="0.2">
      <c r="B1168" s="92"/>
      <c r="C1168" s="93"/>
      <c r="D1168" s="93"/>
      <c r="E1168" s="94" t="str">
        <f t="shared" si="18"/>
        <v/>
      </c>
      <c r="F1168" s="95"/>
      <c r="G1168" s="93"/>
    </row>
    <row r="1169" spans="2:7" x14ac:dyDescent="0.2">
      <c r="B1169" s="92"/>
      <c r="C1169" s="93"/>
      <c r="D1169" s="93"/>
      <c r="E1169" s="94" t="str">
        <f t="shared" si="18"/>
        <v/>
      </c>
      <c r="F1169" s="95"/>
      <c r="G1169" s="93"/>
    </row>
    <row r="1170" spans="2:7" x14ac:dyDescent="0.2">
      <c r="B1170" s="92"/>
      <c r="C1170" s="93"/>
      <c r="D1170" s="93"/>
      <c r="E1170" s="94" t="str">
        <f t="shared" si="18"/>
        <v/>
      </c>
      <c r="F1170" s="95"/>
      <c r="G1170" s="93"/>
    </row>
    <row r="1171" spans="2:7" x14ac:dyDescent="0.2">
      <c r="B1171" s="92"/>
      <c r="C1171" s="93"/>
      <c r="D1171" s="93"/>
      <c r="E1171" s="94" t="str">
        <f t="shared" si="18"/>
        <v/>
      </c>
      <c r="F1171" s="95"/>
      <c r="G1171" s="93"/>
    </row>
    <row r="1172" spans="2:7" x14ac:dyDescent="0.2">
      <c r="B1172" s="92"/>
      <c r="C1172" s="93"/>
      <c r="D1172" s="93"/>
      <c r="E1172" s="94" t="str">
        <f t="shared" si="18"/>
        <v/>
      </c>
      <c r="F1172" s="95"/>
      <c r="G1172" s="93"/>
    </row>
    <row r="1173" spans="2:7" x14ac:dyDescent="0.2">
      <c r="B1173" s="92"/>
      <c r="C1173" s="93"/>
      <c r="D1173" s="93"/>
      <c r="E1173" s="94" t="str">
        <f t="shared" si="18"/>
        <v/>
      </c>
      <c r="F1173" s="95"/>
      <c r="G1173" s="93"/>
    </row>
    <row r="1174" spans="2:7" x14ac:dyDescent="0.2">
      <c r="B1174" s="92"/>
      <c r="C1174" s="93"/>
      <c r="D1174" s="93"/>
      <c r="E1174" s="94" t="str">
        <f t="shared" si="18"/>
        <v/>
      </c>
      <c r="F1174" s="95"/>
      <c r="G1174" s="93"/>
    </row>
    <row r="1175" spans="2:7" x14ac:dyDescent="0.2">
      <c r="B1175" s="92"/>
      <c r="C1175" s="93"/>
      <c r="D1175" s="93"/>
      <c r="E1175" s="94" t="str">
        <f t="shared" si="18"/>
        <v/>
      </c>
      <c r="F1175" s="95"/>
      <c r="G1175" s="93"/>
    </row>
    <row r="1176" spans="2:7" x14ac:dyDescent="0.2">
      <c r="B1176" s="92"/>
      <c r="C1176" s="93"/>
      <c r="D1176" s="93"/>
      <c r="E1176" s="94" t="str">
        <f t="shared" si="18"/>
        <v/>
      </c>
      <c r="F1176" s="95"/>
      <c r="G1176" s="93"/>
    </row>
    <row r="1177" spans="2:7" x14ac:dyDescent="0.2">
      <c r="B1177" s="92"/>
      <c r="C1177" s="93"/>
      <c r="D1177" s="93"/>
      <c r="E1177" s="94" t="str">
        <f t="shared" si="18"/>
        <v/>
      </c>
      <c r="F1177" s="95"/>
      <c r="G1177" s="93"/>
    </row>
    <row r="1178" spans="2:7" x14ac:dyDescent="0.2">
      <c r="B1178" s="92"/>
      <c r="C1178" s="93"/>
      <c r="D1178" s="93"/>
      <c r="E1178" s="94" t="str">
        <f t="shared" si="18"/>
        <v/>
      </c>
      <c r="F1178" s="95"/>
      <c r="G1178" s="93"/>
    </row>
    <row r="1179" spans="2:7" x14ac:dyDescent="0.2">
      <c r="B1179" s="92"/>
      <c r="C1179" s="93"/>
      <c r="D1179" s="93"/>
      <c r="E1179" s="94" t="str">
        <f t="shared" si="18"/>
        <v/>
      </c>
      <c r="F1179" s="95"/>
      <c r="G1179" s="93"/>
    </row>
    <row r="1180" spans="2:7" x14ac:dyDescent="0.2">
      <c r="B1180" s="92"/>
      <c r="C1180" s="93"/>
      <c r="D1180" s="93"/>
      <c r="E1180" s="94" t="str">
        <f t="shared" si="18"/>
        <v/>
      </c>
      <c r="F1180" s="95"/>
      <c r="G1180" s="93"/>
    </row>
    <row r="1181" spans="2:7" x14ac:dyDescent="0.2">
      <c r="B1181" s="92"/>
      <c r="C1181" s="93"/>
      <c r="D1181" s="93"/>
      <c r="E1181" s="94" t="str">
        <f t="shared" si="18"/>
        <v/>
      </c>
      <c r="F1181" s="95"/>
      <c r="G1181" s="93"/>
    </row>
    <row r="1182" spans="2:7" x14ac:dyDescent="0.2">
      <c r="B1182" s="92"/>
      <c r="C1182" s="93"/>
      <c r="D1182" s="93"/>
      <c r="E1182" s="94" t="str">
        <f t="shared" si="18"/>
        <v/>
      </c>
      <c r="F1182" s="95"/>
      <c r="G1182" s="93"/>
    </row>
    <row r="1183" spans="2:7" x14ac:dyDescent="0.2">
      <c r="B1183" s="92"/>
      <c r="C1183" s="93"/>
      <c r="D1183" s="93"/>
      <c r="E1183" s="94" t="str">
        <f t="shared" si="18"/>
        <v/>
      </c>
      <c r="F1183" s="95"/>
      <c r="G1183" s="93"/>
    </row>
    <row r="1184" spans="2:7" x14ac:dyDescent="0.2">
      <c r="B1184" s="92"/>
      <c r="C1184" s="93"/>
      <c r="D1184" s="93"/>
      <c r="E1184" s="94" t="str">
        <f t="shared" si="18"/>
        <v/>
      </c>
      <c r="F1184" s="95"/>
      <c r="G1184" s="93"/>
    </row>
    <row r="1185" spans="2:7" x14ac:dyDescent="0.2">
      <c r="B1185" s="92"/>
      <c r="C1185" s="93"/>
      <c r="D1185" s="93"/>
      <c r="E1185" s="94" t="str">
        <f t="shared" si="18"/>
        <v/>
      </c>
      <c r="F1185" s="95"/>
      <c r="G1185" s="93"/>
    </row>
    <row r="1186" spans="2:7" x14ac:dyDescent="0.2">
      <c r="B1186" s="92"/>
      <c r="C1186" s="93"/>
      <c r="D1186" s="93"/>
      <c r="E1186" s="94" t="str">
        <f t="shared" si="18"/>
        <v/>
      </c>
      <c r="F1186" s="95"/>
      <c r="G1186" s="93"/>
    </row>
    <row r="1187" spans="2:7" x14ac:dyDescent="0.2">
      <c r="B1187" s="92"/>
      <c r="C1187" s="93"/>
      <c r="D1187" s="93"/>
      <c r="E1187" s="94" t="str">
        <f t="shared" si="18"/>
        <v/>
      </c>
      <c r="F1187" s="95"/>
      <c r="G1187" s="93"/>
    </row>
    <row r="1188" spans="2:7" x14ac:dyDescent="0.2">
      <c r="B1188" s="92"/>
      <c r="C1188" s="93"/>
      <c r="D1188" s="93"/>
      <c r="E1188" s="94" t="str">
        <f t="shared" si="18"/>
        <v/>
      </c>
      <c r="F1188" s="95"/>
      <c r="G1188" s="93"/>
    </row>
    <row r="1189" spans="2:7" x14ac:dyDescent="0.2">
      <c r="B1189" s="92"/>
      <c r="C1189" s="93"/>
      <c r="D1189" s="93"/>
      <c r="E1189" s="94" t="str">
        <f t="shared" si="18"/>
        <v/>
      </c>
      <c r="F1189" s="95"/>
      <c r="G1189" s="93"/>
    </row>
    <row r="1190" spans="2:7" x14ac:dyDescent="0.2">
      <c r="B1190" s="92"/>
      <c r="C1190" s="93"/>
      <c r="D1190" s="93"/>
      <c r="E1190" s="94" t="str">
        <f t="shared" si="18"/>
        <v/>
      </c>
      <c r="F1190" s="95"/>
      <c r="G1190" s="93"/>
    </row>
    <row r="1191" spans="2:7" x14ac:dyDescent="0.2">
      <c r="B1191" s="92"/>
      <c r="C1191" s="93"/>
      <c r="D1191" s="93"/>
      <c r="E1191" s="94" t="str">
        <f t="shared" si="18"/>
        <v/>
      </c>
      <c r="F1191" s="95"/>
      <c r="G1191" s="93"/>
    </row>
    <row r="1192" spans="2:7" x14ac:dyDescent="0.2">
      <c r="B1192" s="92"/>
      <c r="C1192" s="93"/>
      <c r="D1192" s="93"/>
      <c r="E1192" s="94" t="str">
        <f t="shared" si="18"/>
        <v/>
      </c>
      <c r="F1192" s="95"/>
      <c r="G1192" s="93"/>
    </row>
    <row r="1193" spans="2:7" x14ac:dyDescent="0.2">
      <c r="B1193" s="92"/>
      <c r="C1193" s="93"/>
      <c r="D1193" s="93"/>
      <c r="E1193" s="94" t="str">
        <f t="shared" si="18"/>
        <v/>
      </c>
      <c r="F1193" s="95"/>
      <c r="G1193" s="93"/>
    </row>
    <row r="1194" spans="2:7" x14ac:dyDescent="0.2">
      <c r="B1194" s="92"/>
      <c r="C1194" s="93"/>
      <c r="D1194" s="93"/>
      <c r="E1194" s="94" t="str">
        <f t="shared" si="18"/>
        <v/>
      </c>
      <c r="F1194" s="95"/>
      <c r="G1194" s="93"/>
    </row>
    <row r="1195" spans="2:7" x14ac:dyDescent="0.2">
      <c r="B1195" s="92"/>
      <c r="C1195" s="93"/>
      <c r="D1195" s="93"/>
      <c r="E1195" s="94" t="str">
        <f t="shared" si="18"/>
        <v/>
      </c>
      <c r="F1195" s="95"/>
      <c r="G1195" s="93"/>
    </row>
    <row r="1196" spans="2:7" x14ac:dyDescent="0.2">
      <c r="B1196" s="92"/>
      <c r="C1196" s="93"/>
      <c r="D1196" s="93"/>
      <c r="E1196" s="94" t="str">
        <f t="shared" si="18"/>
        <v/>
      </c>
      <c r="F1196" s="95"/>
      <c r="G1196" s="93"/>
    </row>
    <row r="1197" spans="2:7" x14ac:dyDescent="0.2">
      <c r="B1197" s="92"/>
      <c r="C1197" s="93"/>
      <c r="D1197" s="93"/>
      <c r="E1197" s="94" t="str">
        <f t="shared" si="18"/>
        <v/>
      </c>
      <c r="F1197" s="95"/>
      <c r="G1197" s="93"/>
    </row>
    <row r="1198" spans="2:7" x14ac:dyDescent="0.2">
      <c r="B1198" s="92"/>
      <c r="C1198" s="93"/>
      <c r="D1198" s="93"/>
      <c r="E1198" s="94" t="str">
        <f t="shared" si="18"/>
        <v/>
      </c>
      <c r="F1198" s="95"/>
      <c r="G1198" s="93"/>
    </row>
    <row r="1199" spans="2:7" x14ac:dyDescent="0.2">
      <c r="B1199" s="92"/>
      <c r="C1199" s="93"/>
      <c r="D1199" s="93"/>
      <c r="E1199" s="94" t="str">
        <f t="shared" si="18"/>
        <v/>
      </c>
      <c r="F1199" s="95"/>
      <c r="G1199" s="93"/>
    </row>
    <row r="1200" spans="2:7" x14ac:dyDescent="0.2">
      <c r="B1200" s="92"/>
      <c r="C1200" s="93"/>
      <c r="D1200" s="93"/>
      <c r="E1200" s="94" t="str">
        <f t="shared" si="18"/>
        <v/>
      </c>
      <c r="F1200" s="95"/>
      <c r="G1200" s="93"/>
    </row>
    <row r="1201" spans="2:7" x14ac:dyDescent="0.2">
      <c r="B1201" s="92"/>
      <c r="C1201" s="93"/>
      <c r="D1201" s="93"/>
      <c r="E1201" s="94" t="str">
        <f t="shared" si="18"/>
        <v/>
      </c>
      <c r="F1201" s="95"/>
      <c r="G1201" s="93"/>
    </row>
    <row r="1202" spans="2:7" x14ac:dyDescent="0.2">
      <c r="B1202" s="92"/>
      <c r="C1202" s="93"/>
      <c r="D1202" s="93"/>
      <c r="E1202" s="94" t="str">
        <f t="shared" si="18"/>
        <v/>
      </c>
      <c r="F1202" s="95"/>
      <c r="G1202" s="93"/>
    </row>
    <row r="1203" spans="2:7" x14ac:dyDescent="0.2">
      <c r="B1203" s="92"/>
      <c r="C1203" s="93"/>
      <c r="D1203" s="93"/>
      <c r="E1203" s="94" t="str">
        <f t="shared" si="18"/>
        <v/>
      </c>
      <c r="F1203" s="95"/>
      <c r="G1203" s="93"/>
    </row>
    <row r="1204" spans="2:7" x14ac:dyDescent="0.2">
      <c r="B1204" s="92"/>
      <c r="C1204" s="93"/>
      <c r="D1204" s="93"/>
      <c r="E1204" s="94" t="str">
        <f t="shared" si="18"/>
        <v/>
      </c>
      <c r="F1204" s="95"/>
      <c r="G1204" s="93"/>
    </row>
    <row r="1205" spans="2:7" x14ac:dyDescent="0.2">
      <c r="B1205" s="92"/>
      <c r="C1205" s="93"/>
      <c r="D1205" s="93"/>
      <c r="E1205" s="94" t="str">
        <f t="shared" si="18"/>
        <v/>
      </c>
      <c r="F1205" s="95"/>
      <c r="G1205" s="93"/>
    </row>
    <row r="1206" spans="2:7" x14ac:dyDescent="0.2">
      <c r="B1206" s="92"/>
      <c r="C1206" s="93"/>
      <c r="D1206" s="93"/>
      <c r="E1206" s="94" t="str">
        <f t="shared" si="18"/>
        <v/>
      </c>
      <c r="F1206" s="95"/>
      <c r="G1206" s="93"/>
    </row>
    <row r="1207" spans="2:7" x14ac:dyDescent="0.2">
      <c r="B1207" s="92"/>
      <c r="C1207" s="93"/>
      <c r="D1207" s="93"/>
      <c r="E1207" s="94" t="str">
        <f t="shared" si="18"/>
        <v/>
      </c>
      <c r="F1207" s="95"/>
      <c r="G1207" s="93"/>
    </row>
    <row r="1208" spans="2:7" x14ac:dyDescent="0.2">
      <c r="B1208" s="92"/>
      <c r="C1208" s="93"/>
      <c r="D1208" s="93"/>
      <c r="E1208" s="94" t="str">
        <f t="shared" si="18"/>
        <v/>
      </c>
      <c r="F1208" s="95"/>
      <c r="G1208" s="93"/>
    </row>
    <row r="1209" spans="2:7" x14ac:dyDescent="0.2">
      <c r="B1209" s="92"/>
      <c r="C1209" s="93"/>
      <c r="D1209" s="93"/>
      <c r="E1209" s="94" t="str">
        <f t="shared" si="18"/>
        <v/>
      </c>
      <c r="F1209" s="95"/>
      <c r="G1209" s="93"/>
    </row>
    <row r="1210" spans="2:7" x14ac:dyDescent="0.2">
      <c r="B1210" s="92"/>
      <c r="C1210" s="93"/>
      <c r="D1210" s="93"/>
      <c r="E1210" s="94" t="str">
        <f t="shared" si="18"/>
        <v/>
      </c>
      <c r="F1210" s="95"/>
      <c r="G1210" s="93"/>
    </row>
    <row r="1211" spans="2:7" x14ac:dyDescent="0.2">
      <c r="B1211" s="92"/>
      <c r="C1211" s="93"/>
      <c r="D1211" s="93"/>
      <c r="E1211" s="94" t="str">
        <f t="shared" si="18"/>
        <v/>
      </c>
      <c r="F1211" s="95"/>
      <c r="G1211" s="93"/>
    </row>
    <row r="1212" spans="2:7" x14ac:dyDescent="0.2">
      <c r="B1212" s="92"/>
      <c r="C1212" s="93"/>
      <c r="D1212" s="93"/>
      <c r="E1212" s="94" t="str">
        <f t="shared" si="18"/>
        <v/>
      </c>
      <c r="F1212" s="95"/>
      <c r="G1212" s="93"/>
    </row>
    <row r="1213" spans="2:7" x14ac:dyDescent="0.2">
      <c r="B1213" s="92"/>
      <c r="C1213" s="93"/>
      <c r="D1213" s="93"/>
      <c r="E1213" s="94" t="str">
        <f t="shared" si="18"/>
        <v/>
      </c>
      <c r="F1213" s="95"/>
      <c r="G1213" s="93"/>
    </row>
    <row r="1214" spans="2:7" x14ac:dyDescent="0.2">
      <c r="B1214" s="92"/>
      <c r="C1214" s="93"/>
      <c r="D1214" s="93"/>
      <c r="E1214" s="94" t="str">
        <f t="shared" si="18"/>
        <v/>
      </c>
      <c r="F1214" s="95"/>
      <c r="G1214" s="93"/>
    </row>
    <row r="1215" spans="2:7" x14ac:dyDescent="0.2">
      <c r="B1215" s="92"/>
      <c r="C1215" s="93"/>
      <c r="D1215" s="93"/>
      <c r="E1215" s="94" t="str">
        <f t="shared" si="18"/>
        <v/>
      </c>
      <c r="F1215" s="95"/>
      <c r="G1215" s="93"/>
    </row>
    <row r="1216" spans="2:7" x14ac:dyDescent="0.2">
      <c r="B1216" s="92"/>
      <c r="C1216" s="93"/>
      <c r="D1216" s="93"/>
      <c r="E1216" s="94" t="str">
        <f t="shared" si="18"/>
        <v/>
      </c>
      <c r="F1216" s="95"/>
      <c r="G1216" s="93"/>
    </row>
    <row r="1217" spans="2:7" x14ac:dyDescent="0.2">
      <c r="B1217" s="92"/>
      <c r="C1217" s="93"/>
      <c r="D1217" s="93"/>
      <c r="E1217" s="94" t="str">
        <f t="shared" si="18"/>
        <v/>
      </c>
      <c r="F1217" s="95"/>
      <c r="G1217" s="93"/>
    </row>
    <row r="1218" spans="2:7" x14ac:dyDescent="0.2">
      <c r="B1218" s="92"/>
      <c r="C1218" s="93"/>
      <c r="D1218" s="93"/>
      <c r="E1218" s="94" t="str">
        <f t="shared" si="18"/>
        <v/>
      </c>
      <c r="F1218" s="95"/>
      <c r="G1218" s="93"/>
    </row>
    <row r="1219" spans="2:7" x14ac:dyDescent="0.2">
      <c r="B1219" s="92"/>
      <c r="C1219" s="93"/>
      <c r="D1219" s="93"/>
      <c r="E1219" s="94" t="str">
        <f t="shared" si="18"/>
        <v/>
      </c>
      <c r="F1219" s="95"/>
      <c r="G1219" s="93"/>
    </row>
    <row r="1220" spans="2:7" x14ac:dyDescent="0.2">
      <c r="B1220" s="92"/>
      <c r="C1220" s="93"/>
      <c r="D1220" s="93"/>
      <c r="E1220" s="94" t="str">
        <f t="shared" si="18"/>
        <v/>
      </c>
      <c r="F1220" s="95"/>
      <c r="G1220" s="93"/>
    </row>
    <row r="1221" spans="2:7" x14ac:dyDescent="0.2">
      <c r="B1221" s="92"/>
      <c r="C1221" s="93"/>
      <c r="D1221" s="93"/>
      <c r="E1221" s="94" t="str">
        <f t="shared" si="18"/>
        <v/>
      </c>
      <c r="F1221" s="95"/>
      <c r="G1221" s="93"/>
    </row>
    <row r="1222" spans="2:7" x14ac:dyDescent="0.2">
      <c r="B1222" s="92"/>
      <c r="C1222" s="93"/>
      <c r="D1222" s="93"/>
      <c r="E1222" s="94" t="str">
        <f t="shared" ref="E1222:E1285" si="19">IF(C1222&lt;&gt;"",D1222-C1222,"")</f>
        <v/>
      </c>
      <c r="F1222" s="95"/>
      <c r="G1222" s="93"/>
    </row>
    <row r="1223" spans="2:7" x14ac:dyDescent="0.2">
      <c r="B1223" s="92"/>
      <c r="C1223" s="93"/>
      <c r="D1223" s="93"/>
      <c r="E1223" s="94" t="str">
        <f t="shared" si="19"/>
        <v/>
      </c>
      <c r="F1223" s="95"/>
      <c r="G1223" s="93"/>
    </row>
    <row r="1224" spans="2:7" x14ac:dyDescent="0.2">
      <c r="B1224" s="92"/>
      <c r="C1224" s="93"/>
      <c r="D1224" s="93"/>
      <c r="E1224" s="94" t="str">
        <f t="shared" si="19"/>
        <v/>
      </c>
      <c r="F1224" s="95"/>
      <c r="G1224" s="93"/>
    </row>
    <row r="1225" spans="2:7" x14ac:dyDescent="0.2">
      <c r="B1225" s="92"/>
      <c r="C1225" s="93"/>
      <c r="D1225" s="93"/>
      <c r="E1225" s="94" t="str">
        <f t="shared" si="19"/>
        <v/>
      </c>
      <c r="F1225" s="95"/>
      <c r="G1225" s="93"/>
    </row>
    <row r="1226" spans="2:7" x14ac:dyDescent="0.2">
      <c r="B1226" s="92"/>
      <c r="C1226" s="93"/>
      <c r="D1226" s="93"/>
      <c r="E1226" s="94" t="str">
        <f t="shared" si="19"/>
        <v/>
      </c>
      <c r="F1226" s="95"/>
      <c r="G1226" s="93"/>
    </row>
    <row r="1227" spans="2:7" x14ac:dyDescent="0.2">
      <c r="B1227" s="92"/>
      <c r="C1227" s="93"/>
      <c r="D1227" s="93"/>
      <c r="E1227" s="94" t="str">
        <f t="shared" si="19"/>
        <v/>
      </c>
      <c r="F1227" s="95"/>
      <c r="G1227" s="93"/>
    </row>
    <row r="1228" spans="2:7" x14ac:dyDescent="0.2">
      <c r="B1228" s="92"/>
      <c r="C1228" s="93"/>
      <c r="D1228" s="93"/>
      <c r="E1228" s="94" t="str">
        <f t="shared" si="19"/>
        <v/>
      </c>
      <c r="F1228" s="95"/>
      <c r="G1228" s="93"/>
    </row>
    <row r="1229" spans="2:7" x14ac:dyDescent="0.2">
      <c r="B1229" s="92"/>
      <c r="C1229" s="93"/>
      <c r="D1229" s="93"/>
      <c r="E1229" s="94" t="str">
        <f t="shared" si="19"/>
        <v/>
      </c>
      <c r="F1229" s="95"/>
      <c r="G1229" s="93"/>
    </row>
    <row r="1230" spans="2:7" x14ac:dyDescent="0.2">
      <c r="B1230" s="92"/>
      <c r="C1230" s="93"/>
      <c r="D1230" s="93"/>
      <c r="E1230" s="94" t="str">
        <f t="shared" si="19"/>
        <v/>
      </c>
      <c r="F1230" s="95"/>
      <c r="G1230" s="93"/>
    </row>
    <row r="1231" spans="2:7" x14ac:dyDescent="0.2">
      <c r="B1231" s="92"/>
      <c r="C1231" s="93"/>
      <c r="D1231" s="93"/>
      <c r="E1231" s="94" t="str">
        <f t="shared" si="19"/>
        <v/>
      </c>
      <c r="F1231" s="95"/>
      <c r="G1231" s="93"/>
    </row>
    <row r="1232" spans="2:7" x14ac:dyDescent="0.2">
      <c r="B1232" s="92"/>
      <c r="C1232" s="93"/>
      <c r="D1232" s="93"/>
      <c r="E1232" s="94" t="str">
        <f t="shared" si="19"/>
        <v/>
      </c>
      <c r="F1232" s="95"/>
      <c r="G1232" s="93"/>
    </row>
    <row r="1233" spans="2:7" x14ac:dyDescent="0.2">
      <c r="B1233" s="92"/>
      <c r="C1233" s="93"/>
      <c r="D1233" s="93"/>
      <c r="E1233" s="94" t="str">
        <f t="shared" si="19"/>
        <v/>
      </c>
      <c r="F1233" s="95"/>
      <c r="G1233" s="93"/>
    </row>
    <row r="1234" spans="2:7" x14ac:dyDescent="0.2">
      <c r="B1234" s="92"/>
      <c r="C1234" s="93"/>
      <c r="D1234" s="93"/>
      <c r="E1234" s="94" t="str">
        <f t="shared" si="19"/>
        <v/>
      </c>
      <c r="F1234" s="95"/>
      <c r="G1234" s="93"/>
    </row>
    <row r="1235" spans="2:7" x14ac:dyDescent="0.2">
      <c r="B1235" s="92"/>
      <c r="C1235" s="93"/>
      <c r="D1235" s="93"/>
      <c r="E1235" s="94" t="str">
        <f t="shared" si="19"/>
        <v/>
      </c>
      <c r="F1235" s="95"/>
      <c r="G1235" s="93"/>
    </row>
    <row r="1236" spans="2:7" x14ac:dyDescent="0.2">
      <c r="B1236" s="92"/>
      <c r="C1236" s="93"/>
      <c r="D1236" s="93"/>
      <c r="E1236" s="94" t="str">
        <f t="shared" si="19"/>
        <v/>
      </c>
      <c r="F1236" s="95"/>
      <c r="G1236" s="93"/>
    </row>
    <row r="1237" spans="2:7" x14ac:dyDescent="0.2">
      <c r="B1237" s="92"/>
      <c r="C1237" s="93"/>
      <c r="D1237" s="93"/>
      <c r="E1237" s="94" t="str">
        <f t="shared" si="19"/>
        <v/>
      </c>
      <c r="F1237" s="95"/>
      <c r="G1237" s="93"/>
    </row>
    <row r="1238" spans="2:7" x14ac:dyDescent="0.2">
      <c r="B1238" s="92"/>
      <c r="C1238" s="93"/>
      <c r="D1238" s="93"/>
      <c r="E1238" s="94" t="str">
        <f t="shared" si="19"/>
        <v/>
      </c>
      <c r="F1238" s="95"/>
      <c r="G1238" s="93"/>
    </row>
    <row r="1239" spans="2:7" x14ac:dyDescent="0.2">
      <c r="B1239" s="92"/>
      <c r="C1239" s="93"/>
      <c r="D1239" s="93"/>
      <c r="E1239" s="94" t="str">
        <f t="shared" si="19"/>
        <v/>
      </c>
      <c r="F1239" s="95"/>
      <c r="G1239" s="93"/>
    </row>
    <row r="1240" spans="2:7" x14ac:dyDescent="0.2">
      <c r="B1240" s="92"/>
      <c r="C1240" s="93"/>
      <c r="D1240" s="93"/>
      <c r="E1240" s="94" t="str">
        <f t="shared" si="19"/>
        <v/>
      </c>
      <c r="F1240" s="95"/>
      <c r="G1240" s="93"/>
    </row>
    <row r="1241" spans="2:7" x14ac:dyDescent="0.2">
      <c r="B1241" s="92"/>
      <c r="C1241" s="93"/>
      <c r="D1241" s="93"/>
      <c r="E1241" s="94" t="str">
        <f t="shared" si="19"/>
        <v/>
      </c>
      <c r="F1241" s="95"/>
      <c r="G1241" s="93"/>
    </row>
    <row r="1242" spans="2:7" x14ac:dyDescent="0.2">
      <c r="B1242" s="92"/>
      <c r="C1242" s="93"/>
      <c r="D1242" s="93"/>
      <c r="E1242" s="94" t="str">
        <f t="shared" si="19"/>
        <v/>
      </c>
      <c r="F1242" s="95"/>
      <c r="G1242" s="93"/>
    </row>
    <row r="1243" spans="2:7" x14ac:dyDescent="0.2">
      <c r="B1243" s="92"/>
      <c r="C1243" s="93"/>
      <c r="D1243" s="93"/>
      <c r="E1243" s="94" t="str">
        <f t="shared" si="19"/>
        <v/>
      </c>
      <c r="F1243" s="95"/>
      <c r="G1243" s="93"/>
    </row>
    <row r="1244" spans="2:7" x14ac:dyDescent="0.2">
      <c r="B1244" s="92"/>
      <c r="C1244" s="93"/>
      <c r="D1244" s="93"/>
      <c r="E1244" s="94" t="str">
        <f t="shared" si="19"/>
        <v/>
      </c>
      <c r="F1244" s="95"/>
      <c r="G1244" s="93"/>
    </row>
    <row r="1245" spans="2:7" x14ac:dyDescent="0.2">
      <c r="B1245" s="92"/>
      <c r="C1245" s="93"/>
      <c r="D1245" s="93"/>
      <c r="E1245" s="94" t="str">
        <f t="shared" si="19"/>
        <v/>
      </c>
      <c r="F1245" s="95"/>
      <c r="G1245" s="93"/>
    </row>
    <row r="1246" spans="2:7" x14ac:dyDescent="0.2">
      <c r="B1246" s="92"/>
      <c r="C1246" s="93"/>
      <c r="D1246" s="93"/>
      <c r="E1246" s="94" t="str">
        <f t="shared" si="19"/>
        <v/>
      </c>
      <c r="F1246" s="95"/>
      <c r="G1246" s="93"/>
    </row>
    <row r="1247" spans="2:7" x14ac:dyDescent="0.2">
      <c r="B1247" s="92"/>
      <c r="C1247" s="93"/>
      <c r="D1247" s="93"/>
      <c r="E1247" s="94" t="str">
        <f t="shared" si="19"/>
        <v/>
      </c>
      <c r="F1247" s="95"/>
      <c r="G1247" s="93"/>
    </row>
    <row r="1248" spans="2:7" x14ac:dyDescent="0.2">
      <c r="B1248" s="92"/>
      <c r="C1248" s="93"/>
      <c r="D1248" s="93"/>
      <c r="E1248" s="94" t="str">
        <f t="shared" si="19"/>
        <v/>
      </c>
      <c r="F1248" s="95"/>
      <c r="G1248" s="93"/>
    </row>
    <row r="1249" spans="2:7" x14ac:dyDescent="0.2">
      <c r="B1249" s="92"/>
      <c r="C1249" s="93"/>
      <c r="D1249" s="93"/>
      <c r="E1249" s="94" t="str">
        <f t="shared" si="19"/>
        <v/>
      </c>
      <c r="F1249" s="95"/>
      <c r="G1249" s="93"/>
    </row>
    <row r="1250" spans="2:7" x14ac:dyDescent="0.2">
      <c r="B1250" s="92"/>
      <c r="C1250" s="93"/>
      <c r="D1250" s="93"/>
      <c r="E1250" s="94" t="str">
        <f t="shared" si="19"/>
        <v/>
      </c>
      <c r="F1250" s="95"/>
      <c r="G1250" s="93"/>
    </row>
    <row r="1251" spans="2:7" x14ac:dyDescent="0.2">
      <c r="B1251" s="92"/>
      <c r="C1251" s="93"/>
      <c r="D1251" s="93"/>
      <c r="E1251" s="94" t="str">
        <f t="shared" si="19"/>
        <v/>
      </c>
      <c r="F1251" s="95"/>
      <c r="G1251" s="93"/>
    </row>
    <row r="1252" spans="2:7" x14ac:dyDescent="0.2">
      <c r="B1252" s="92"/>
      <c r="C1252" s="93"/>
      <c r="D1252" s="93"/>
      <c r="E1252" s="94" t="str">
        <f t="shared" si="19"/>
        <v/>
      </c>
      <c r="F1252" s="95"/>
      <c r="G1252" s="93"/>
    </row>
    <row r="1253" spans="2:7" x14ac:dyDescent="0.2">
      <c r="B1253" s="92"/>
      <c r="C1253" s="93"/>
      <c r="D1253" s="93"/>
      <c r="E1253" s="94" t="str">
        <f t="shared" si="19"/>
        <v/>
      </c>
      <c r="F1253" s="95"/>
      <c r="G1253" s="93"/>
    </row>
    <row r="1254" spans="2:7" x14ac:dyDescent="0.2">
      <c r="B1254" s="92"/>
      <c r="C1254" s="93"/>
      <c r="D1254" s="93"/>
      <c r="E1254" s="94" t="str">
        <f t="shared" si="19"/>
        <v/>
      </c>
      <c r="F1254" s="95"/>
      <c r="G1254" s="93"/>
    </row>
    <row r="1255" spans="2:7" x14ac:dyDescent="0.2">
      <c r="B1255" s="92"/>
      <c r="C1255" s="93"/>
      <c r="D1255" s="93"/>
      <c r="E1255" s="94" t="str">
        <f t="shared" si="19"/>
        <v/>
      </c>
      <c r="F1255" s="95"/>
      <c r="G1255" s="93"/>
    </row>
    <row r="1256" spans="2:7" x14ac:dyDescent="0.2">
      <c r="B1256" s="92"/>
      <c r="C1256" s="93"/>
      <c r="D1256" s="93"/>
      <c r="E1256" s="94" t="str">
        <f t="shared" si="19"/>
        <v/>
      </c>
      <c r="F1256" s="95"/>
      <c r="G1256" s="93"/>
    </row>
    <row r="1257" spans="2:7" x14ac:dyDescent="0.2">
      <c r="B1257" s="92"/>
      <c r="C1257" s="93"/>
      <c r="D1257" s="93"/>
      <c r="E1257" s="94" t="str">
        <f t="shared" si="19"/>
        <v/>
      </c>
      <c r="F1257" s="95"/>
      <c r="G1257" s="93"/>
    </row>
    <row r="1258" spans="2:7" x14ac:dyDescent="0.2">
      <c r="B1258" s="92"/>
      <c r="C1258" s="93"/>
      <c r="D1258" s="93"/>
      <c r="E1258" s="94" t="str">
        <f t="shared" si="19"/>
        <v/>
      </c>
      <c r="F1258" s="95"/>
      <c r="G1258" s="93"/>
    </row>
    <row r="1259" spans="2:7" x14ac:dyDescent="0.2">
      <c r="B1259" s="92"/>
      <c r="C1259" s="93"/>
      <c r="D1259" s="93"/>
      <c r="E1259" s="94" t="str">
        <f t="shared" si="19"/>
        <v/>
      </c>
      <c r="F1259" s="95"/>
      <c r="G1259" s="93"/>
    </row>
    <row r="1260" spans="2:7" x14ac:dyDescent="0.2">
      <c r="B1260" s="92"/>
      <c r="C1260" s="93"/>
      <c r="D1260" s="93"/>
      <c r="E1260" s="94" t="str">
        <f t="shared" si="19"/>
        <v/>
      </c>
      <c r="F1260" s="95"/>
      <c r="G1260" s="93"/>
    </row>
    <row r="1261" spans="2:7" x14ac:dyDescent="0.2">
      <c r="B1261" s="92"/>
      <c r="C1261" s="93"/>
      <c r="D1261" s="93"/>
      <c r="E1261" s="94" t="str">
        <f t="shared" si="19"/>
        <v/>
      </c>
      <c r="F1261" s="95"/>
      <c r="G1261" s="93"/>
    </row>
    <row r="1262" spans="2:7" x14ac:dyDescent="0.2">
      <c r="B1262" s="92"/>
      <c r="C1262" s="93"/>
      <c r="D1262" s="93"/>
      <c r="E1262" s="94" t="str">
        <f t="shared" si="19"/>
        <v/>
      </c>
      <c r="F1262" s="95"/>
      <c r="G1262" s="93"/>
    </row>
    <row r="1263" spans="2:7" x14ac:dyDescent="0.2">
      <c r="B1263" s="92"/>
      <c r="C1263" s="93"/>
      <c r="D1263" s="93"/>
      <c r="E1263" s="94" t="str">
        <f t="shared" si="19"/>
        <v/>
      </c>
      <c r="F1263" s="95"/>
      <c r="G1263" s="93"/>
    </row>
    <row r="1264" spans="2:7" x14ac:dyDescent="0.2">
      <c r="B1264" s="92"/>
      <c r="C1264" s="93"/>
      <c r="D1264" s="93"/>
      <c r="E1264" s="94" t="str">
        <f t="shared" si="19"/>
        <v/>
      </c>
      <c r="F1264" s="95"/>
      <c r="G1264" s="93"/>
    </row>
    <row r="1265" spans="2:7" x14ac:dyDescent="0.2">
      <c r="B1265" s="92"/>
      <c r="C1265" s="93"/>
      <c r="D1265" s="93"/>
      <c r="E1265" s="94" t="str">
        <f t="shared" si="19"/>
        <v/>
      </c>
      <c r="F1265" s="95"/>
      <c r="G1265" s="93"/>
    </row>
    <row r="1266" spans="2:7" x14ac:dyDescent="0.2">
      <c r="B1266" s="92"/>
      <c r="C1266" s="93"/>
      <c r="D1266" s="93"/>
      <c r="E1266" s="94" t="str">
        <f t="shared" si="19"/>
        <v/>
      </c>
      <c r="F1266" s="95"/>
      <c r="G1266" s="93"/>
    </row>
    <row r="1267" spans="2:7" x14ac:dyDescent="0.2">
      <c r="B1267" s="92"/>
      <c r="C1267" s="93"/>
      <c r="D1267" s="93"/>
      <c r="E1267" s="94" t="str">
        <f t="shared" si="19"/>
        <v/>
      </c>
      <c r="F1267" s="95"/>
      <c r="G1267" s="93"/>
    </row>
    <row r="1268" spans="2:7" x14ac:dyDescent="0.2">
      <c r="B1268" s="92"/>
      <c r="C1268" s="93"/>
      <c r="D1268" s="93"/>
      <c r="E1268" s="94" t="str">
        <f t="shared" si="19"/>
        <v/>
      </c>
      <c r="F1268" s="95"/>
      <c r="G1268" s="93"/>
    </row>
    <row r="1269" spans="2:7" x14ac:dyDescent="0.2">
      <c r="B1269" s="92"/>
      <c r="C1269" s="93"/>
      <c r="D1269" s="93"/>
      <c r="E1269" s="94" t="str">
        <f t="shared" si="19"/>
        <v/>
      </c>
      <c r="F1269" s="95"/>
      <c r="G1269" s="93"/>
    </row>
    <row r="1270" spans="2:7" x14ac:dyDescent="0.2">
      <c r="B1270" s="92"/>
      <c r="C1270" s="93"/>
      <c r="D1270" s="93"/>
      <c r="E1270" s="94" t="str">
        <f t="shared" si="19"/>
        <v/>
      </c>
      <c r="F1270" s="95"/>
      <c r="G1270" s="93"/>
    </row>
    <row r="1271" spans="2:7" x14ac:dyDescent="0.2">
      <c r="B1271" s="92"/>
      <c r="C1271" s="93"/>
      <c r="D1271" s="93"/>
      <c r="E1271" s="94" t="str">
        <f t="shared" si="19"/>
        <v/>
      </c>
      <c r="F1271" s="95"/>
      <c r="G1271" s="93"/>
    </row>
    <row r="1272" spans="2:7" x14ac:dyDescent="0.2">
      <c r="B1272" s="92"/>
      <c r="C1272" s="93"/>
      <c r="D1272" s="93"/>
      <c r="E1272" s="94" t="str">
        <f t="shared" si="19"/>
        <v/>
      </c>
      <c r="F1272" s="95"/>
      <c r="G1272" s="93"/>
    </row>
    <row r="1273" spans="2:7" x14ac:dyDescent="0.2">
      <c r="B1273" s="92"/>
      <c r="C1273" s="93"/>
      <c r="D1273" s="93"/>
      <c r="E1273" s="94" t="str">
        <f t="shared" si="19"/>
        <v/>
      </c>
      <c r="F1273" s="95"/>
      <c r="G1273" s="93"/>
    </row>
    <row r="1274" spans="2:7" x14ac:dyDescent="0.2">
      <c r="B1274" s="92"/>
      <c r="C1274" s="93"/>
      <c r="D1274" s="93"/>
      <c r="E1274" s="94" t="str">
        <f t="shared" si="19"/>
        <v/>
      </c>
      <c r="F1274" s="95"/>
      <c r="G1274" s="93"/>
    </row>
    <row r="1275" spans="2:7" x14ac:dyDescent="0.2">
      <c r="B1275" s="92"/>
      <c r="C1275" s="93"/>
      <c r="D1275" s="93"/>
      <c r="E1275" s="94" t="str">
        <f t="shared" si="19"/>
        <v/>
      </c>
      <c r="F1275" s="95"/>
      <c r="G1275" s="93"/>
    </row>
    <row r="1276" spans="2:7" x14ac:dyDescent="0.2">
      <c r="B1276" s="92"/>
      <c r="C1276" s="93"/>
      <c r="D1276" s="93"/>
      <c r="E1276" s="94" t="str">
        <f t="shared" si="19"/>
        <v/>
      </c>
      <c r="F1276" s="95"/>
      <c r="G1276" s="93"/>
    </row>
    <row r="1277" spans="2:7" x14ac:dyDescent="0.2">
      <c r="B1277" s="92"/>
      <c r="C1277" s="93"/>
      <c r="D1277" s="93"/>
      <c r="E1277" s="94" t="str">
        <f t="shared" si="19"/>
        <v/>
      </c>
      <c r="F1277" s="95"/>
      <c r="G1277" s="93"/>
    </row>
    <row r="1278" spans="2:7" x14ac:dyDescent="0.2">
      <c r="B1278" s="92"/>
      <c r="C1278" s="93"/>
      <c r="D1278" s="93"/>
      <c r="E1278" s="94" t="str">
        <f t="shared" si="19"/>
        <v/>
      </c>
      <c r="F1278" s="95"/>
      <c r="G1278" s="93"/>
    </row>
    <row r="1279" spans="2:7" x14ac:dyDescent="0.2">
      <c r="B1279" s="92"/>
      <c r="C1279" s="93"/>
      <c r="D1279" s="93"/>
      <c r="E1279" s="94" t="str">
        <f t="shared" si="19"/>
        <v/>
      </c>
      <c r="F1279" s="95"/>
      <c r="G1279" s="93"/>
    </row>
    <row r="1280" spans="2:7" x14ac:dyDescent="0.2">
      <c r="B1280" s="92"/>
      <c r="C1280" s="93"/>
      <c r="D1280" s="93"/>
      <c r="E1280" s="94" t="str">
        <f t="shared" si="19"/>
        <v/>
      </c>
      <c r="F1280" s="95"/>
      <c r="G1280" s="93"/>
    </row>
    <row r="1281" spans="2:7" x14ac:dyDescent="0.2">
      <c r="B1281" s="92"/>
      <c r="C1281" s="93"/>
      <c r="D1281" s="93"/>
      <c r="E1281" s="94" t="str">
        <f t="shared" si="19"/>
        <v/>
      </c>
      <c r="F1281" s="95"/>
      <c r="G1281" s="93"/>
    </row>
    <row r="1282" spans="2:7" x14ac:dyDescent="0.2">
      <c r="B1282" s="92"/>
      <c r="C1282" s="93"/>
      <c r="D1282" s="93"/>
      <c r="E1282" s="94" t="str">
        <f t="shared" si="19"/>
        <v/>
      </c>
      <c r="F1282" s="95"/>
      <c r="G1282" s="93"/>
    </row>
    <row r="1283" spans="2:7" x14ac:dyDescent="0.2">
      <c r="B1283" s="92"/>
      <c r="C1283" s="93"/>
      <c r="D1283" s="93"/>
      <c r="E1283" s="94" t="str">
        <f t="shared" si="19"/>
        <v/>
      </c>
      <c r="F1283" s="95"/>
      <c r="G1283" s="93"/>
    </row>
    <row r="1284" spans="2:7" x14ac:dyDescent="0.2">
      <c r="B1284" s="92"/>
      <c r="C1284" s="93"/>
      <c r="D1284" s="93"/>
      <c r="E1284" s="94" t="str">
        <f t="shared" si="19"/>
        <v/>
      </c>
      <c r="F1284" s="95"/>
      <c r="G1284" s="93"/>
    </row>
    <row r="1285" spans="2:7" x14ac:dyDescent="0.2">
      <c r="B1285" s="92"/>
      <c r="C1285" s="93"/>
      <c r="D1285" s="93"/>
      <c r="E1285" s="94" t="str">
        <f t="shared" si="19"/>
        <v/>
      </c>
      <c r="F1285" s="95"/>
      <c r="G1285" s="93"/>
    </row>
    <row r="1286" spans="2:7" x14ac:dyDescent="0.2">
      <c r="B1286" s="92"/>
      <c r="C1286" s="93"/>
      <c r="D1286" s="93"/>
      <c r="E1286" s="94" t="str">
        <f t="shared" ref="E1286:E1349" si="20">IF(C1286&lt;&gt;"",D1286-C1286,"")</f>
        <v/>
      </c>
      <c r="F1286" s="95"/>
      <c r="G1286" s="93"/>
    </row>
    <row r="1287" spans="2:7" x14ac:dyDescent="0.2">
      <c r="B1287" s="92"/>
      <c r="C1287" s="93"/>
      <c r="D1287" s="93"/>
      <c r="E1287" s="94" t="str">
        <f t="shared" si="20"/>
        <v/>
      </c>
      <c r="F1287" s="95"/>
      <c r="G1287" s="93"/>
    </row>
    <row r="1288" spans="2:7" x14ac:dyDescent="0.2">
      <c r="B1288" s="92"/>
      <c r="C1288" s="93"/>
      <c r="D1288" s="93"/>
      <c r="E1288" s="94" t="str">
        <f t="shared" si="20"/>
        <v/>
      </c>
      <c r="F1288" s="95"/>
      <c r="G1288" s="93"/>
    </row>
    <row r="1289" spans="2:7" x14ac:dyDescent="0.2">
      <c r="B1289" s="92"/>
      <c r="C1289" s="93"/>
      <c r="D1289" s="93"/>
      <c r="E1289" s="94" t="str">
        <f t="shared" si="20"/>
        <v/>
      </c>
      <c r="F1289" s="95"/>
      <c r="G1289" s="93"/>
    </row>
    <row r="1290" spans="2:7" x14ac:dyDescent="0.2">
      <c r="B1290" s="92"/>
      <c r="C1290" s="93"/>
      <c r="D1290" s="93"/>
      <c r="E1290" s="94" t="str">
        <f t="shared" si="20"/>
        <v/>
      </c>
      <c r="F1290" s="95"/>
      <c r="G1290" s="93"/>
    </row>
    <row r="1291" spans="2:7" x14ac:dyDescent="0.2">
      <c r="B1291" s="92"/>
      <c r="C1291" s="93"/>
      <c r="D1291" s="93"/>
      <c r="E1291" s="94" t="str">
        <f t="shared" si="20"/>
        <v/>
      </c>
      <c r="F1291" s="95"/>
      <c r="G1291" s="93"/>
    </row>
    <row r="1292" spans="2:7" x14ac:dyDescent="0.2">
      <c r="B1292" s="92"/>
      <c r="C1292" s="93"/>
      <c r="D1292" s="93"/>
      <c r="E1292" s="94" t="str">
        <f t="shared" si="20"/>
        <v/>
      </c>
      <c r="F1292" s="95"/>
      <c r="G1292" s="93"/>
    </row>
    <row r="1293" spans="2:7" x14ac:dyDescent="0.2">
      <c r="B1293" s="92"/>
      <c r="C1293" s="93"/>
      <c r="D1293" s="93"/>
      <c r="E1293" s="94" t="str">
        <f t="shared" si="20"/>
        <v/>
      </c>
      <c r="F1293" s="95"/>
      <c r="G1293" s="93"/>
    </row>
    <row r="1294" spans="2:7" x14ac:dyDescent="0.2">
      <c r="B1294" s="92"/>
      <c r="C1294" s="93"/>
      <c r="D1294" s="93"/>
      <c r="E1294" s="94" t="str">
        <f t="shared" si="20"/>
        <v/>
      </c>
      <c r="F1294" s="95"/>
      <c r="G1294" s="93"/>
    </row>
    <row r="1295" spans="2:7" x14ac:dyDescent="0.2">
      <c r="B1295" s="92"/>
      <c r="C1295" s="93"/>
      <c r="D1295" s="93"/>
      <c r="E1295" s="94" t="str">
        <f t="shared" si="20"/>
        <v/>
      </c>
      <c r="F1295" s="95"/>
      <c r="G1295" s="93"/>
    </row>
    <row r="1296" spans="2:7" x14ac:dyDescent="0.2">
      <c r="B1296" s="92"/>
      <c r="C1296" s="93"/>
      <c r="D1296" s="93"/>
      <c r="E1296" s="94" t="str">
        <f t="shared" si="20"/>
        <v/>
      </c>
      <c r="F1296" s="95"/>
      <c r="G1296" s="93"/>
    </row>
    <row r="1297" spans="2:7" x14ac:dyDescent="0.2">
      <c r="B1297" s="92"/>
      <c r="C1297" s="93"/>
      <c r="D1297" s="93"/>
      <c r="E1297" s="94" t="str">
        <f t="shared" si="20"/>
        <v/>
      </c>
      <c r="F1297" s="95"/>
      <c r="G1297" s="93"/>
    </row>
    <row r="1298" spans="2:7" x14ac:dyDescent="0.2">
      <c r="B1298" s="92"/>
      <c r="C1298" s="93"/>
      <c r="D1298" s="93"/>
      <c r="E1298" s="94" t="str">
        <f t="shared" si="20"/>
        <v/>
      </c>
      <c r="F1298" s="95"/>
      <c r="G1298" s="93"/>
    </row>
    <row r="1299" spans="2:7" x14ac:dyDescent="0.2">
      <c r="B1299" s="92"/>
      <c r="C1299" s="93"/>
      <c r="D1299" s="93"/>
      <c r="E1299" s="94" t="str">
        <f t="shared" si="20"/>
        <v/>
      </c>
      <c r="F1299" s="95"/>
      <c r="G1299" s="93"/>
    </row>
    <row r="1300" spans="2:7" x14ac:dyDescent="0.2">
      <c r="B1300" s="92"/>
      <c r="C1300" s="93"/>
      <c r="D1300" s="93"/>
      <c r="E1300" s="94" t="str">
        <f t="shared" si="20"/>
        <v/>
      </c>
      <c r="F1300" s="95"/>
      <c r="G1300" s="93"/>
    </row>
    <row r="1301" spans="2:7" x14ac:dyDescent="0.2">
      <c r="B1301" s="92"/>
      <c r="C1301" s="93"/>
      <c r="D1301" s="93"/>
      <c r="E1301" s="94" t="str">
        <f t="shared" si="20"/>
        <v/>
      </c>
      <c r="F1301" s="95"/>
      <c r="G1301" s="93"/>
    </row>
    <row r="1302" spans="2:7" x14ac:dyDescent="0.2">
      <c r="B1302" s="92"/>
      <c r="C1302" s="93"/>
      <c r="D1302" s="93"/>
      <c r="E1302" s="94" t="str">
        <f t="shared" si="20"/>
        <v/>
      </c>
      <c r="F1302" s="95"/>
      <c r="G1302" s="93"/>
    </row>
    <row r="1303" spans="2:7" x14ac:dyDescent="0.2">
      <c r="B1303" s="92"/>
      <c r="C1303" s="93"/>
      <c r="D1303" s="93"/>
      <c r="E1303" s="94" t="str">
        <f t="shared" si="20"/>
        <v/>
      </c>
      <c r="F1303" s="95"/>
      <c r="G1303" s="93"/>
    </row>
    <row r="1304" spans="2:7" x14ac:dyDescent="0.2">
      <c r="B1304" s="92"/>
      <c r="C1304" s="93"/>
      <c r="D1304" s="93"/>
      <c r="E1304" s="94" t="str">
        <f t="shared" si="20"/>
        <v/>
      </c>
      <c r="F1304" s="95"/>
      <c r="G1304" s="93"/>
    </row>
    <row r="1305" spans="2:7" x14ac:dyDescent="0.2">
      <c r="B1305" s="92"/>
      <c r="C1305" s="93"/>
      <c r="D1305" s="93"/>
      <c r="E1305" s="94" t="str">
        <f t="shared" si="20"/>
        <v/>
      </c>
      <c r="F1305" s="95"/>
      <c r="G1305" s="93"/>
    </row>
    <row r="1306" spans="2:7" x14ac:dyDescent="0.2">
      <c r="B1306" s="92"/>
      <c r="C1306" s="93"/>
      <c r="D1306" s="93"/>
      <c r="E1306" s="94" t="str">
        <f t="shared" si="20"/>
        <v/>
      </c>
      <c r="F1306" s="95"/>
      <c r="G1306" s="93"/>
    </row>
    <row r="1307" spans="2:7" x14ac:dyDescent="0.2">
      <c r="B1307" s="92"/>
      <c r="C1307" s="93"/>
      <c r="D1307" s="93"/>
      <c r="E1307" s="94" t="str">
        <f t="shared" si="20"/>
        <v/>
      </c>
      <c r="F1307" s="95"/>
      <c r="G1307" s="93"/>
    </row>
    <row r="1308" spans="2:7" x14ac:dyDescent="0.2">
      <c r="B1308" s="92"/>
      <c r="C1308" s="93"/>
      <c r="D1308" s="93"/>
      <c r="E1308" s="94" t="str">
        <f t="shared" si="20"/>
        <v/>
      </c>
      <c r="F1308" s="95"/>
      <c r="G1308" s="93"/>
    </row>
    <row r="1309" spans="2:7" x14ac:dyDescent="0.2">
      <c r="B1309" s="92"/>
      <c r="C1309" s="93"/>
      <c r="D1309" s="93"/>
      <c r="E1309" s="94" t="str">
        <f t="shared" si="20"/>
        <v/>
      </c>
      <c r="F1309" s="95"/>
      <c r="G1309" s="93"/>
    </row>
    <row r="1310" spans="2:7" x14ac:dyDescent="0.2">
      <c r="B1310" s="92"/>
      <c r="C1310" s="93"/>
      <c r="D1310" s="93"/>
      <c r="E1310" s="94" t="str">
        <f t="shared" si="20"/>
        <v/>
      </c>
      <c r="F1310" s="95"/>
      <c r="G1310" s="93"/>
    </row>
    <row r="1311" spans="2:7" x14ac:dyDescent="0.2">
      <c r="B1311" s="92"/>
      <c r="C1311" s="93"/>
      <c r="D1311" s="93"/>
      <c r="E1311" s="94" t="str">
        <f t="shared" si="20"/>
        <v/>
      </c>
      <c r="F1311" s="95"/>
      <c r="G1311" s="93"/>
    </row>
    <row r="1312" spans="2:7" x14ac:dyDescent="0.2">
      <c r="B1312" s="92"/>
      <c r="C1312" s="93"/>
      <c r="D1312" s="93"/>
      <c r="E1312" s="94" t="str">
        <f t="shared" si="20"/>
        <v/>
      </c>
      <c r="F1312" s="95"/>
      <c r="G1312" s="93"/>
    </row>
    <row r="1313" spans="2:7" x14ac:dyDescent="0.2">
      <c r="B1313" s="92"/>
      <c r="C1313" s="93"/>
      <c r="D1313" s="93"/>
      <c r="E1313" s="94" t="str">
        <f t="shared" si="20"/>
        <v/>
      </c>
      <c r="F1313" s="95"/>
      <c r="G1313" s="93"/>
    </row>
    <row r="1314" spans="2:7" x14ac:dyDescent="0.2">
      <c r="B1314" s="92"/>
      <c r="C1314" s="93"/>
      <c r="D1314" s="93"/>
      <c r="E1314" s="94" t="str">
        <f t="shared" si="20"/>
        <v/>
      </c>
      <c r="F1314" s="95"/>
      <c r="G1314" s="93"/>
    </row>
    <row r="1315" spans="2:7" x14ac:dyDescent="0.2">
      <c r="B1315" s="92"/>
      <c r="C1315" s="93"/>
      <c r="D1315" s="93"/>
      <c r="E1315" s="94" t="str">
        <f t="shared" si="20"/>
        <v/>
      </c>
      <c r="F1315" s="95"/>
      <c r="G1315" s="93"/>
    </row>
    <row r="1316" spans="2:7" x14ac:dyDescent="0.2">
      <c r="B1316" s="92"/>
      <c r="C1316" s="93"/>
      <c r="D1316" s="93"/>
      <c r="E1316" s="94" t="str">
        <f t="shared" si="20"/>
        <v/>
      </c>
      <c r="F1316" s="95"/>
      <c r="G1316" s="93"/>
    </row>
    <row r="1317" spans="2:7" x14ac:dyDescent="0.2">
      <c r="B1317" s="92"/>
      <c r="C1317" s="93"/>
      <c r="D1317" s="93"/>
      <c r="E1317" s="94" t="str">
        <f t="shared" si="20"/>
        <v/>
      </c>
      <c r="F1317" s="95"/>
      <c r="G1317" s="93"/>
    </row>
    <row r="1318" spans="2:7" x14ac:dyDescent="0.2">
      <c r="B1318" s="92"/>
      <c r="C1318" s="93"/>
      <c r="D1318" s="93"/>
      <c r="E1318" s="94" t="str">
        <f t="shared" si="20"/>
        <v/>
      </c>
      <c r="F1318" s="95"/>
      <c r="G1318" s="93"/>
    </row>
    <row r="1319" spans="2:7" x14ac:dyDescent="0.2">
      <c r="B1319" s="92"/>
      <c r="C1319" s="93"/>
      <c r="D1319" s="93"/>
      <c r="E1319" s="94" t="str">
        <f t="shared" si="20"/>
        <v/>
      </c>
      <c r="F1319" s="95"/>
      <c r="G1319" s="93"/>
    </row>
    <row r="1320" spans="2:7" x14ac:dyDescent="0.2">
      <c r="B1320" s="92"/>
      <c r="C1320" s="93"/>
      <c r="D1320" s="93"/>
      <c r="E1320" s="94" t="str">
        <f t="shared" si="20"/>
        <v/>
      </c>
      <c r="F1320" s="95"/>
      <c r="G1320" s="93"/>
    </row>
    <row r="1321" spans="2:7" x14ac:dyDescent="0.2">
      <c r="B1321" s="92"/>
      <c r="C1321" s="93"/>
      <c r="D1321" s="93"/>
      <c r="E1321" s="94" t="str">
        <f t="shared" si="20"/>
        <v/>
      </c>
      <c r="F1321" s="95"/>
      <c r="G1321" s="93"/>
    </row>
    <row r="1322" spans="2:7" x14ac:dyDescent="0.2">
      <c r="B1322" s="92"/>
      <c r="C1322" s="93"/>
      <c r="D1322" s="93"/>
      <c r="E1322" s="94" t="str">
        <f t="shared" si="20"/>
        <v/>
      </c>
      <c r="F1322" s="95"/>
      <c r="G1322" s="93"/>
    </row>
    <row r="1323" spans="2:7" x14ac:dyDescent="0.2">
      <c r="B1323" s="92"/>
      <c r="C1323" s="93"/>
      <c r="D1323" s="93"/>
      <c r="E1323" s="94" t="str">
        <f t="shared" si="20"/>
        <v/>
      </c>
      <c r="F1323" s="95"/>
      <c r="G1323" s="93"/>
    </row>
    <row r="1324" spans="2:7" x14ac:dyDescent="0.2">
      <c r="B1324" s="92"/>
      <c r="C1324" s="93"/>
      <c r="D1324" s="93"/>
      <c r="E1324" s="94" t="str">
        <f t="shared" si="20"/>
        <v/>
      </c>
      <c r="F1324" s="95"/>
      <c r="G1324" s="93"/>
    </row>
    <row r="1325" spans="2:7" x14ac:dyDescent="0.2">
      <c r="B1325" s="92"/>
      <c r="C1325" s="93"/>
      <c r="D1325" s="93"/>
      <c r="E1325" s="94" t="str">
        <f t="shared" si="20"/>
        <v/>
      </c>
      <c r="F1325" s="95"/>
      <c r="G1325" s="93"/>
    </row>
    <row r="1326" spans="2:7" x14ac:dyDescent="0.2">
      <c r="B1326" s="92"/>
      <c r="C1326" s="93"/>
      <c r="D1326" s="93"/>
      <c r="E1326" s="94" t="str">
        <f t="shared" si="20"/>
        <v/>
      </c>
      <c r="F1326" s="95"/>
      <c r="G1326" s="93"/>
    </row>
    <row r="1327" spans="2:7" x14ac:dyDescent="0.2">
      <c r="B1327" s="92"/>
      <c r="C1327" s="93"/>
      <c r="D1327" s="93"/>
      <c r="E1327" s="94" t="str">
        <f t="shared" si="20"/>
        <v/>
      </c>
      <c r="F1327" s="95"/>
      <c r="G1327" s="93"/>
    </row>
    <row r="1328" spans="2:7" x14ac:dyDescent="0.2">
      <c r="B1328" s="92"/>
      <c r="C1328" s="93"/>
      <c r="D1328" s="93"/>
      <c r="E1328" s="94" t="str">
        <f t="shared" si="20"/>
        <v/>
      </c>
      <c r="F1328" s="95"/>
      <c r="G1328" s="93"/>
    </row>
    <row r="1329" spans="2:7" x14ac:dyDescent="0.2">
      <c r="B1329" s="92"/>
      <c r="C1329" s="93"/>
      <c r="D1329" s="93"/>
      <c r="E1329" s="94" t="str">
        <f t="shared" si="20"/>
        <v/>
      </c>
      <c r="F1329" s="95"/>
      <c r="G1329" s="93"/>
    </row>
    <row r="1330" spans="2:7" x14ac:dyDescent="0.2">
      <c r="B1330" s="92"/>
      <c r="C1330" s="93"/>
      <c r="D1330" s="93"/>
      <c r="E1330" s="94" t="str">
        <f t="shared" si="20"/>
        <v/>
      </c>
      <c r="F1330" s="95"/>
      <c r="G1330" s="93"/>
    </row>
    <row r="1331" spans="2:7" x14ac:dyDescent="0.2">
      <c r="B1331" s="92"/>
      <c r="C1331" s="93"/>
      <c r="D1331" s="93"/>
      <c r="E1331" s="94" t="str">
        <f t="shared" si="20"/>
        <v/>
      </c>
      <c r="F1331" s="95"/>
      <c r="G1331" s="93"/>
    </row>
    <row r="1332" spans="2:7" x14ac:dyDescent="0.2">
      <c r="B1332" s="92"/>
      <c r="C1332" s="93"/>
      <c r="D1332" s="93"/>
      <c r="E1332" s="94" t="str">
        <f t="shared" si="20"/>
        <v/>
      </c>
      <c r="F1332" s="95"/>
      <c r="G1332" s="93"/>
    </row>
    <row r="1333" spans="2:7" x14ac:dyDescent="0.2">
      <c r="B1333" s="92"/>
      <c r="C1333" s="93"/>
      <c r="D1333" s="93"/>
      <c r="E1333" s="94" t="str">
        <f t="shared" si="20"/>
        <v/>
      </c>
      <c r="F1333" s="95"/>
      <c r="G1333" s="93"/>
    </row>
    <row r="1334" spans="2:7" x14ac:dyDescent="0.2">
      <c r="B1334" s="92"/>
      <c r="C1334" s="93"/>
      <c r="D1334" s="93"/>
      <c r="E1334" s="94" t="str">
        <f t="shared" si="20"/>
        <v/>
      </c>
      <c r="F1334" s="95"/>
      <c r="G1334" s="93"/>
    </row>
    <row r="1335" spans="2:7" x14ac:dyDescent="0.2">
      <c r="B1335" s="92"/>
      <c r="C1335" s="93"/>
      <c r="D1335" s="93"/>
      <c r="E1335" s="94" t="str">
        <f t="shared" si="20"/>
        <v/>
      </c>
      <c r="F1335" s="95"/>
      <c r="G1335" s="93"/>
    </row>
    <row r="1336" spans="2:7" x14ac:dyDescent="0.2">
      <c r="B1336" s="92"/>
      <c r="C1336" s="93"/>
      <c r="D1336" s="93"/>
      <c r="E1336" s="94" t="str">
        <f t="shared" si="20"/>
        <v/>
      </c>
      <c r="F1336" s="95"/>
      <c r="G1336" s="93"/>
    </row>
    <row r="1337" spans="2:7" x14ac:dyDescent="0.2">
      <c r="B1337" s="92"/>
      <c r="C1337" s="93"/>
      <c r="D1337" s="93"/>
      <c r="E1337" s="94" t="str">
        <f t="shared" si="20"/>
        <v/>
      </c>
      <c r="F1337" s="95"/>
      <c r="G1337" s="93"/>
    </row>
    <row r="1338" spans="2:7" x14ac:dyDescent="0.2">
      <c r="B1338" s="92"/>
      <c r="C1338" s="93"/>
      <c r="D1338" s="93"/>
      <c r="E1338" s="94" t="str">
        <f t="shared" si="20"/>
        <v/>
      </c>
      <c r="F1338" s="95"/>
      <c r="G1338" s="93"/>
    </row>
    <row r="1339" spans="2:7" x14ac:dyDescent="0.2">
      <c r="B1339" s="92"/>
      <c r="C1339" s="93"/>
      <c r="D1339" s="93"/>
      <c r="E1339" s="94" t="str">
        <f t="shared" si="20"/>
        <v/>
      </c>
      <c r="F1339" s="95"/>
      <c r="G1339" s="93"/>
    </row>
    <row r="1340" spans="2:7" x14ac:dyDescent="0.2">
      <c r="B1340" s="92"/>
      <c r="C1340" s="93"/>
      <c r="D1340" s="93"/>
      <c r="E1340" s="94" t="str">
        <f t="shared" si="20"/>
        <v/>
      </c>
      <c r="F1340" s="95"/>
      <c r="G1340" s="93"/>
    </row>
    <row r="1341" spans="2:7" x14ac:dyDescent="0.2">
      <c r="B1341" s="92"/>
      <c r="C1341" s="93"/>
      <c r="D1341" s="93"/>
      <c r="E1341" s="94" t="str">
        <f t="shared" si="20"/>
        <v/>
      </c>
      <c r="F1341" s="95"/>
      <c r="G1341" s="93"/>
    </row>
    <row r="1342" spans="2:7" x14ac:dyDescent="0.2">
      <c r="B1342" s="92"/>
      <c r="C1342" s="93"/>
      <c r="D1342" s="93"/>
      <c r="E1342" s="94" t="str">
        <f t="shared" si="20"/>
        <v/>
      </c>
      <c r="F1342" s="95"/>
      <c r="G1342" s="93"/>
    </row>
    <row r="1343" spans="2:7" x14ac:dyDescent="0.2">
      <c r="B1343" s="92"/>
      <c r="C1343" s="93"/>
      <c r="D1343" s="93"/>
      <c r="E1343" s="94" t="str">
        <f t="shared" si="20"/>
        <v/>
      </c>
      <c r="F1343" s="95"/>
      <c r="G1343" s="93"/>
    </row>
    <row r="1344" spans="2:7" x14ac:dyDescent="0.2">
      <c r="B1344" s="92"/>
      <c r="C1344" s="93"/>
      <c r="D1344" s="93"/>
      <c r="E1344" s="94" t="str">
        <f t="shared" si="20"/>
        <v/>
      </c>
      <c r="F1344" s="95"/>
      <c r="G1344" s="93"/>
    </row>
    <row r="1345" spans="2:7" x14ac:dyDescent="0.2">
      <c r="B1345" s="92"/>
      <c r="C1345" s="93"/>
      <c r="D1345" s="93"/>
      <c r="E1345" s="94" t="str">
        <f t="shared" si="20"/>
        <v/>
      </c>
      <c r="F1345" s="95"/>
      <c r="G1345" s="93"/>
    </row>
    <row r="1346" spans="2:7" x14ac:dyDescent="0.2">
      <c r="B1346" s="92"/>
      <c r="C1346" s="93"/>
      <c r="D1346" s="93"/>
      <c r="E1346" s="94" t="str">
        <f t="shared" si="20"/>
        <v/>
      </c>
      <c r="F1346" s="95"/>
      <c r="G1346" s="93"/>
    </row>
    <row r="1347" spans="2:7" x14ac:dyDescent="0.2">
      <c r="B1347" s="92"/>
      <c r="C1347" s="93"/>
      <c r="D1347" s="93"/>
      <c r="E1347" s="94" t="str">
        <f t="shared" si="20"/>
        <v/>
      </c>
      <c r="F1347" s="95"/>
      <c r="G1347" s="93"/>
    </row>
    <row r="1348" spans="2:7" x14ac:dyDescent="0.2">
      <c r="B1348" s="92"/>
      <c r="C1348" s="93"/>
      <c r="D1348" s="93"/>
      <c r="E1348" s="94" t="str">
        <f t="shared" si="20"/>
        <v/>
      </c>
      <c r="F1348" s="95"/>
      <c r="G1348" s="93"/>
    </row>
    <row r="1349" spans="2:7" x14ac:dyDescent="0.2">
      <c r="B1349" s="92"/>
      <c r="C1349" s="93"/>
      <c r="D1349" s="93"/>
      <c r="E1349" s="94" t="str">
        <f t="shared" si="20"/>
        <v/>
      </c>
      <c r="F1349" s="95"/>
      <c r="G1349" s="93"/>
    </row>
    <row r="1350" spans="2:7" x14ac:dyDescent="0.2">
      <c r="B1350" s="92"/>
      <c r="C1350" s="93"/>
      <c r="D1350" s="93"/>
      <c r="E1350" s="94" t="str">
        <f t="shared" ref="E1350:E1413" si="21">IF(C1350&lt;&gt;"",D1350-C1350,"")</f>
        <v/>
      </c>
      <c r="F1350" s="95"/>
      <c r="G1350" s="93"/>
    </row>
    <row r="1351" spans="2:7" x14ac:dyDescent="0.2">
      <c r="B1351" s="92"/>
      <c r="C1351" s="93"/>
      <c r="D1351" s="93"/>
      <c r="E1351" s="94" t="str">
        <f t="shared" si="21"/>
        <v/>
      </c>
      <c r="F1351" s="95"/>
      <c r="G1351" s="93"/>
    </row>
    <row r="1352" spans="2:7" x14ac:dyDescent="0.2">
      <c r="B1352" s="92"/>
      <c r="C1352" s="93"/>
      <c r="D1352" s="93"/>
      <c r="E1352" s="94" t="str">
        <f t="shared" si="21"/>
        <v/>
      </c>
      <c r="F1352" s="95"/>
      <c r="G1352" s="93"/>
    </row>
    <row r="1353" spans="2:7" x14ac:dyDescent="0.2">
      <c r="B1353" s="92"/>
      <c r="C1353" s="93"/>
      <c r="D1353" s="93"/>
      <c r="E1353" s="94" t="str">
        <f t="shared" si="21"/>
        <v/>
      </c>
      <c r="F1353" s="95"/>
      <c r="G1353" s="93"/>
    </row>
    <row r="1354" spans="2:7" x14ac:dyDescent="0.2">
      <c r="B1354" s="92"/>
      <c r="C1354" s="93"/>
      <c r="D1354" s="93"/>
      <c r="E1354" s="94" t="str">
        <f t="shared" si="21"/>
        <v/>
      </c>
      <c r="F1354" s="95"/>
      <c r="G1354" s="93"/>
    </row>
    <row r="1355" spans="2:7" x14ac:dyDescent="0.2">
      <c r="B1355" s="92"/>
      <c r="C1355" s="93"/>
      <c r="D1355" s="93"/>
      <c r="E1355" s="94" t="str">
        <f t="shared" si="21"/>
        <v/>
      </c>
      <c r="F1355" s="95"/>
      <c r="G1355" s="93"/>
    </row>
    <row r="1356" spans="2:7" x14ac:dyDescent="0.2">
      <c r="B1356" s="92"/>
      <c r="C1356" s="93"/>
      <c r="D1356" s="93"/>
      <c r="E1356" s="94" t="str">
        <f t="shared" si="21"/>
        <v/>
      </c>
      <c r="F1356" s="95"/>
      <c r="G1356" s="93"/>
    </row>
    <row r="1357" spans="2:7" x14ac:dyDescent="0.2">
      <c r="B1357" s="92"/>
      <c r="C1357" s="93"/>
      <c r="D1357" s="93"/>
      <c r="E1357" s="94" t="str">
        <f t="shared" si="21"/>
        <v/>
      </c>
      <c r="F1357" s="95"/>
      <c r="G1357" s="93"/>
    </row>
    <row r="1358" spans="2:7" x14ac:dyDescent="0.2">
      <c r="B1358" s="92"/>
      <c r="C1358" s="93"/>
      <c r="D1358" s="93"/>
      <c r="E1358" s="94" t="str">
        <f t="shared" si="21"/>
        <v/>
      </c>
      <c r="F1358" s="95"/>
      <c r="G1358" s="93"/>
    </row>
    <row r="1359" spans="2:7" x14ac:dyDescent="0.2">
      <c r="B1359" s="92"/>
      <c r="C1359" s="93"/>
      <c r="D1359" s="93"/>
      <c r="E1359" s="94" t="str">
        <f t="shared" si="21"/>
        <v/>
      </c>
      <c r="F1359" s="95"/>
      <c r="G1359" s="93"/>
    </row>
    <row r="1360" spans="2:7" x14ac:dyDescent="0.2">
      <c r="B1360" s="92"/>
      <c r="C1360" s="93"/>
      <c r="D1360" s="93"/>
      <c r="E1360" s="94" t="str">
        <f t="shared" si="21"/>
        <v/>
      </c>
      <c r="F1360" s="95"/>
      <c r="G1360" s="93"/>
    </row>
    <row r="1361" spans="2:7" x14ac:dyDescent="0.2">
      <c r="B1361" s="92"/>
      <c r="C1361" s="93"/>
      <c r="D1361" s="93"/>
      <c r="E1361" s="94" t="str">
        <f t="shared" si="21"/>
        <v/>
      </c>
      <c r="F1361" s="95"/>
      <c r="G1361" s="93"/>
    </row>
    <row r="1362" spans="2:7" x14ac:dyDescent="0.2">
      <c r="B1362" s="92"/>
      <c r="C1362" s="93"/>
      <c r="D1362" s="93"/>
      <c r="E1362" s="94" t="str">
        <f t="shared" si="21"/>
        <v/>
      </c>
      <c r="F1362" s="95"/>
      <c r="G1362" s="93"/>
    </row>
    <row r="1363" spans="2:7" x14ac:dyDescent="0.2">
      <c r="B1363" s="92"/>
      <c r="C1363" s="93"/>
      <c r="D1363" s="93"/>
      <c r="E1363" s="94" t="str">
        <f t="shared" si="21"/>
        <v/>
      </c>
      <c r="F1363" s="95"/>
      <c r="G1363" s="93"/>
    </row>
    <row r="1364" spans="2:7" x14ac:dyDescent="0.2">
      <c r="B1364" s="92"/>
      <c r="C1364" s="93"/>
      <c r="D1364" s="93"/>
      <c r="E1364" s="94" t="str">
        <f t="shared" si="21"/>
        <v/>
      </c>
      <c r="F1364" s="95"/>
      <c r="G1364" s="93"/>
    </row>
    <row r="1365" spans="2:7" x14ac:dyDescent="0.2">
      <c r="B1365" s="92"/>
      <c r="C1365" s="93"/>
      <c r="D1365" s="93"/>
      <c r="E1365" s="94" t="str">
        <f t="shared" si="21"/>
        <v/>
      </c>
      <c r="F1365" s="95"/>
      <c r="G1365" s="93"/>
    </row>
    <row r="1366" spans="2:7" x14ac:dyDescent="0.2">
      <c r="B1366" s="92"/>
      <c r="C1366" s="93"/>
      <c r="D1366" s="93"/>
      <c r="E1366" s="94" t="str">
        <f t="shared" si="21"/>
        <v/>
      </c>
      <c r="F1366" s="95"/>
      <c r="G1366" s="93"/>
    </row>
    <row r="1367" spans="2:7" x14ac:dyDescent="0.2">
      <c r="B1367" s="92"/>
      <c r="C1367" s="93"/>
      <c r="D1367" s="93"/>
      <c r="E1367" s="94" t="str">
        <f t="shared" si="21"/>
        <v/>
      </c>
      <c r="F1367" s="95"/>
      <c r="G1367" s="93"/>
    </row>
    <row r="1368" spans="2:7" x14ac:dyDescent="0.2">
      <c r="B1368" s="92"/>
      <c r="C1368" s="93"/>
      <c r="D1368" s="93"/>
      <c r="E1368" s="94" t="str">
        <f t="shared" si="21"/>
        <v/>
      </c>
      <c r="F1368" s="95"/>
      <c r="G1368" s="93"/>
    </row>
    <row r="1369" spans="2:7" x14ac:dyDescent="0.2">
      <c r="B1369" s="92"/>
      <c r="C1369" s="93"/>
      <c r="D1369" s="93"/>
      <c r="E1369" s="94" t="str">
        <f t="shared" si="21"/>
        <v/>
      </c>
      <c r="F1369" s="95"/>
      <c r="G1369" s="93"/>
    </row>
    <row r="1370" spans="2:7" x14ac:dyDescent="0.2">
      <c r="B1370" s="92"/>
      <c r="C1370" s="93"/>
      <c r="D1370" s="93"/>
      <c r="E1370" s="94" t="str">
        <f t="shared" si="21"/>
        <v/>
      </c>
      <c r="F1370" s="95"/>
      <c r="G1370" s="93"/>
    </row>
    <row r="1371" spans="2:7" x14ac:dyDescent="0.2">
      <c r="B1371" s="92"/>
      <c r="C1371" s="93"/>
      <c r="D1371" s="93"/>
      <c r="E1371" s="94" t="str">
        <f t="shared" si="21"/>
        <v/>
      </c>
      <c r="F1371" s="95"/>
      <c r="G1371" s="93"/>
    </row>
    <row r="1372" spans="2:7" x14ac:dyDescent="0.2">
      <c r="B1372" s="92"/>
      <c r="C1372" s="93"/>
      <c r="D1372" s="93"/>
      <c r="E1372" s="94" t="str">
        <f t="shared" si="21"/>
        <v/>
      </c>
      <c r="F1372" s="95"/>
      <c r="G1372" s="93"/>
    </row>
    <row r="1373" spans="2:7" x14ac:dyDescent="0.2">
      <c r="B1373" s="92"/>
      <c r="C1373" s="93"/>
      <c r="D1373" s="93"/>
      <c r="E1373" s="94" t="str">
        <f t="shared" si="21"/>
        <v/>
      </c>
      <c r="F1373" s="95"/>
      <c r="G1373" s="93"/>
    </row>
    <row r="1374" spans="2:7" x14ac:dyDescent="0.2">
      <c r="B1374" s="92"/>
      <c r="C1374" s="93"/>
      <c r="D1374" s="93"/>
      <c r="E1374" s="94" t="str">
        <f t="shared" si="21"/>
        <v/>
      </c>
      <c r="F1374" s="95"/>
      <c r="G1374" s="93"/>
    </row>
    <row r="1375" spans="2:7" x14ac:dyDescent="0.2">
      <c r="B1375" s="92"/>
      <c r="C1375" s="93"/>
      <c r="D1375" s="93"/>
      <c r="E1375" s="94" t="str">
        <f t="shared" si="21"/>
        <v/>
      </c>
      <c r="F1375" s="95"/>
      <c r="G1375" s="93"/>
    </row>
    <row r="1376" spans="2:7" x14ac:dyDescent="0.2">
      <c r="B1376" s="92"/>
      <c r="C1376" s="93"/>
      <c r="D1376" s="93"/>
      <c r="E1376" s="94" t="str">
        <f t="shared" si="21"/>
        <v/>
      </c>
      <c r="F1376" s="95"/>
      <c r="G1376" s="93"/>
    </row>
    <row r="1377" spans="2:7" x14ac:dyDescent="0.2">
      <c r="B1377" s="92"/>
      <c r="C1377" s="93"/>
      <c r="D1377" s="93"/>
      <c r="E1377" s="94" t="str">
        <f t="shared" si="21"/>
        <v/>
      </c>
      <c r="F1377" s="95"/>
      <c r="G1377" s="93"/>
    </row>
    <row r="1378" spans="2:7" x14ac:dyDescent="0.2">
      <c r="B1378" s="92"/>
      <c r="C1378" s="93"/>
      <c r="D1378" s="93"/>
      <c r="E1378" s="94" t="str">
        <f t="shared" si="21"/>
        <v/>
      </c>
      <c r="F1378" s="95"/>
      <c r="G1378" s="93"/>
    </row>
    <row r="1379" spans="2:7" x14ac:dyDescent="0.2">
      <c r="B1379" s="92"/>
      <c r="C1379" s="93"/>
      <c r="D1379" s="93"/>
      <c r="E1379" s="94" t="str">
        <f t="shared" si="21"/>
        <v/>
      </c>
      <c r="F1379" s="95"/>
      <c r="G1379" s="93"/>
    </row>
    <row r="1380" spans="2:7" x14ac:dyDescent="0.2">
      <c r="B1380" s="92"/>
      <c r="C1380" s="93"/>
      <c r="D1380" s="93"/>
      <c r="E1380" s="94" t="str">
        <f t="shared" si="21"/>
        <v/>
      </c>
      <c r="F1380" s="95"/>
      <c r="G1380" s="93"/>
    </row>
    <row r="1381" spans="2:7" x14ac:dyDescent="0.2">
      <c r="B1381" s="92"/>
      <c r="C1381" s="93"/>
      <c r="D1381" s="93"/>
      <c r="E1381" s="94" t="str">
        <f t="shared" si="21"/>
        <v/>
      </c>
      <c r="F1381" s="95"/>
      <c r="G1381" s="93"/>
    </row>
    <row r="1382" spans="2:7" x14ac:dyDescent="0.2">
      <c r="B1382" s="92"/>
      <c r="C1382" s="93"/>
      <c r="D1382" s="93"/>
      <c r="E1382" s="94" t="str">
        <f t="shared" si="21"/>
        <v/>
      </c>
      <c r="F1382" s="95"/>
      <c r="G1382" s="93"/>
    </row>
    <row r="1383" spans="2:7" x14ac:dyDescent="0.2">
      <c r="B1383" s="92"/>
      <c r="C1383" s="93"/>
      <c r="D1383" s="93"/>
      <c r="E1383" s="94" t="str">
        <f t="shared" si="21"/>
        <v/>
      </c>
      <c r="F1383" s="95"/>
      <c r="G1383" s="93"/>
    </row>
    <row r="1384" spans="2:7" x14ac:dyDescent="0.2">
      <c r="B1384" s="92"/>
      <c r="C1384" s="93"/>
      <c r="D1384" s="93"/>
      <c r="E1384" s="94" t="str">
        <f t="shared" si="21"/>
        <v/>
      </c>
      <c r="F1384" s="95"/>
      <c r="G1384" s="93"/>
    </row>
    <row r="1385" spans="2:7" x14ac:dyDescent="0.2">
      <c r="B1385" s="92"/>
      <c r="C1385" s="93"/>
      <c r="D1385" s="93"/>
      <c r="E1385" s="94" t="str">
        <f t="shared" si="21"/>
        <v/>
      </c>
      <c r="F1385" s="95"/>
      <c r="G1385" s="93"/>
    </row>
    <row r="1386" spans="2:7" x14ac:dyDescent="0.2">
      <c r="B1386" s="92"/>
      <c r="C1386" s="93"/>
      <c r="D1386" s="93"/>
      <c r="E1386" s="94" t="str">
        <f t="shared" si="21"/>
        <v/>
      </c>
      <c r="F1386" s="95"/>
      <c r="G1386" s="93"/>
    </row>
    <row r="1387" spans="2:7" x14ac:dyDescent="0.2">
      <c r="B1387" s="92"/>
      <c r="C1387" s="93"/>
      <c r="D1387" s="93"/>
      <c r="E1387" s="94" t="str">
        <f t="shared" si="21"/>
        <v/>
      </c>
      <c r="F1387" s="95"/>
      <c r="G1387" s="93"/>
    </row>
    <row r="1388" spans="2:7" x14ac:dyDescent="0.2">
      <c r="B1388" s="92"/>
      <c r="C1388" s="93"/>
      <c r="D1388" s="93"/>
      <c r="E1388" s="94" t="str">
        <f t="shared" si="21"/>
        <v/>
      </c>
      <c r="F1388" s="95"/>
      <c r="G1388" s="93"/>
    </row>
    <row r="1389" spans="2:7" x14ac:dyDescent="0.2">
      <c r="B1389" s="92"/>
      <c r="C1389" s="93"/>
      <c r="D1389" s="93"/>
      <c r="E1389" s="94" t="str">
        <f t="shared" si="21"/>
        <v/>
      </c>
      <c r="F1389" s="95"/>
      <c r="G1389" s="93"/>
    </row>
    <row r="1390" spans="2:7" x14ac:dyDescent="0.2">
      <c r="B1390" s="92"/>
      <c r="C1390" s="93"/>
      <c r="D1390" s="93"/>
      <c r="E1390" s="94" t="str">
        <f t="shared" si="21"/>
        <v/>
      </c>
      <c r="F1390" s="95"/>
      <c r="G1390" s="93"/>
    </row>
    <row r="1391" spans="2:7" x14ac:dyDescent="0.2">
      <c r="B1391" s="92"/>
      <c r="C1391" s="93"/>
      <c r="D1391" s="93"/>
      <c r="E1391" s="94" t="str">
        <f t="shared" si="21"/>
        <v/>
      </c>
      <c r="F1391" s="95"/>
      <c r="G1391" s="93"/>
    </row>
    <row r="1392" spans="2:7" x14ac:dyDescent="0.2">
      <c r="B1392" s="92"/>
      <c r="C1392" s="93"/>
      <c r="D1392" s="93"/>
      <c r="E1392" s="94" t="str">
        <f t="shared" si="21"/>
        <v/>
      </c>
      <c r="F1392" s="95"/>
      <c r="G1392" s="93"/>
    </row>
    <row r="1393" spans="2:7" x14ac:dyDescent="0.2">
      <c r="B1393" s="92"/>
      <c r="C1393" s="93"/>
      <c r="D1393" s="93"/>
      <c r="E1393" s="94" t="str">
        <f t="shared" si="21"/>
        <v/>
      </c>
      <c r="F1393" s="95"/>
      <c r="G1393" s="93"/>
    </row>
    <row r="1394" spans="2:7" x14ac:dyDescent="0.2">
      <c r="B1394" s="92"/>
      <c r="C1394" s="93"/>
      <c r="D1394" s="93"/>
      <c r="E1394" s="94" t="str">
        <f t="shared" si="21"/>
        <v/>
      </c>
      <c r="F1394" s="95"/>
      <c r="G1394" s="93"/>
    </row>
    <row r="1395" spans="2:7" x14ac:dyDescent="0.2">
      <c r="B1395" s="92"/>
      <c r="C1395" s="93"/>
      <c r="D1395" s="93"/>
      <c r="E1395" s="94" t="str">
        <f t="shared" si="21"/>
        <v/>
      </c>
      <c r="F1395" s="95"/>
      <c r="G1395" s="93"/>
    </row>
    <row r="1396" spans="2:7" x14ac:dyDescent="0.2">
      <c r="B1396" s="92"/>
      <c r="C1396" s="93"/>
      <c r="D1396" s="93"/>
      <c r="E1396" s="94" t="str">
        <f t="shared" si="21"/>
        <v/>
      </c>
      <c r="F1396" s="95"/>
      <c r="G1396" s="93"/>
    </row>
    <row r="1397" spans="2:7" x14ac:dyDescent="0.2">
      <c r="B1397" s="92"/>
      <c r="C1397" s="93"/>
      <c r="D1397" s="93"/>
      <c r="E1397" s="94" t="str">
        <f t="shared" si="21"/>
        <v/>
      </c>
      <c r="F1397" s="95"/>
      <c r="G1397" s="93"/>
    </row>
    <row r="1398" spans="2:7" x14ac:dyDescent="0.2">
      <c r="B1398" s="92"/>
      <c r="C1398" s="93"/>
      <c r="D1398" s="93"/>
      <c r="E1398" s="94" t="str">
        <f t="shared" si="21"/>
        <v/>
      </c>
      <c r="F1398" s="95"/>
      <c r="G1398" s="93"/>
    </row>
    <row r="1399" spans="2:7" x14ac:dyDescent="0.2">
      <c r="B1399" s="92"/>
      <c r="C1399" s="93"/>
      <c r="D1399" s="93"/>
      <c r="E1399" s="94" t="str">
        <f t="shared" si="21"/>
        <v/>
      </c>
      <c r="F1399" s="95"/>
      <c r="G1399" s="93"/>
    </row>
    <row r="1400" spans="2:7" x14ac:dyDescent="0.2">
      <c r="B1400" s="92"/>
      <c r="C1400" s="93"/>
      <c r="D1400" s="93"/>
      <c r="E1400" s="94" t="str">
        <f t="shared" si="21"/>
        <v/>
      </c>
      <c r="F1400" s="95"/>
      <c r="G1400" s="93"/>
    </row>
    <row r="1401" spans="2:7" x14ac:dyDescent="0.2">
      <c r="B1401" s="92"/>
      <c r="C1401" s="93"/>
      <c r="D1401" s="93"/>
      <c r="E1401" s="94" t="str">
        <f t="shared" si="21"/>
        <v/>
      </c>
      <c r="F1401" s="95"/>
      <c r="G1401" s="93"/>
    </row>
    <row r="1402" spans="2:7" x14ac:dyDescent="0.2">
      <c r="B1402" s="92"/>
      <c r="C1402" s="93"/>
      <c r="D1402" s="93"/>
      <c r="E1402" s="94" t="str">
        <f t="shared" si="21"/>
        <v/>
      </c>
      <c r="F1402" s="95"/>
      <c r="G1402" s="93"/>
    </row>
    <row r="1403" spans="2:7" x14ac:dyDescent="0.2">
      <c r="B1403" s="92"/>
      <c r="C1403" s="93"/>
      <c r="D1403" s="93"/>
      <c r="E1403" s="94" t="str">
        <f t="shared" si="21"/>
        <v/>
      </c>
      <c r="F1403" s="95"/>
      <c r="G1403" s="93"/>
    </row>
    <row r="1404" spans="2:7" x14ac:dyDescent="0.2">
      <c r="B1404" s="92"/>
      <c r="C1404" s="93"/>
      <c r="D1404" s="93"/>
      <c r="E1404" s="94" t="str">
        <f t="shared" si="21"/>
        <v/>
      </c>
      <c r="F1404" s="95"/>
      <c r="G1404" s="93"/>
    </row>
    <row r="1405" spans="2:7" x14ac:dyDescent="0.2">
      <c r="B1405" s="92"/>
      <c r="C1405" s="93"/>
      <c r="D1405" s="93"/>
      <c r="E1405" s="94" t="str">
        <f t="shared" si="21"/>
        <v/>
      </c>
      <c r="F1405" s="95"/>
      <c r="G1405" s="93"/>
    </row>
    <row r="1406" spans="2:7" x14ac:dyDescent="0.2">
      <c r="B1406" s="92"/>
      <c r="C1406" s="93"/>
      <c r="D1406" s="93"/>
      <c r="E1406" s="94" t="str">
        <f t="shared" si="21"/>
        <v/>
      </c>
      <c r="F1406" s="95"/>
      <c r="G1406" s="93"/>
    </row>
    <row r="1407" spans="2:7" x14ac:dyDescent="0.2">
      <c r="B1407" s="92"/>
      <c r="C1407" s="93"/>
      <c r="D1407" s="93"/>
      <c r="E1407" s="94" t="str">
        <f t="shared" si="21"/>
        <v/>
      </c>
      <c r="F1407" s="95"/>
      <c r="G1407" s="93"/>
    </row>
    <row r="1408" spans="2:7" x14ac:dyDescent="0.2">
      <c r="B1408" s="92"/>
      <c r="C1408" s="93"/>
      <c r="D1408" s="93"/>
      <c r="E1408" s="94" t="str">
        <f t="shared" si="21"/>
        <v/>
      </c>
      <c r="F1408" s="95"/>
      <c r="G1408" s="93"/>
    </row>
    <row r="1409" spans="2:7" x14ac:dyDescent="0.2">
      <c r="B1409" s="92"/>
      <c r="C1409" s="93"/>
      <c r="D1409" s="93"/>
      <c r="E1409" s="94" t="str">
        <f t="shared" si="21"/>
        <v/>
      </c>
      <c r="F1409" s="95"/>
      <c r="G1409" s="93"/>
    </row>
    <row r="1410" spans="2:7" x14ac:dyDescent="0.2">
      <c r="B1410" s="92"/>
      <c r="C1410" s="93"/>
      <c r="D1410" s="93"/>
      <c r="E1410" s="94" t="str">
        <f t="shared" si="21"/>
        <v/>
      </c>
      <c r="F1410" s="95"/>
      <c r="G1410" s="93"/>
    </row>
    <row r="1411" spans="2:7" x14ac:dyDescent="0.2">
      <c r="B1411" s="92"/>
      <c r="C1411" s="93"/>
      <c r="D1411" s="93"/>
      <c r="E1411" s="94" t="str">
        <f t="shared" si="21"/>
        <v/>
      </c>
      <c r="F1411" s="95"/>
      <c r="G1411" s="93"/>
    </row>
    <row r="1412" spans="2:7" x14ac:dyDescent="0.2">
      <c r="B1412" s="92"/>
      <c r="C1412" s="93"/>
      <c r="D1412" s="93"/>
      <c r="E1412" s="94" t="str">
        <f t="shared" si="21"/>
        <v/>
      </c>
      <c r="F1412" s="95"/>
      <c r="G1412" s="93"/>
    </row>
    <row r="1413" spans="2:7" x14ac:dyDescent="0.2">
      <c r="B1413" s="92"/>
      <c r="C1413" s="93"/>
      <c r="D1413" s="93"/>
      <c r="E1413" s="94" t="str">
        <f t="shared" si="21"/>
        <v/>
      </c>
      <c r="F1413" s="95"/>
      <c r="G1413" s="93"/>
    </row>
    <row r="1414" spans="2:7" x14ac:dyDescent="0.2">
      <c r="B1414" s="92"/>
      <c r="C1414" s="93"/>
      <c r="D1414" s="93"/>
      <c r="E1414" s="94" t="str">
        <f t="shared" ref="E1414:E1477" si="22">IF(C1414&lt;&gt;"",D1414-C1414,"")</f>
        <v/>
      </c>
      <c r="F1414" s="95"/>
      <c r="G1414" s="93"/>
    </row>
    <row r="1415" spans="2:7" x14ac:dyDescent="0.2">
      <c r="B1415" s="92"/>
      <c r="C1415" s="93"/>
      <c r="D1415" s="93"/>
      <c r="E1415" s="94" t="str">
        <f t="shared" si="22"/>
        <v/>
      </c>
      <c r="F1415" s="95"/>
      <c r="G1415" s="93"/>
    </row>
    <row r="1416" spans="2:7" x14ac:dyDescent="0.2">
      <c r="B1416" s="92"/>
      <c r="C1416" s="93"/>
      <c r="D1416" s="93"/>
      <c r="E1416" s="94" t="str">
        <f t="shared" si="22"/>
        <v/>
      </c>
      <c r="F1416" s="95"/>
      <c r="G1416" s="93"/>
    </row>
    <row r="1417" spans="2:7" x14ac:dyDescent="0.2">
      <c r="B1417" s="92"/>
      <c r="C1417" s="93"/>
      <c r="D1417" s="93"/>
      <c r="E1417" s="94" t="str">
        <f t="shared" si="22"/>
        <v/>
      </c>
      <c r="F1417" s="95"/>
      <c r="G1417" s="93"/>
    </row>
    <row r="1418" spans="2:7" x14ac:dyDescent="0.2">
      <c r="B1418" s="92"/>
      <c r="C1418" s="93"/>
      <c r="D1418" s="93"/>
      <c r="E1418" s="94" t="str">
        <f t="shared" si="22"/>
        <v/>
      </c>
      <c r="F1418" s="95"/>
      <c r="G1418" s="93"/>
    </row>
    <row r="1419" spans="2:7" x14ac:dyDescent="0.2">
      <c r="B1419" s="92"/>
      <c r="C1419" s="93"/>
      <c r="D1419" s="93"/>
      <c r="E1419" s="94" t="str">
        <f t="shared" si="22"/>
        <v/>
      </c>
      <c r="F1419" s="95"/>
      <c r="G1419" s="93"/>
    </row>
    <row r="1420" spans="2:7" x14ac:dyDescent="0.2">
      <c r="B1420" s="92"/>
      <c r="C1420" s="93"/>
      <c r="D1420" s="93"/>
      <c r="E1420" s="94" t="str">
        <f t="shared" si="22"/>
        <v/>
      </c>
      <c r="F1420" s="95"/>
      <c r="G1420" s="93"/>
    </row>
    <row r="1421" spans="2:7" x14ac:dyDescent="0.2">
      <c r="B1421" s="92"/>
      <c r="C1421" s="93"/>
      <c r="D1421" s="93"/>
      <c r="E1421" s="94" t="str">
        <f t="shared" si="22"/>
        <v/>
      </c>
      <c r="F1421" s="95"/>
      <c r="G1421" s="93"/>
    </row>
    <row r="1422" spans="2:7" x14ac:dyDescent="0.2">
      <c r="B1422" s="92"/>
      <c r="C1422" s="93"/>
      <c r="D1422" s="93"/>
      <c r="E1422" s="94" t="str">
        <f t="shared" si="22"/>
        <v/>
      </c>
      <c r="F1422" s="95"/>
      <c r="G1422" s="93"/>
    </row>
    <row r="1423" spans="2:7" x14ac:dyDescent="0.2">
      <c r="B1423" s="92"/>
      <c r="C1423" s="93"/>
      <c r="D1423" s="93"/>
      <c r="E1423" s="94" t="str">
        <f t="shared" si="22"/>
        <v/>
      </c>
      <c r="F1423" s="95"/>
      <c r="G1423" s="93"/>
    </row>
    <row r="1424" spans="2:7" x14ac:dyDescent="0.2">
      <c r="B1424" s="92"/>
      <c r="C1424" s="93"/>
      <c r="D1424" s="93"/>
      <c r="E1424" s="94" t="str">
        <f t="shared" si="22"/>
        <v/>
      </c>
      <c r="F1424" s="95"/>
      <c r="G1424" s="93"/>
    </row>
    <row r="1425" spans="2:7" x14ac:dyDescent="0.2">
      <c r="B1425" s="92"/>
      <c r="C1425" s="93"/>
      <c r="D1425" s="93"/>
      <c r="E1425" s="94" t="str">
        <f t="shared" si="22"/>
        <v/>
      </c>
      <c r="F1425" s="95"/>
      <c r="G1425" s="93"/>
    </row>
    <row r="1426" spans="2:7" x14ac:dyDescent="0.2">
      <c r="B1426" s="92"/>
      <c r="C1426" s="93"/>
      <c r="D1426" s="93"/>
      <c r="E1426" s="94" t="str">
        <f t="shared" si="22"/>
        <v/>
      </c>
      <c r="F1426" s="95"/>
      <c r="G1426" s="93"/>
    </row>
    <row r="1427" spans="2:7" x14ac:dyDescent="0.2">
      <c r="B1427" s="92"/>
      <c r="C1427" s="93"/>
      <c r="D1427" s="93"/>
      <c r="E1427" s="94" t="str">
        <f t="shared" si="22"/>
        <v/>
      </c>
      <c r="F1427" s="95"/>
      <c r="G1427" s="93"/>
    </row>
    <row r="1428" spans="2:7" x14ac:dyDescent="0.2">
      <c r="B1428" s="92"/>
      <c r="C1428" s="93"/>
      <c r="D1428" s="93"/>
      <c r="E1428" s="94" t="str">
        <f t="shared" si="22"/>
        <v/>
      </c>
      <c r="F1428" s="95"/>
      <c r="G1428" s="93"/>
    </row>
    <row r="1429" spans="2:7" x14ac:dyDescent="0.2">
      <c r="B1429" s="92"/>
      <c r="C1429" s="93"/>
      <c r="D1429" s="93"/>
      <c r="E1429" s="94" t="str">
        <f t="shared" si="22"/>
        <v/>
      </c>
      <c r="F1429" s="95"/>
      <c r="G1429" s="93"/>
    </row>
    <row r="1430" spans="2:7" x14ac:dyDescent="0.2">
      <c r="B1430" s="92"/>
      <c r="C1430" s="93"/>
      <c r="D1430" s="93"/>
      <c r="E1430" s="94" t="str">
        <f t="shared" si="22"/>
        <v/>
      </c>
      <c r="F1430" s="95"/>
      <c r="G1430" s="93"/>
    </row>
    <row r="1431" spans="2:7" x14ac:dyDescent="0.2">
      <c r="B1431" s="92"/>
      <c r="C1431" s="93"/>
      <c r="D1431" s="93"/>
      <c r="E1431" s="94" t="str">
        <f t="shared" si="22"/>
        <v/>
      </c>
      <c r="F1431" s="95"/>
      <c r="G1431" s="93"/>
    </row>
    <row r="1432" spans="2:7" x14ac:dyDescent="0.2">
      <c r="B1432" s="92"/>
      <c r="C1432" s="93"/>
      <c r="D1432" s="93"/>
      <c r="E1432" s="94" t="str">
        <f t="shared" si="22"/>
        <v/>
      </c>
      <c r="F1432" s="95"/>
      <c r="G1432" s="93"/>
    </row>
    <row r="1433" spans="2:7" x14ac:dyDescent="0.2">
      <c r="B1433" s="92"/>
      <c r="C1433" s="93"/>
      <c r="D1433" s="93"/>
      <c r="E1433" s="94" t="str">
        <f t="shared" si="22"/>
        <v/>
      </c>
      <c r="F1433" s="95"/>
      <c r="G1433" s="93"/>
    </row>
    <row r="1434" spans="2:7" x14ac:dyDescent="0.2">
      <c r="B1434" s="92"/>
      <c r="C1434" s="93"/>
      <c r="D1434" s="93"/>
      <c r="E1434" s="94" t="str">
        <f t="shared" si="22"/>
        <v/>
      </c>
      <c r="F1434" s="95"/>
      <c r="G1434" s="93"/>
    </row>
    <row r="1435" spans="2:7" x14ac:dyDescent="0.2">
      <c r="B1435" s="92"/>
      <c r="C1435" s="93"/>
      <c r="D1435" s="93"/>
      <c r="E1435" s="94" t="str">
        <f t="shared" si="22"/>
        <v/>
      </c>
      <c r="F1435" s="95"/>
      <c r="G1435" s="93"/>
    </row>
    <row r="1436" spans="2:7" x14ac:dyDescent="0.2">
      <c r="B1436" s="92"/>
      <c r="C1436" s="93"/>
      <c r="D1436" s="93"/>
      <c r="E1436" s="94" t="str">
        <f t="shared" si="22"/>
        <v/>
      </c>
      <c r="F1436" s="95"/>
      <c r="G1436" s="93"/>
    </row>
    <row r="1437" spans="2:7" x14ac:dyDescent="0.2">
      <c r="B1437" s="92"/>
      <c r="C1437" s="93"/>
      <c r="D1437" s="93"/>
      <c r="E1437" s="94" t="str">
        <f t="shared" si="22"/>
        <v/>
      </c>
      <c r="F1437" s="95"/>
      <c r="G1437" s="93"/>
    </row>
    <row r="1438" spans="2:7" x14ac:dyDescent="0.2">
      <c r="B1438" s="92"/>
      <c r="C1438" s="93"/>
      <c r="D1438" s="93"/>
      <c r="E1438" s="94" t="str">
        <f t="shared" si="22"/>
        <v/>
      </c>
      <c r="F1438" s="95"/>
      <c r="G1438" s="93"/>
    </row>
    <row r="1439" spans="2:7" x14ac:dyDescent="0.2">
      <c r="B1439" s="92"/>
      <c r="C1439" s="93"/>
      <c r="D1439" s="93"/>
      <c r="E1439" s="94" t="str">
        <f t="shared" si="22"/>
        <v/>
      </c>
      <c r="F1439" s="95"/>
      <c r="G1439" s="93"/>
    </row>
    <row r="1440" spans="2:7" x14ac:dyDescent="0.2">
      <c r="B1440" s="92"/>
      <c r="C1440" s="93"/>
      <c r="D1440" s="93"/>
      <c r="E1440" s="94" t="str">
        <f t="shared" si="22"/>
        <v/>
      </c>
      <c r="F1440" s="95"/>
      <c r="G1440" s="93"/>
    </row>
    <row r="1441" spans="2:7" x14ac:dyDescent="0.2">
      <c r="B1441" s="92"/>
      <c r="C1441" s="93"/>
      <c r="D1441" s="93"/>
      <c r="E1441" s="94" t="str">
        <f t="shared" si="22"/>
        <v/>
      </c>
      <c r="F1441" s="95"/>
      <c r="G1441" s="93"/>
    </row>
    <row r="1442" spans="2:7" x14ac:dyDescent="0.2">
      <c r="B1442" s="92"/>
      <c r="C1442" s="93"/>
      <c r="D1442" s="93"/>
      <c r="E1442" s="94" t="str">
        <f t="shared" si="22"/>
        <v/>
      </c>
      <c r="F1442" s="95"/>
      <c r="G1442" s="93"/>
    </row>
    <row r="1443" spans="2:7" x14ac:dyDescent="0.2">
      <c r="B1443" s="92"/>
      <c r="C1443" s="93"/>
      <c r="D1443" s="93"/>
      <c r="E1443" s="94" t="str">
        <f t="shared" si="22"/>
        <v/>
      </c>
      <c r="F1443" s="95"/>
      <c r="G1443" s="93"/>
    </row>
    <row r="1444" spans="2:7" x14ac:dyDescent="0.2">
      <c r="B1444" s="92"/>
      <c r="C1444" s="93"/>
      <c r="D1444" s="93"/>
      <c r="E1444" s="94" t="str">
        <f t="shared" si="22"/>
        <v/>
      </c>
      <c r="F1444" s="95"/>
      <c r="G1444" s="93"/>
    </row>
    <row r="1445" spans="2:7" x14ac:dyDescent="0.2">
      <c r="B1445" s="92"/>
      <c r="C1445" s="93"/>
      <c r="D1445" s="93"/>
      <c r="E1445" s="94" t="str">
        <f t="shared" si="22"/>
        <v/>
      </c>
      <c r="F1445" s="95"/>
      <c r="G1445" s="93"/>
    </row>
    <row r="1446" spans="2:7" x14ac:dyDescent="0.2">
      <c r="B1446" s="92"/>
      <c r="C1446" s="93"/>
      <c r="D1446" s="93"/>
      <c r="E1446" s="94" t="str">
        <f t="shared" si="22"/>
        <v/>
      </c>
      <c r="F1446" s="95"/>
      <c r="G1446" s="93"/>
    </row>
    <row r="1447" spans="2:7" x14ac:dyDescent="0.2">
      <c r="B1447" s="92"/>
      <c r="C1447" s="93"/>
      <c r="D1447" s="93"/>
      <c r="E1447" s="94" t="str">
        <f t="shared" si="22"/>
        <v/>
      </c>
      <c r="F1447" s="95"/>
      <c r="G1447" s="93"/>
    </row>
    <row r="1448" spans="2:7" x14ac:dyDescent="0.2">
      <c r="B1448" s="92"/>
      <c r="C1448" s="93"/>
      <c r="D1448" s="93"/>
      <c r="E1448" s="94" t="str">
        <f t="shared" si="22"/>
        <v/>
      </c>
      <c r="F1448" s="95"/>
      <c r="G1448" s="93"/>
    </row>
    <row r="1449" spans="2:7" x14ac:dyDescent="0.2">
      <c r="B1449" s="92"/>
      <c r="C1449" s="93"/>
      <c r="D1449" s="93"/>
      <c r="E1449" s="94" t="str">
        <f t="shared" si="22"/>
        <v/>
      </c>
      <c r="F1449" s="95"/>
      <c r="G1449" s="93"/>
    </row>
    <row r="1450" spans="2:7" x14ac:dyDescent="0.2">
      <c r="B1450" s="92"/>
      <c r="C1450" s="93"/>
      <c r="D1450" s="93"/>
      <c r="E1450" s="94" t="str">
        <f t="shared" si="22"/>
        <v/>
      </c>
      <c r="F1450" s="95"/>
      <c r="G1450" s="93"/>
    </row>
    <row r="1451" spans="2:7" x14ac:dyDescent="0.2">
      <c r="B1451" s="92"/>
      <c r="C1451" s="93"/>
      <c r="D1451" s="93"/>
      <c r="E1451" s="94" t="str">
        <f t="shared" si="22"/>
        <v/>
      </c>
      <c r="F1451" s="95"/>
      <c r="G1451" s="93"/>
    </row>
    <row r="1452" spans="2:7" x14ac:dyDescent="0.2">
      <c r="B1452" s="92"/>
      <c r="C1452" s="93"/>
      <c r="D1452" s="93"/>
      <c r="E1452" s="94" t="str">
        <f t="shared" si="22"/>
        <v/>
      </c>
      <c r="F1452" s="95"/>
      <c r="G1452" s="93"/>
    </row>
    <row r="1453" spans="2:7" x14ac:dyDescent="0.2">
      <c r="B1453" s="92"/>
      <c r="C1453" s="93"/>
      <c r="D1453" s="93"/>
      <c r="E1453" s="94" t="str">
        <f t="shared" si="22"/>
        <v/>
      </c>
      <c r="F1453" s="95"/>
      <c r="G1453" s="93"/>
    </row>
    <row r="1454" spans="2:7" x14ac:dyDescent="0.2">
      <c r="B1454" s="92"/>
      <c r="C1454" s="93"/>
      <c r="D1454" s="93"/>
      <c r="E1454" s="94" t="str">
        <f t="shared" si="22"/>
        <v/>
      </c>
      <c r="F1454" s="95"/>
      <c r="G1454" s="93"/>
    </row>
    <row r="1455" spans="2:7" x14ac:dyDescent="0.2">
      <c r="B1455" s="92"/>
      <c r="C1455" s="93"/>
      <c r="D1455" s="93"/>
      <c r="E1455" s="94" t="str">
        <f t="shared" si="22"/>
        <v/>
      </c>
      <c r="F1455" s="95"/>
      <c r="G1455" s="93"/>
    </row>
    <row r="1456" spans="2:7" x14ac:dyDescent="0.2">
      <c r="B1456" s="92"/>
      <c r="C1456" s="93"/>
      <c r="D1456" s="93"/>
      <c r="E1456" s="94" t="str">
        <f t="shared" si="22"/>
        <v/>
      </c>
      <c r="F1456" s="95"/>
      <c r="G1456" s="93"/>
    </row>
    <row r="1457" spans="2:7" x14ac:dyDescent="0.2">
      <c r="B1457" s="92"/>
      <c r="C1457" s="93"/>
      <c r="D1457" s="93"/>
      <c r="E1457" s="94" t="str">
        <f t="shared" si="22"/>
        <v/>
      </c>
      <c r="F1457" s="95"/>
      <c r="G1457" s="93"/>
    </row>
    <row r="1458" spans="2:7" x14ac:dyDescent="0.2">
      <c r="B1458" s="92"/>
      <c r="C1458" s="93"/>
      <c r="D1458" s="93"/>
      <c r="E1458" s="94" t="str">
        <f t="shared" si="22"/>
        <v/>
      </c>
      <c r="F1458" s="95"/>
      <c r="G1458" s="93"/>
    </row>
    <row r="1459" spans="2:7" x14ac:dyDescent="0.2">
      <c r="B1459" s="92"/>
      <c r="C1459" s="93"/>
      <c r="D1459" s="93"/>
      <c r="E1459" s="94" t="str">
        <f t="shared" si="22"/>
        <v/>
      </c>
      <c r="F1459" s="95"/>
      <c r="G1459" s="93"/>
    </row>
    <row r="1460" spans="2:7" x14ac:dyDescent="0.2">
      <c r="B1460" s="92"/>
      <c r="C1460" s="93"/>
      <c r="D1460" s="93"/>
      <c r="E1460" s="94" t="str">
        <f t="shared" si="22"/>
        <v/>
      </c>
      <c r="F1460" s="95"/>
      <c r="G1460" s="93"/>
    </row>
    <row r="1461" spans="2:7" x14ac:dyDescent="0.2">
      <c r="B1461" s="92"/>
      <c r="C1461" s="93"/>
      <c r="D1461" s="93"/>
      <c r="E1461" s="94" t="str">
        <f t="shared" si="22"/>
        <v/>
      </c>
      <c r="F1461" s="95"/>
      <c r="G1461" s="93"/>
    </row>
    <row r="1462" spans="2:7" x14ac:dyDescent="0.2">
      <c r="B1462" s="92"/>
      <c r="C1462" s="93"/>
      <c r="D1462" s="93"/>
      <c r="E1462" s="94" t="str">
        <f t="shared" si="22"/>
        <v/>
      </c>
      <c r="F1462" s="95"/>
      <c r="G1462" s="93"/>
    </row>
    <row r="1463" spans="2:7" x14ac:dyDescent="0.2">
      <c r="B1463" s="92"/>
      <c r="C1463" s="93"/>
      <c r="D1463" s="93"/>
      <c r="E1463" s="94" t="str">
        <f t="shared" si="22"/>
        <v/>
      </c>
      <c r="F1463" s="95"/>
      <c r="G1463" s="93"/>
    </row>
    <row r="1464" spans="2:7" x14ac:dyDescent="0.2">
      <c r="B1464" s="92"/>
      <c r="C1464" s="93"/>
      <c r="D1464" s="93"/>
      <c r="E1464" s="94" t="str">
        <f t="shared" si="22"/>
        <v/>
      </c>
      <c r="F1464" s="95"/>
      <c r="G1464" s="93"/>
    </row>
    <row r="1465" spans="2:7" x14ac:dyDescent="0.2">
      <c r="B1465" s="92"/>
      <c r="C1465" s="93"/>
      <c r="D1465" s="93"/>
      <c r="E1465" s="94" t="str">
        <f t="shared" si="22"/>
        <v/>
      </c>
      <c r="F1465" s="95"/>
      <c r="G1465" s="93"/>
    </row>
    <row r="1466" spans="2:7" x14ac:dyDescent="0.2">
      <c r="B1466" s="92"/>
      <c r="C1466" s="93"/>
      <c r="D1466" s="93"/>
      <c r="E1466" s="94" t="str">
        <f t="shared" si="22"/>
        <v/>
      </c>
      <c r="F1466" s="95"/>
      <c r="G1466" s="93"/>
    </row>
    <row r="1467" spans="2:7" x14ac:dyDescent="0.2">
      <c r="B1467" s="92"/>
      <c r="C1467" s="93"/>
      <c r="D1467" s="93"/>
      <c r="E1467" s="94" t="str">
        <f t="shared" si="22"/>
        <v/>
      </c>
      <c r="F1467" s="95"/>
      <c r="G1467" s="93"/>
    </row>
    <row r="1468" spans="2:7" x14ac:dyDescent="0.2">
      <c r="B1468" s="92"/>
      <c r="C1468" s="93"/>
      <c r="D1468" s="93"/>
      <c r="E1468" s="94" t="str">
        <f t="shared" si="22"/>
        <v/>
      </c>
      <c r="F1468" s="95"/>
      <c r="G1468" s="93"/>
    </row>
    <row r="1469" spans="2:7" x14ac:dyDescent="0.2">
      <c r="B1469" s="92"/>
      <c r="C1469" s="93"/>
      <c r="D1469" s="93"/>
      <c r="E1469" s="94" t="str">
        <f t="shared" si="22"/>
        <v/>
      </c>
      <c r="F1469" s="95"/>
      <c r="G1469" s="93"/>
    </row>
    <row r="1470" spans="2:7" x14ac:dyDescent="0.2">
      <c r="B1470" s="92"/>
      <c r="C1470" s="93"/>
      <c r="D1470" s="93"/>
      <c r="E1470" s="94" t="str">
        <f t="shared" si="22"/>
        <v/>
      </c>
      <c r="F1470" s="95"/>
      <c r="G1470" s="93"/>
    </row>
    <row r="1471" spans="2:7" x14ac:dyDescent="0.2">
      <c r="B1471" s="92"/>
      <c r="C1471" s="93"/>
      <c r="D1471" s="93"/>
      <c r="E1471" s="94" t="str">
        <f t="shared" si="22"/>
        <v/>
      </c>
      <c r="F1471" s="95"/>
      <c r="G1471" s="93"/>
    </row>
    <row r="1472" spans="2:7" x14ac:dyDescent="0.2">
      <c r="B1472" s="92"/>
      <c r="C1472" s="93"/>
      <c r="D1472" s="93"/>
      <c r="E1472" s="94" t="str">
        <f t="shared" si="22"/>
        <v/>
      </c>
      <c r="F1472" s="95"/>
      <c r="G1472" s="93"/>
    </row>
    <row r="1473" spans="2:7" x14ac:dyDescent="0.2">
      <c r="B1473" s="92"/>
      <c r="C1473" s="93"/>
      <c r="D1473" s="93"/>
      <c r="E1473" s="94" t="str">
        <f t="shared" si="22"/>
        <v/>
      </c>
      <c r="F1473" s="95"/>
      <c r="G1473" s="93"/>
    </row>
    <row r="1474" spans="2:7" x14ac:dyDescent="0.2">
      <c r="B1474" s="92"/>
      <c r="C1474" s="93"/>
      <c r="D1474" s="93"/>
      <c r="E1474" s="94" t="str">
        <f t="shared" si="22"/>
        <v/>
      </c>
      <c r="F1474" s="95"/>
      <c r="G1474" s="93"/>
    </row>
    <row r="1475" spans="2:7" x14ac:dyDescent="0.2">
      <c r="B1475" s="92"/>
      <c r="C1475" s="93"/>
      <c r="D1475" s="93"/>
      <c r="E1475" s="94" t="str">
        <f t="shared" si="22"/>
        <v/>
      </c>
      <c r="F1475" s="95"/>
      <c r="G1475" s="93"/>
    </row>
    <row r="1476" spans="2:7" x14ac:dyDescent="0.2">
      <c r="B1476" s="92"/>
      <c r="C1476" s="93"/>
      <c r="D1476" s="93"/>
      <c r="E1476" s="94" t="str">
        <f t="shared" si="22"/>
        <v/>
      </c>
      <c r="F1476" s="95"/>
      <c r="G1476" s="93"/>
    </row>
    <row r="1477" spans="2:7" x14ac:dyDescent="0.2">
      <c r="B1477" s="92"/>
      <c r="C1477" s="93"/>
      <c r="D1477" s="93"/>
      <c r="E1477" s="94" t="str">
        <f t="shared" si="22"/>
        <v/>
      </c>
      <c r="F1477" s="95"/>
      <c r="G1477" s="93"/>
    </row>
    <row r="1478" spans="2:7" x14ac:dyDescent="0.2">
      <c r="B1478" s="92"/>
      <c r="C1478" s="93"/>
      <c r="D1478" s="93"/>
      <c r="E1478" s="94" t="str">
        <f t="shared" ref="E1478:E1541" si="23">IF(C1478&lt;&gt;"",D1478-C1478,"")</f>
        <v/>
      </c>
      <c r="F1478" s="95"/>
      <c r="G1478" s="93"/>
    </row>
    <row r="1479" spans="2:7" x14ac:dyDescent="0.2">
      <c r="B1479" s="92"/>
      <c r="C1479" s="93"/>
      <c r="D1479" s="93"/>
      <c r="E1479" s="94" t="str">
        <f t="shared" si="23"/>
        <v/>
      </c>
      <c r="F1479" s="95"/>
      <c r="G1479" s="93"/>
    </row>
    <row r="1480" spans="2:7" x14ac:dyDescent="0.2">
      <c r="B1480" s="92"/>
      <c r="C1480" s="93"/>
      <c r="D1480" s="93"/>
      <c r="E1480" s="94" t="str">
        <f t="shared" si="23"/>
        <v/>
      </c>
      <c r="F1480" s="95"/>
      <c r="G1480" s="93"/>
    </row>
    <row r="1481" spans="2:7" x14ac:dyDescent="0.2">
      <c r="B1481" s="92"/>
      <c r="C1481" s="93"/>
      <c r="D1481" s="93"/>
      <c r="E1481" s="94" t="str">
        <f t="shared" si="23"/>
        <v/>
      </c>
      <c r="F1481" s="95"/>
      <c r="G1481" s="93"/>
    </row>
    <row r="1482" spans="2:7" x14ac:dyDescent="0.2">
      <c r="B1482" s="92"/>
      <c r="C1482" s="93"/>
      <c r="D1482" s="93"/>
      <c r="E1482" s="94" t="str">
        <f t="shared" si="23"/>
        <v/>
      </c>
      <c r="F1482" s="95"/>
      <c r="G1482" s="93"/>
    </row>
    <row r="1483" spans="2:7" x14ac:dyDescent="0.2">
      <c r="B1483" s="92"/>
      <c r="C1483" s="93"/>
      <c r="D1483" s="93"/>
      <c r="E1483" s="94" t="str">
        <f t="shared" si="23"/>
        <v/>
      </c>
      <c r="F1483" s="95"/>
      <c r="G1483" s="93"/>
    </row>
    <row r="1484" spans="2:7" x14ac:dyDescent="0.2">
      <c r="B1484" s="92"/>
      <c r="C1484" s="93"/>
      <c r="D1484" s="93"/>
      <c r="E1484" s="94" t="str">
        <f t="shared" si="23"/>
        <v/>
      </c>
      <c r="F1484" s="95"/>
      <c r="G1484" s="93"/>
    </row>
    <row r="1485" spans="2:7" x14ac:dyDescent="0.2">
      <c r="B1485" s="92"/>
      <c r="C1485" s="93"/>
      <c r="D1485" s="93"/>
      <c r="E1485" s="94" t="str">
        <f t="shared" si="23"/>
        <v/>
      </c>
      <c r="F1485" s="95"/>
      <c r="G1485" s="93"/>
    </row>
    <row r="1486" spans="2:7" x14ac:dyDescent="0.2">
      <c r="B1486" s="92"/>
      <c r="C1486" s="93"/>
      <c r="D1486" s="93"/>
      <c r="E1486" s="94" t="str">
        <f t="shared" si="23"/>
        <v/>
      </c>
      <c r="F1486" s="95"/>
      <c r="G1486" s="93"/>
    </row>
    <row r="1487" spans="2:7" x14ac:dyDescent="0.2">
      <c r="B1487" s="92"/>
      <c r="C1487" s="93"/>
      <c r="D1487" s="93"/>
      <c r="E1487" s="94" t="str">
        <f t="shared" si="23"/>
        <v/>
      </c>
      <c r="F1487" s="95"/>
      <c r="G1487" s="93"/>
    </row>
    <row r="1488" spans="2:7" x14ac:dyDescent="0.2">
      <c r="B1488" s="92"/>
      <c r="C1488" s="93"/>
      <c r="D1488" s="93"/>
      <c r="E1488" s="94" t="str">
        <f t="shared" si="23"/>
        <v/>
      </c>
      <c r="F1488" s="95"/>
      <c r="G1488" s="93"/>
    </row>
    <row r="1489" spans="2:7" x14ac:dyDescent="0.2">
      <c r="B1489" s="92"/>
      <c r="C1489" s="93"/>
      <c r="D1489" s="93"/>
      <c r="E1489" s="94" t="str">
        <f t="shared" si="23"/>
        <v/>
      </c>
      <c r="F1489" s="95"/>
      <c r="G1489" s="93"/>
    </row>
    <row r="1490" spans="2:7" x14ac:dyDescent="0.2">
      <c r="B1490" s="92"/>
      <c r="C1490" s="93"/>
      <c r="D1490" s="93"/>
      <c r="E1490" s="94" t="str">
        <f t="shared" si="23"/>
        <v/>
      </c>
      <c r="F1490" s="95"/>
      <c r="G1490" s="93"/>
    </row>
    <row r="1491" spans="2:7" x14ac:dyDescent="0.2">
      <c r="B1491" s="92"/>
      <c r="C1491" s="93"/>
      <c r="D1491" s="93"/>
      <c r="E1491" s="94" t="str">
        <f t="shared" si="23"/>
        <v/>
      </c>
      <c r="F1491" s="95"/>
      <c r="G1491" s="93"/>
    </row>
    <row r="1492" spans="2:7" x14ac:dyDescent="0.2">
      <c r="B1492" s="92"/>
      <c r="C1492" s="93"/>
      <c r="D1492" s="93"/>
      <c r="E1492" s="94" t="str">
        <f t="shared" si="23"/>
        <v/>
      </c>
      <c r="F1492" s="95"/>
      <c r="G1492" s="93"/>
    </row>
    <row r="1493" spans="2:7" x14ac:dyDescent="0.2">
      <c r="B1493" s="92"/>
      <c r="C1493" s="93"/>
      <c r="D1493" s="93"/>
      <c r="E1493" s="94" t="str">
        <f t="shared" si="23"/>
        <v/>
      </c>
      <c r="F1493" s="95"/>
      <c r="G1493" s="93"/>
    </row>
    <row r="1494" spans="2:7" x14ac:dyDescent="0.2">
      <c r="B1494" s="92"/>
      <c r="C1494" s="93"/>
      <c r="D1494" s="93"/>
      <c r="E1494" s="94" t="str">
        <f t="shared" si="23"/>
        <v/>
      </c>
      <c r="F1494" s="95"/>
      <c r="G1494" s="93"/>
    </row>
    <row r="1495" spans="2:7" x14ac:dyDescent="0.2">
      <c r="B1495" s="92"/>
      <c r="C1495" s="93"/>
      <c r="D1495" s="93"/>
      <c r="E1495" s="94" t="str">
        <f t="shared" si="23"/>
        <v/>
      </c>
      <c r="F1495" s="95"/>
      <c r="G1495" s="93"/>
    </row>
    <row r="1496" spans="2:7" x14ac:dyDescent="0.2">
      <c r="B1496" s="92"/>
      <c r="C1496" s="93"/>
      <c r="D1496" s="93"/>
      <c r="E1496" s="94" t="str">
        <f t="shared" si="23"/>
        <v/>
      </c>
      <c r="F1496" s="95"/>
      <c r="G1496" s="93"/>
    </row>
    <row r="1497" spans="2:7" x14ac:dyDescent="0.2">
      <c r="B1497" s="92"/>
      <c r="C1497" s="93"/>
      <c r="D1497" s="93"/>
      <c r="E1497" s="94" t="str">
        <f t="shared" si="23"/>
        <v/>
      </c>
      <c r="F1497" s="95"/>
      <c r="G1497" s="93"/>
    </row>
    <row r="1498" spans="2:7" x14ac:dyDescent="0.2">
      <c r="B1498" s="92"/>
      <c r="C1498" s="93"/>
      <c r="D1498" s="93"/>
      <c r="E1498" s="94" t="str">
        <f t="shared" si="23"/>
        <v/>
      </c>
      <c r="F1498" s="95"/>
      <c r="G1498" s="93"/>
    </row>
    <row r="1499" spans="2:7" x14ac:dyDescent="0.2">
      <c r="B1499" s="92"/>
      <c r="C1499" s="93"/>
      <c r="D1499" s="93"/>
      <c r="E1499" s="94" t="str">
        <f t="shared" si="23"/>
        <v/>
      </c>
      <c r="F1499" s="95"/>
      <c r="G1499" s="93"/>
    </row>
    <row r="1500" spans="2:7" x14ac:dyDescent="0.2">
      <c r="B1500" s="92"/>
      <c r="C1500" s="93"/>
      <c r="D1500" s="93"/>
      <c r="E1500" s="94" t="str">
        <f t="shared" si="23"/>
        <v/>
      </c>
      <c r="F1500" s="95"/>
      <c r="G1500" s="93"/>
    </row>
    <row r="1501" spans="2:7" x14ac:dyDescent="0.2">
      <c r="B1501" s="92"/>
      <c r="C1501" s="93"/>
      <c r="D1501" s="93"/>
      <c r="E1501" s="94" t="str">
        <f t="shared" si="23"/>
        <v/>
      </c>
      <c r="F1501" s="95"/>
      <c r="G1501" s="93"/>
    </row>
    <row r="1502" spans="2:7" x14ac:dyDescent="0.2">
      <c r="B1502" s="92"/>
      <c r="C1502" s="93"/>
      <c r="D1502" s="93"/>
      <c r="E1502" s="94" t="str">
        <f t="shared" si="23"/>
        <v/>
      </c>
      <c r="F1502" s="95"/>
      <c r="G1502" s="93"/>
    </row>
    <row r="1503" spans="2:7" x14ac:dyDescent="0.2">
      <c r="B1503" s="92"/>
      <c r="C1503" s="93"/>
      <c r="D1503" s="93"/>
      <c r="E1503" s="94" t="str">
        <f t="shared" si="23"/>
        <v/>
      </c>
      <c r="F1503" s="95"/>
      <c r="G1503" s="93"/>
    </row>
    <row r="1504" spans="2:7" x14ac:dyDescent="0.2">
      <c r="B1504" s="92"/>
      <c r="C1504" s="93"/>
      <c r="D1504" s="93"/>
      <c r="E1504" s="94" t="str">
        <f t="shared" si="23"/>
        <v/>
      </c>
      <c r="F1504" s="95"/>
      <c r="G1504" s="93"/>
    </row>
    <row r="1505" spans="2:7" x14ac:dyDescent="0.2">
      <c r="B1505" s="92"/>
      <c r="C1505" s="93"/>
      <c r="D1505" s="93"/>
      <c r="E1505" s="94" t="str">
        <f t="shared" si="23"/>
        <v/>
      </c>
      <c r="F1505" s="95"/>
      <c r="G1505" s="93"/>
    </row>
    <row r="1506" spans="2:7" x14ac:dyDescent="0.2">
      <c r="B1506" s="92"/>
      <c r="C1506" s="93"/>
      <c r="D1506" s="93"/>
      <c r="E1506" s="94" t="str">
        <f t="shared" si="23"/>
        <v/>
      </c>
      <c r="F1506" s="95"/>
      <c r="G1506" s="93"/>
    </row>
    <row r="1507" spans="2:7" x14ac:dyDescent="0.2">
      <c r="B1507" s="92"/>
      <c r="C1507" s="93"/>
      <c r="D1507" s="93"/>
      <c r="E1507" s="94" t="str">
        <f t="shared" si="23"/>
        <v/>
      </c>
      <c r="F1507" s="95"/>
      <c r="G1507" s="93"/>
    </row>
    <row r="1508" spans="2:7" x14ac:dyDescent="0.2">
      <c r="B1508" s="92"/>
      <c r="C1508" s="93"/>
      <c r="D1508" s="93"/>
      <c r="E1508" s="94" t="str">
        <f t="shared" si="23"/>
        <v/>
      </c>
      <c r="F1508" s="95"/>
      <c r="G1508" s="93"/>
    </row>
    <row r="1509" spans="2:7" x14ac:dyDescent="0.2">
      <c r="B1509" s="92"/>
      <c r="C1509" s="93"/>
      <c r="D1509" s="93"/>
      <c r="E1509" s="94" t="str">
        <f t="shared" si="23"/>
        <v/>
      </c>
      <c r="F1509" s="95"/>
      <c r="G1509" s="93"/>
    </row>
    <row r="1510" spans="2:7" x14ac:dyDescent="0.2">
      <c r="B1510" s="92"/>
      <c r="C1510" s="93"/>
      <c r="D1510" s="93"/>
      <c r="E1510" s="94" t="str">
        <f t="shared" si="23"/>
        <v/>
      </c>
      <c r="F1510" s="95"/>
      <c r="G1510" s="93"/>
    </row>
    <row r="1511" spans="2:7" x14ac:dyDescent="0.2">
      <c r="B1511" s="92"/>
      <c r="C1511" s="93"/>
      <c r="D1511" s="93"/>
      <c r="E1511" s="94" t="str">
        <f t="shared" si="23"/>
        <v/>
      </c>
      <c r="F1511" s="95"/>
      <c r="G1511" s="93"/>
    </row>
    <row r="1512" spans="2:7" x14ac:dyDescent="0.2">
      <c r="B1512" s="92"/>
      <c r="C1512" s="93"/>
      <c r="D1512" s="93"/>
      <c r="E1512" s="94" t="str">
        <f t="shared" si="23"/>
        <v/>
      </c>
      <c r="F1512" s="95"/>
      <c r="G1512" s="93"/>
    </row>
    <row r="1513" spans="2:7" x14ac:dyDescent="0.2">
      <c r="B1513" s="92"/>
      <c r="C1513" s="93"/>
      <c r="D1513" s="93"/>
      <c r="E1513" s="94" t="str">
        <f t="shared" si="23"/>
        <v/>
      </c>
      <c r="F1513" s="95"/>
      <c r="G1513" s="93"/>
    </row>
    <row r="1514" spans="2:7" x14ac:dyDescent="0.2">
      <c r="B1514" s="92"/>
      <c r="C1514" s="93"/>
      <c r="D1514" s="93"/>
      <c r="E1514" s="94" t="str">
        <f t="shared" si="23"/>
        <v/>
      </c>
      <c r="F1514" s="95"/>
      <c r="G1514" s="93"/>
    </row>
    <row r="1515" spans="2:7" x14ac:dyDescent="0.2">
      <c r="B1515" s="92"/>
      <c r="C1515" s="93"/>
      <c r="D1515" s="93"/>
      <c r="E1515" s="94" t="str">
        <f t="shared" si="23"/>
        <v/>
      </c>
      <c r="F1515" s="95"/>
      <c r="G1515" s="93"/>
    </row>
    <row r="1516" spans="2:7" x14ac:dyDescent="0.2">
      <c r="B1516" s="92"/>
      <c r="C1516" s="93"/>
      <c r="D1516" s="93"/>
      <c r="E1516" s="94" t="str">
        <f t="shared" si="23"/>
        <v/>
      </c>
      <c r="F1516" s="95"/>
      <c r="G1516" s="93"/>
    </row>
    <row r="1517" spans="2:7" x14ac:dyDescent="0.2">
      <c r="B1517" s="92"/>
      <c r="C1517" s="93"/>
      <c r="D1517" s="93"/>
      <c r="E1517" s="94" t="str">
        <f t="shared" si="23"/>
        <v/>
      </c>
      <c r="F1517" s="95"/>
      <c r="G1517" s="93"/>
    </row>
    <row r="1518" spans="2:7" x14ac:dyDescent="0.2">
      <c r="B1518" s="92"/>
      <c r="C1518" s="93"/>
      <c r="D1518" s="93"/>
      <c r="E1518" s="94" t="str">
        <f t="shared" si="23"/>
        <v/>
      </c>
      <c r="F1518" s="95"/>
      <c r="G1518" s="93"/>
    </row>
    <row r="1519" spans="2:7" x14ac:dyDescent="0.2">
      <c r="B1519" s="92"/>
      <c r="C1519" s="93"/>
      <c r="D1519" s="93"/>
      <c r="E1519" s="94" t="str">
        <f t="shared" si="23"/>
        <v/>
      </c>
      <c r="F1519" s="95"/>
      <c r="G1519" s="93"/>
    </row>
    <row r="1520" spans="2:7" x14ac:dyDescent="0.2">
      <c r="B1520" s="92"/>
      <c r="C1520" s="93"/>
      <c r="D1520" s="93"/>
      <c r="E1520" s="94" t="str">
        <f t="shared" si="23"/>
        <v/>
      </c>
      <c r="F1520" s="95"/>
      <c r="G1520" s="93"/>
    </row>
    <row r="1521" spans="2:7" x14ac:dyDescent="0.2">
      <c r="B1521" s="92"/>
      <c r="C1521" s="93"/>
      <c r="D1521" s="93"/>
      <c r="E1521" s="94" t="str">
        <f t="shared" si="23"/>
        <v/>
      </c>
      <c r="F1521" s="95"/>
      <c r="G1521" s="93"/>
    </row>
    <row r="1522" spans="2:7" x14ac:dyDescent="0.2">
      <c r="B1522" s="92"/>
      <c r="C1522" s="93"/>
      <c r="D1522" s="93"/>
      <c r="E1522" s="94" t="str">
        <f t="shared" si="23"/>
        <v/>
      </c>
      <c r="F1522" s="95"/>
      <c r="G1522" s="93"/>
    </row>
    <row r="1523" spans="2:7" x14ac:dyDescent="0.2">
      <c r="B1523" s="92"/>
      <c r="C1523" s="93"/>
      <c r="D1523" s="93"/>
      <c r="E1523" s="94" t="str">
        <f t="shared" si="23"/>
        <v/>
      </c>
      <c r="F1523" s="95"/>
      <c r="G1523" s="93"/>
    </row>
    <row r="1524" spans="2:7" x14ac:dyDescent="0.2">
      <c r="B1524" s="92"/>
      <c r="C1524" s="93"/>
      <c r="D1524" s="93"/>
      <c r="E1524" s="94" t="str">
        <f t="shared" si="23"/>
        <v/>
      </c>
      <c r="F1524" s="95"/>
      <c r="G1524" s="93"/>
    </row>
    <row r="1525" spans="2:7" x14ac:dyDescent="0.2">
      <c r="B1525" s="92"/>
      <c r="C1525" s="93"/>
      <c r="D1525" s="93"/>
      <c r="E1525" s="94" t="str">
        <f t="shared" si="23"/>
        <v/>
      </c>
      <c r="F1525" s="95"/>
      <c r="G1525" s="93"/>
    </row>
    <row r="1526" spans="2:7" x14ac:dyDescent="0.2">
      <c r="B1526" s="92"/>
      <c r="C1526" s="93"/>
      <c r="D1526" s="93"/>
      <c r="E1526" s="94" t="str">
        <f t="shared" si="23"/>
        <v/>
      </c>
      <c r="F1526" s="95"/>
      <c r="G1526" s="93"/>
    </row>
    <row r="1527" spans="2:7" x14ac:dyDescent="0.2">
      <c r="B1527" s="92"/>
      <c r="C1527" s="93"/>
      <c r="D1527" s="93"/>
      <c r="E1527" s="94" t="str">
        <f t="shared" si="23"/>
        <v/>
      </c>
      <c r="F1527" s="95"/>
      <c r="G1527" s="93"/>
    </row>
    <row r="1528" spans="2:7" x14ac:dyDescent="0.2">
      <c r="B1528" s="92"/>
      <c r="C1528" s="93"/>
      <c r="D1528" s="93"/>
      <c r="E1528" s="94" t="str">
        <f t="shared" si="23"/>
        <v/>
      </c>
      <c r="F1528" s="95"/>
      <c r="G1528" s="93"/>
    </row>
    <row r="1529" spans="2:7" x14ac:dyDescent="0.2">
      <c r="B1529" s="92"/>
      <c r="C1529" s="93"/>
      <c r="D1529" s="93"/>
      <c r="E1529" s="94" t="str">
        <f t="shared" si="23"/>
        <v/>
      </c>
      <c r="F1529" s="95"/>
      <c r="G1529" s="93"/>
    </row>
    <row r="1530" spans="2:7" x14ac:dyDescent="0.2">
      <c r="B1530" s="92"/>
      <c r="C1530" s="93"/>
      <c r="D1530" s="93"/>
      <c r="E1530" s="94" t="str">
        <f t="shared" si="23"/>
        <v/>
      </c>
      <c r="F1530" s="95"/>
      <c r="G1530" s="93"/>
    </row>
    <row r="1531" spans="2:7" x14ac:dyDescent="0.2">
      <c r="B1531" s="92"/>
      <c r="C1531" s="93"/>
      <c r="D1531" s="93"/>
      <c r="E1531" s="94" t="str">
        <f t="shared" si="23"/>
        <v/>
      </c>
      <c r="F1531" s="95"/>
      <c r="G1531" s="93"/>
    </row>
    <row r="1532" spans="2:7" x14ac:dyDescent="0.2">
      <c r="B1532" s="92"/>
      <c r="C1532" s="93"/>
      <c r="D1532" s="93"/>
      <c r="E1532" s="94" t="str">
        <f t="shared" si="23"/>
        <v/>
      </c>
      <c r="F1532" s="95"/>
      <c r="G1532" s="93"/>
    </row>
    <row r="1533" spans="2:7" x14ac:dyDescent="0.2">
      <c r="B1533" s="92"/>
      <c r="C1533" s="93"/>
      <c r="D1533" s="93"/>
      <c r="E1533" s="94" t="str">
        <f t="shared" si="23"/>
        <v/>
      </c>
      <c r="F1533" s="95"/>
      <c r="G1533" s="93"/>
    </row>
    <row r="1534" spans="2:7" x14ac:dyDescent="0.2">
      <c r="B1534" s="92"/>
      <c r="C1534" s="93"/>
      <c r="D1534" s="93"/>
      <c r="E1534" s="94" t="str">
        <f t="shared" si="23"/>
        <v/>
      </c>
      <c r="F1534" s="95"/>
      <c r="G1534" s="93"/>
    </row>
    <row r="1535" spans="2:7" x14ac:dyDescent="0.2">
      <c r="B1535" s="92"/>
      <c r="C1535" s="93"/>
      <c r="D1535" s="93"/>
      <c r="E1535" s="94" t="str">
        <f t="shared" si="23"/>
        <v/>
      </c>
      <c r="F1535" s="95"/>
      <c r="G1535" s="93"/>
    </row>
    <row r="1536" spans="2:7" x14ac:dyDescent="0.2">
      <c r="B1536" s="92"/>
      <c r="C1536" s="93"/>
      <c r="D1536" s="93"/>
      <c r="E1536" s="94" t="str">
        <f t="shared" si="23"/>
        <v/>
      </c>
      <c r="F1536" s="95"/>
      <c r="G1536" s="93"/>
    </row>
    <row r="1537" spans="2:7" x14ac:dyDescent="0.2">
      <c r="B1537" s="92"/>
      <c r="C1537" s="93"/>
      <c r="D1537" s="93"/>
      <c r="E1537" s="94" t="str">
        <f t="shared" si="23"/>
        <v/>
      </c>
      <c r="F1537" s="95"/>
      <c r="G1537" s="93"/>
    </row>
    <row r="1538" spans="2:7" x14ac:dyDescent="0.2">
      <c r="B1538" s="92"/>
      <c r="C1538" s="93"/>
      <c r="D1538" s="93"/>
      <c r="E1538" s="94" t="str">
        <f t="shared" si="23"/>
        <v/>
      </c>
      <c r="F1538" s="95"/>
      <c r="G1538" s="93"/>
    </row>
    <row r="1539" spans="2:7" x14ac:dyDescent="0.2">
      <c r="B1539" s="92"/>
      <c r="C1539" s="93"/>
      <c r="D1539" s="93"/>
      <c r="E1539" s="94" t="str">
        <f t="shared" si="23"/>
        <v/>
      </c>
      <c r="F1539" s="95"/>
      <c r="G1539" s="93"/>
    </row>
    <row r="1540" spans="2:7" x14ac:dyDescent="0.2">
      <c r="B1540" s="92"/>
      <c r="C1540" s="93"/>
      <c r="D1540" s="93"/>
      <c r="E1540" s="94" t="str">
        <f t="shared" si="23"/>
        <v/>
      </c>
      <c r="F1540" s="95"/>
      <c r="G1540" s="93"/>
    </row>
    <row r="1541" spans="2:7" x14ac:dyDescent="0.2">
      <c r="B1541" s="92"/>
      <c r="C1541" s="93"/>
      <c r="D1541" s="93"/>
      <c r="E1541" s="94" t="str">
        <f t="shared" si="23"/>
        <v/>
      </c>
      <c r="F1541" s="95"/>
      <c r="G1541" s="93"/>
    </row>
    <row r="1542" spans="2:7" x14ac:dyDescent="0.2">
      <c r="B1542" s="92"/>
      <c r="C1542" s="93"/>
      <c r="D1542" s="93"/>
      <c r="E1542" s="94" t="str">
        <f t="shared" ref="E1542:E1605" si="24">IF(C1542&lt;&gt;"",D1542-C1542,"")</f>
        <v/>
      </c>
      <c r="F1542" s="95"/>
      <c r="G1542" s="93"/>
    </row>
    <row r="1543" spans="2:7" x14ac:dyDescent="0.2">
      <c r="B1543" s="92"/>
      <c r="C1543" s="93"/>
      <c r="D1543" s="93"/>
      <c r="E1543" s="94" t="str">
        <f t="shared" si="24"/>
        <v/>
      </c>
      <c r="F1543" s="95"/>
      <c r="G1543" s="93"/>
    </row>
    <row r="1544" spans="2:7" x14ac:dyDescent="0.2">
      <c r="B1544" s="92"/>
      <c r="C1544" s="93"/>
      <c r="D1544" s="93"/>
      <c r="E1544" s="94" t="str">
        <f t="shared" si="24"/>
        <v/>
      </c>
      <c r="F1544" s="95"/>
      <c r="G1544" s="93"/>
    </row>
    <row r="1545" spans="2:7" x14ac:dyDescent="0.2">
      <c r="B1545" s="92"/>
      <c r="C1545" s="93"/>
      <c r="D1545" s="93"/>
      <c r="E1545" s="94" t="str">
        <f t="shared" si="24"/>
        <v/>
      </c>
      <c r="F1545" s="95"/>
      <c r="G1545" s="93"/>
    </row>
    <row r="1546" spans="2:7" x14ac:dyDescent="0.2">
      <c r="B1546" s="92"/>
      <c r="C1546" s="93"/>
      <c r="D1546" s="93"/>
      <c r="E1546" s="94" t="str">
        <f t="shared" si="24"/>
        <v/>
      </c>
      <c r="F1546" s="95"/>
      <c r="G1546" s="93"/>
    </row>
    <row r="1547" spans="2:7" x14ac:dyDescent="0.2">
      <c r="B1547" s="92"/>
      <c r="C1547" s="93"/>
      <c r="D1547" s="93"/>
      <c r="E1547" s="94" t="str">
        <f t="shared" si="24"/>
        <v/>
      </c>
      <c r="F1547" s="95"/>
      <c r="G1547" s="93"/>
    </row>
    <row r="1548" spans="2:7" x14ac:dyDescent="0.2">
      <c r="B1548" s="92"/>
      <c r="C1548" s="93"/>
      <c r="D1548" s="93"/>
      <c r="E1548" s="94" t="str">
        <f t="shared" si="24"/>
        <v/>
      </c>
      <c r="F1548" s="95"/>
      <c r="G1548" s="93"/>
    </row>
    <row r="1549" spans="2:7" x14ac:dyDescent="0.2">
      <c r="B1549" s="92"/>
      <c r="C1549" s="93"/>
      <c r="D1549" s="93"/>
      <c r="E1549" s="94" t="str">
        <f t="shared" si="24"/>
        <v/>
      </c>
      <c r="F1549" s="95"/>
      <c r="G1549" s="93"/>
    </row>
    <row r="1550" spans="2:7" x14ac:dyDescent="0.2">
      <c r="B1550" s="92"/>
      <c r="C1550" s="93"/>
      <c r="D1550" s="93"/>
      <c r="E1550" s="94" t="str">
        <f t="shared" si="24"/>
        <v/>
      </c>
      <c r="F1550" s="95"/>
      <c r="G1550" s="93"/>
    </row>
    <row r="1551" spans="2:7" x14ac:dyDescent="0.2">
      <c r="B1551" s="92"/>
      <c r="C1551" s="93"/>
      <c r="D1551" s="93"/>
      <c r="E1551" s="94" t="str">
        <f t="shared" si="24"/>
        <v/>
      </c>
      <c r="F1551" s="95"/>
      <c r="G1551" s="93"/>
    </row>
    <row r="1552" spans="2:7" x14ac:dyDescent="0.2">
      <c r="B1552" s="92"/>
      <c r="C1552" s="93"/>
      <c r="D1552" s="93"/>
      <c r="E1552" s="94" t="str">
        <f t="shared" si="24"/>
        <v/>
      </c>
      <c r="F1552" s="95"/>
      <c r="G1552" s="93"/>
    </row>
    <row r="1553" spans="2:7" x14ac:dyDescent="0.2">
      <c r="B1553" s="92"/>
      <c r="C1553" s="93"/>
      <c r="D1553" s="93"/>
      <c r="E1553" s="94" t="str">
        <f t="shared" si="24"/>
        <v/>
      </c>
      <c r="F1553" s="95"/>
      <c r="G1553" s="93"/>
    </row>
    <row r="1554" spans="2:7" x14ac:dyDescent="0.2">
      <c r="B1554" s="92"/>
      <c r="C1554" s="93"/>
      <c r="D1554" s="93"/>
      <c r="E1554" s="94" t="str">
        <f t="shared" si="24"/>
        <v/>
      </c>
      <c r="F1554" s="95"/>
      <c r="G1554" s="93"/>
    </row>
    <row r="1555" spans="2:7" x14ac:dyDescent="0.2">
      <c r="B1555" s="92"/>
      <c r="C1555" s="93"/>
      <c r="D1555" s="93"/>
      <c r="E1555" s="94" t="str">
        <f t="shared" si="24"/>
        <v/>
      </c>
      <c r="F1555" s="95"/>
      <c r="G1555" s="93"/>
    </row>
    <row r="1556" spans="2:7" x14ac:dyDescent="0.2">
      <c r="B1556" s="92"/>
      <c r="C1556" s="93"/>
      <c r="D1556" s="93"/>
      <c r="E1556" s="94" t="str">
        <f t="shared" si="24"/>
        <v/>
      </c>
      <c r="F1556" s="95"/>
      <c r="G1556" s="93"/>
    </row>
    <row r="1557" spans="2:7" x14ac:dyDescent="0.2">
      <c r="B1557" s="92"/>
      <c r="C1557" s="93"/>
      <c r="D1557" s="93"/>
      <c r="E1557" s="94" t="str">
        <f t="shared" si="24"/>
        <v/>
      </c>
      <c r="F1557" s="95"/>
      <c r="G1557" s="93"/>
    </row>
    <row r="1558" spans="2:7" x14ac:dyDescent="0.2">
      <c r="B1558" s="92"/>
      <c r="C1558" s="93"/>
      <c r="D1558" s="93"/>
      <c r="E1558" s="94" t="str">
        <f t="shared" si="24"/>
        <v/>
      </c>
      <c r="F1558" s="95"/>
      <c r="G1558" s="93"/>
    </row>
    <row r="1559" spans="2:7" x14ac:dyDescent="0.2">
      <c r="B1559" s="92"/>
      <c r="C1559" s="93"/>
      <c r="D1559" s="93"/>
      <c r="E1559" s="94" t="str">
        <f t="shared" si="24"/>
        <v/>
      </c>
      <c r="F1559" s="95"/>
      <c r="G1559" s="93"/>
    </row>
    <row r="1560" spans="2:7" x14ac:dyDescent="0.2">
      <c r="B1560" s="92"/>
      <c r="C1560" s="93"/>
      <c r="D1560" s="93"/>
      <c r="E1560" s="94" t="str">
        <f t="shared" si="24"/>
        <v/>
      </c>
      <c r="F1560" s="95"/>
      <c r="G1560" s="93"/>
    </row>
    <row r="1561" spans="2:7" x14ac:dyDescent="0.2">
      <c r="B1561" s="92"/>
      <c r="C1561" s="93"/>
      <c r="D1561" s="93"/>
      <c r="E1561" s="94" t="str">
        <f t="shared" si="24"/>
        <v/>
      </c>
      <c r="F1561" s="95"/>
      <c r="G1561" s="93"/>
    </row>
    <row r="1562" spans="2:7" x14ac:dyDescent="0.2">
      <c r="B1562" s="92"/>
      <c r="C1562" s="93"/>
      <c r="D1562" s="93"/>
      <c r="E1562" s="94" t="str">
        <f t="shared" si="24"/>
        <v/>
      </c>
      <c r="F1562" s="95"/>
      <c r="G1562" s="93"/>
    </row>
    <row r="1563" spans="2:7" x14ac:dyDescent="0.2">
      <c r="B1563" s="92"/>
      <c r="C1563" s="93"/>
      <c r="D1563" s="93"/>
      <c r="E1563" s="94" t="str">
        <f t="shared" si="24"/>
        <v/>
      </c>
      <c r="F1563" s="95"/>
      <c r="G1563" s="93"/>
    </row>
    <row r="1564" spans="2:7" x14ac:dyDescent="0.2">
      <c r="B1564" s="92"/>
      <c r="C1564" s="93"/>
      <c r="D1564" s="93"/>
      <c r="E1564" s="94" t="str">
        <f t="shared" si="24"/>
        <v/>
      </c>
      <c r="F1564" s="95"/>
      <c r="G1564" s="93"/>
    </row>
    <row r="1565" spans="2:7" x14ac:dyDescent="0.2">
      <c r="B1565" s="92"/>
      <c r="C1565" s="93"/>
      <c r="D1565" s="93"/>
      <c r="E1565" s="94" t="str">
        <f t="shared" si="24"/>
        <v/>
      </c>
      <c r="F1565" s="95"/>
      <c r="G1565" s="93"/>
    </row>
    <row r="1566" spans="2:7" x14ac:dyDescent="0.2">
      <c r="B1566" s="92"/>
      <c r="C1566" s="93"/>
      <c r="D1566" s="93"/>
      <c r="E1566" s="94" t="str">
        <f t="shared" si="24"/>
        <v/>
      </c>
      <c r="F1566" s="95"/>
      <c r="G1566" s="93"/>
    </row>
    <row r="1567" spans="2:7" x14ac:dyDescent="0.2">
      <c r="B1567" s="92"/>
      <c r="C1567" s="93"/>
      <c r="D1567" s="93"/>
      <c r="E1567" s="94" t="str">
        <f t="shared" si="24"/>
        <v/>
      </c>
      <c r="F1567" s="95"/>
      <c r="G1567" s="93"/>
    </row>
    <row r="1568" spans="2:7" x14ac:dyDescent="0.2">
      <c r="B1568" s="92"/>
      <c r="C1568" s="93"/>
      <c r="D1568" s="93"/>
      <c r="E1568" s="94" t="str">
        <f t="shared" si="24"/>
        <v/>
      </c>
      <c r="F1568" s="95"/>
      <c r="G1568" s="93"/>
    </row>
    <row r="1569" spans="2:7" x14ac:dyDescent="0.2">
      <c r="B1569" s="92"/>
      <c r="C1569" s="93"/>
      <c r="D1569" s="93"/>
      <c r="E1569" s="94" t="str">
        <f t="shared" si="24"/>
        <v/>
      </c>
      <c r="F1569" s="95"/>
      <c r="G1569" s="93"/>
    </row>
    <row r="1570" spans="2:7" x14ac:dyDescent="0.2">
      <c r="B1570" s="92"/>
      <c r="C1570" s="93"/>
      <c r="D1570" s="93"/>
      <c r="E1570" s="94" t="str">
        <f t="shared" si="24"/>
        <v/>
      </c>
      <c r="F1570" s="95"/>
      <c r="G1570" s="93"/>
    </row>
    <row r="1571" spans="2:7" x14ac:dyDescent="0.2">
      <c r="B1571" s="92"/>
      <c r="C1571" s="93"/>
      <c r="D1571" s="93"/>
      <c r="E1571" s="94" t="str">
        <f t="shared" si="24"/>
        <v/>
      </c>
      <c r="F1571" s="95"/>
      <c r="G1571" s="93"/>
    </row>
    <row r="1572" spans="2:7" x14ac:dyDescent="0.2">
      <c r="B1572" s="92"/>
      <c r="C1572" s="93"/>
      <c r="D1572" s="93"/>
      <c r="E1572" s="94" t="str">
        <f t="shared" si="24"/>
        <v/>
      </c>
      <c r="F1572" s="95"/>
      <c r="G1572" s="93"/>
    </row>
    <row r="1573" spans="2:7" x14ac:dyDescent="0.2">
      <c r="B1573" s="92"/>
      <c r="C1573" s="93"/>
      <c r="D1573" s="93"/>
      <c r="E1573" s="94" t="str">
        <f t="shared" si="24"/>
        <v/>
      </c>
      <c r="F1573" s="95"/>
      <c r="G1573" s="93"/>
    </row>
    <row r="1574" spans="2:7" x14ac:dyDescent="0.2">
      <c r="B1574" s="92"/>
      <c r="C1574" s="93"/>
      <c r="D1574" s="93"/>
      <c r="E1574" s="94" t="str">
        <f t="shared" si="24"/>
        <v/>
      </c>
      <c r="F1574" s="95"/>
      <c r="G1574" s="93"/>
    </row>
    <row r="1575" spans="2:7" x14ac:dyDescent="0.2">
      <c r="B1575" s="92"/>
      <c r="C1575" s="93"/>
      <c r="D1575" s="93"/>
      <c r="E1575" s="94" t="str">
        <f t="shared" si="24"/>
        <v/>
      </c>
      <c r="F1575" s="95"/>
      <c r="G1575" s="93"/>
    </row>
    <row r="1576" spans="2:7" x14ac:dyDescent="0.2">
      <c r="B1576" s="92"/>
      <c r="C1576" s="93"/>
      <c r="D1576" s="93"/>
      <c r="E1576" s="94" t="str">
        <f t="shared" si="24"/>
        <v/>
      </c>
      <c r="F1576" s="95"/>
      <c r="G1576" s="93"/>
    </row>
    <row r="1577" spans="2:7" x14ac:dyDescent="0.2">
      <c r="B1577" s="92"/>
      <c r="C1577" s="93"/>
      <c r="D1577" s="93"/>
      <c r="E1577" s="94" t="str">
        <f t="shared" si="24"/>
        <v/>
      </c>
      <c r="F1577" s="95"/>
      <c r="G1577" s="93"/>
    </row>
    <row r="1578" spans="2:7" x14ac:dyDescent="0.2">
      <c r="B1578" s="92"/>
      <c r="C1578" s="93"/>
      <c r="D1578" s="93"/>
      <c r="E1578" s="94" t="str">
        <f t="shared" si="24"/>
        <v/>
      </c>
      <c r="F1578" s="95"/>
      <c r="G1578" s="93"/>
    </row>
    <row r="1579" spans="2:7" x14ac:dyDescent="0.2">
      <c r="B1579" s="92"/>
      <c r="C1579" s="93"/>
      <c r="D1579" s="93"/>
      <c r="E1579" s="94" t="str">
        <f t="shared" si="24"/>
        <v/>
      </c>
      <c r="F1579" s="95"/>
      <c r="G1579" s="93"/>
    </row>
    <row r="1580" spans="2:7" x14ac:dyDescent="0.2">
      <c r="B1580" s="92"/>
      <c r="C1580" s="93"/>
      <c r="D1580" s="93"/>
      <c r="E1580" s="94" t="str">
        <f t="shared" si="24"/>
        <v/>
      </c>
      <c r="F1580" s="95"/>
      <c r="G1580" s="93"/>
    </row>
    <row r="1581" spans="2:7" x14ac:dyDescent="0.2">
      <c r="B1581" s="92"/>
      <c r="C1581" s="93"/>
      <c r="D1581" s="93"/>
      <c r="E1581" s="94" t="str">
        <f t="shared" si="24"/>
        <v/>
      </c>
      <c r="F1581" s="95"/>
      <c r="G1581" s="93"/>
    </row>
    <row r="1582" spans="2:7" x14ac:dyDescent="0.2">
      <c r="B1582" s="92"/>
      <c r="C1582" s="93"/>
      <c r="D1582" s="93"/>
      <c r="E1582" s="94" t="str">
        <f t="shared" si="24"/>
        <v/>
      </c>
      <c r="F1582" s="95"/>
      <c r="G1582" s="93"/>
    </row>
    <row r="1583" spans="2:7" x14ac:dyDescent="0.2">
      <c r="B1583" s="92"/>
      <c r="C1583" s="93"/>
      <c r="D1583" s="93"/>
      <c r="E1583" s="94" t="str">
        <f t="shared" si="24"/>
        <v/>
      </c>
      <c r="F1583" s="95"/>
      <c r="G1583" s="93"/>
    </row>
    <row r="1584" spans="2:7" x14ac:dyDescent="0.2">
      <c r="B1584" s="92"/>
      <c r="C1584" s="93"/>
      <c r="D1584" s="93"/>
      <c r="E1584" s="94" t="str">
        <f t="shared" si="24"/>
        <v/>
      </c>
      <c r="F1584" s="95"/>
      <c r="G1584" s="93"/>
    </row>
    <row r="1585" spans="2:7" x14ac:dyDescent="0.2">
      <c r="B1585" s="92"/>
      <c r="C1585" s="93"/>
      <c r="D1585" s="93"/>
      <c r="E1585" s="94" t="str">
        <f t="shared" si="24"/>
        <v/>
      </c>
      <c r="F1585" s="95"/>
      <c r="G1585" s="93"/>
    </row>
    <row r="1586" spans="2:7" x14ac:dyDescent="0.2">
      <c r="B1586" s="92"/>
      <c r="C1586" s="93"/>
      <c r="D1586" s="93"/>
      <c r="E1586" s="94" t="str">
        <f t="shared" si="24"/>
        <v/>
      </c>
      <c r="F1586" s="95"/>
      <c r="G1586" s="93"/>
    </row>
    <row r="1587" spans="2:7" x14ac:dyDescent="0.2">
      <c r="B1587" s="92"/>
      <c r="C1587" s="93"/>
      <c r="D1587" s="93"/>
      <c r="E1587" s="94" t="str">
        <f t="shared" si="24"/>
        <v/>
      </c>
      <c r="F1587" s="95"/>
      <c r="G1587" s="93"/>
    </row>
    <row r="1588" spans="2:7" x14ac:dyDescent="0.2">
      <c r="B1588" s="92"/>
      <c r="C1588" s="93"/>
      <c r="D1588" s="93"/>
      <c r="E1588" s="94" t="str">
        <f t="shared" si="24"/>
        <v/>
      </c>
      <c r="F1588" s="95"/>
      <c r="G1588" s="93"/>
    </row>
    <row r="1589" spans="2:7" x14ac:dyDescent="0.2">
      <c r="B1589" s="92"/>
      <c r="C1589" s="93"/>
      <c r="D1589" s="93"/>
      <c r="E1589" s="94" t="str">
        <f t="shared" si="24"/>
        <v/>
      </c>
      <c r="F1589" s="95"/>
      <c r="G1589" s="93"/>
    </row>
    <row r="1590" spans="2:7" x14ac:dyDescent="0.2">
      <c r="B1590" s="92"/>
      <c r="C1590" s="93"/>
      <c r="D1590" s="93"/>
      <c r="E1590" s="94" t="str">
        <f t="shared" si="24"/>
        <v/>
      </c>
      <c r="F1590" s="95"/>
      <c r="G1590" s="93"/>
    </row>
    <row r="1591" spans="2:7" x14ac:dyDescent="0.2">
      <c r="B1591" s="92"/>
      <c r="C1591" s="93"/>
      <c r="D1591" s="93"/>
      <c r="E1591" s="94" t="str">
        <f t="shared" si="24"/>
        <v/>
      </c>
      <c r="F1591" s="95"/>
      <c r="G1591" s="93"/>
    </row>
    <row r="1592" spans="2:7" x14ac:dyDescent="0.2">
      <c r="B1592" s="92"/>
      <c r="C1592" s="93"/>
      <c r="D1592" s="93"/>
      <c r="E1592" s="94" t="str">
        <f t="shared" si="24"/>
        <v/>
      </c>
      <c r="F1592" s="95"/>
      <c r="G1592" s="93"/>
    </row>
    <row r="1593" spans="2:7" x14ac:dyDescent="0.2">
      <c r="B1593" s="92"/>
      <c r="C1593" s="93"/>
      <c r="D1593" s="93"/>
      <c r="E1593" s="94" t="str">
        <f t="shared" si="24"/>
        <v/>
      </c>
      <c r="F1593" s="95"/>
      <c r="G1593" s="93"/>
    </row>
    <row r="1594" spans="2:7" x14ac:dyDescent="0.2">
      <c r="B1594" s="92"/>
      <c r="C1594" s="93"/>
      <c r="D1594" s="93"/>
      <c r="E1594" s="94" t="str">
        <f t="shared" si="24"/>
        <v/>
      </c>
      <c r="F1594" s="95"/>
      <c r="G1594" s="93"/>
    </row>
    <row r="1595" spans="2:7" x14ac:dyDescent="0.2">
      <c r="B1595" s="92"/>
      <c r="C1595" s="93"/>
      <c r="D1595" s="93"/>
      <c r="E1595" s="94" t="str">
        <f t="shared" si="24"/>
        <v/>
      </c>
      <c r="F1595" s="95"/>
      <c r="G1595" s="93"/>
    </row>
    <row r="1596" spans="2:7" x14ac:dyDescent="0.2">
      <c r="B1596" s="92"/>
      <c r="C1596" s="93"/>
      <c r="D1596" s="93"/>
      <c r="E1596" s="94" t="str">
        <f t="shared" si="24"/>
        <v/>
      </c>
      <c r="F1596" s="95"/>
      <c r="G1596" s="93"/>
    </row>
    <row r="1597" spans="2:7" x14ac:dyDescent="0.2">
      <c r="B1597" s="92"/>
      <c r="C1597" s="93"/>
      <c r="D1597" s="93"/>
      <c r="E1597" s="94" t="str">
        <f t="shared" si="24"/>
        <v/>
      </c>
      <c r="F1597" s="95"/>
      <c r="G1597" s="93"/>
    </row>
    <row r="1598" spans="2:7" x14ac:dyDescent="0.2">
      <c r="B1598" s="92"/>
      <c r="C1598" s="93"/>
      <c r="D1598" s="93"/>
      <c r="E1598" s="94" t="str">
        <f t="shared" si="24"/>
        <v/>
      </c>
      <c r="F1598" s="95"/>
      <c r="G1598" s="93"/>
    </row>
    <row r="1599" spans="2:7" x14ac:dyDescent="0.2">
      <c r="B1599" s="92"/>
      <c r="C1599" s="93"/>
      <c r="D1599" s="93"/>
      <c r="E1599" s="94" t="str">
        <f t="shared" si="24"/>
        <v/>
      </c>
      <c r="F1599" s="95"/>
      <c r="G1599" s="93"/>
    </row>
    <row r="1600" spans="2:7" x14ac:dyDescent="0.2">
      <c r="B1600" s="92"/>
      <c r="C1600" s="93"/>
      <c r="D1600" s="93"/>
      <c r="E1600" s="94" t="str">
        <f t="shared" si="24"/>
        <v/>
      </c>
      <c r="F1600" s="95"/>
      <c r="G1600" s="93"/>
    </row>
    <row r="1601" spans="2:7" x14ac:dyDescent="0.2">
      <c r="B1601" s="92"/>
      <c r="C1601" s="93"/>
      <c r="D1601" s="93"/>
      <c r="E1601" s="94" t="str">
        <f t="shared" si="24"/>
        <v/>
      </c>
      <c r="F1601" s="95"/>
      <c r="G1601" s="93"/>
    </row>
    <row r="1602" spans="2:7" x14ac:dyDescent="0.2">
      <c r="B1602" s="92"/>
      <c r="C1602" s="93"/>
      <c r="D1602" s="93"/>
      <c r="E1602" s="94" t="str">
        <f t="shared" si="24"/>
        <v/>
      </c>
      <c r="F1602" s="95"/>
      <c r="G1602" s="93"/>
    </row>
    <row r="1603" spans="2:7" x14ac:dyDescent="0.2">
      <c r="B1603" s="92"/>
      <c r="C1603" s="93"/>
      <c r="D1603" s="93"/>
      <c r="E1603" s="94" t="str">
        <f t="shared" si="24"/>
        <v/>
      </c>
      <c r="F1603" s="95"/>
      <c r="G1603" s="93"/>
    </row>
    <row r="1604" spans="2:7" x14ac:dyDescent="0.2">
      <c r="B1604" s="92"/>
      <c r="C1604" s="93"/>
      <c r="D1604" s="93"/>
      <c r="E1604" s="94" t="str">
        <f t="shared" si="24"/>
        <v/>
      </c>
      <c r="F1604" s="95"/>
      <c r="G1604" s="93"/>
    </row>
    <row r="1605" spans="2:7" x14ac:dyDescent="0.2">
      <c r="B1605" s="92"/>
      <c r="C1605" s="93"/>
      <c r="D1605" s="93"/>
      <c r="E1605" s="94" t="str">
        <f t="shared" si="24"/>
        <v/>
      </c>
      <c r="F1605" s="95"/>
      <c r="G1605" s="93"/>
    </row>
    <row r="1606" spans="2:7" x14ac:dyDescent="0.2">
      <c r="B1606" s="92"/>
      <c r="C1606" s="93"/>
      <c r="D1606" s="93"/>
      <c r="E1606" s="94" t="str">
        <f t="shared" ref="E1606:E1669" si="25">IF(C1606&lt;&gt;"",D1606-C1606,"")</f>
        <v/>
      </c>
      <c r="F1606" s="95"/>
      <c r="G1606" s="93"/>
    </row>
    <row r="1607" spans="2:7" x14ac:dyDescent="0.2">
      <c r="B1607" s="92"/>
      <c r="C1607" s="93"/>
      <c r="D1607" s="93"/>
      <c r="E1607" s="94" t="str">
        <f t="shared" si="25"/>
        <v/>
      </c>
      <c r="F1607" s="95"/>
      <c r="G1607" s="93"/>
    </row>
    <row r="1608" spans="2:7" x14ac:dyDescent="0.2">
      <c r="B1608" s="92"/>
      <c r="C1608" s="93"/>
      <c r="D1608" s="93"/>
      <c r="E1608" s="94" t="str">
        <f t="shared" si="25"/>
        <v/>
      </c>
      <c r="F1608" s="95"/>
      <c r="G1608" s="93"/>
    </row>
    <row r="1609" spans="2:7" x14ac:dyDescent="0.2">
      <c r="B1609" s="92"/>
      <c r="C1609" s="93"/>
      <c r="D1609" s="93"/>
      <c r="E1609" s="94" t="str">
        <f t="shared" si="25"/>
        <v/>
      </c>
      <c r="F1609" s="95"/>
      <c r="G1609" s="93"/>
    </row>
    <row r="1610" spans="2:7" x14ac:dyDescent="0.2">
      <c r="B1610" s="92"/>
      <c r="C1610" s="93"/>
      <c r="D1610" s="93"/>
      <c r="E1610" s="94" t="str">
        <f t="shared" si="25"/>
        <v/>
      </c>
      <c r="F1610" s="95"/>
      <c r="G1610" s="93"/>
    </row>
    <row r="1611" spans="2:7" x14ac:dyDescent="0.2">
      <c r="B1611" s="92"/>
      <c r="C1611" s="93"/>
      <c r="D1611" s="93"/>
      <c r="E1611" s="94" t="str">
        <f t="shared" si="25"/>
        <v/>
      </c>
      <c r="F1611" s="95"/>
      <c r="G1611" s="93"/>
    </row>
    <row r="1612" spans="2:7" x14ac:dyDescent="0.2">
      <c r="B1612" s="92"/>
      <c r="C1612" s="93"/>
      <c r="D1612" s="93"/>
      <c r="E1612" s="94" t="str">
        <f t="shared" si="25"/>
        <v/>
      </c>
      <c r="F1612" s="95"/>
      <c r="G1612" s="93"/>
    </row>
    <row r="1613" spans="2:7" x14ac:dyDescent="0.2">
      <c r="B1613" s="92"/>
      <c r="C1613" s="93"/>
      <c r="D1613" s="93"/>
      <c r="E1613" s="94" t="str">
        <f t="shared" si="25"/>
        <v/>
      </c>
      <c r="F1613" s="95"/>
      <c r="G1613" s="93"/>
    </row>
    <row r="1614" spans="2:7" x14ac:dyDescent="0.2">
      <c r="B1614" s="92"/>
      <c r="C1614" s="93"/>
      <c r="D1614" s="93"/>
      <c r="E1614" s="94" t="str">
        <f t="shared" si="25"/>
        <v/>
      </c>
      <c r="F1614" s="95"/>
      <c r="G1614" s="93"/>
    </row>
    <row r="1615" spans="2:7" x14ac:dyDescent="0.2">
      <c r="B1615" s="92"/>
      <c r="C1615" s="93"/>
      <c r="D1615" s="93"/>
      <c r="E1615" s="94" t="str">
        <f t="shared" si="25"/>
        <v/>
      </c>
      <c r="F1615" s="95"/>
      <c r="G1615" s="93"/>
    </row>
    <row r="1616" spans="2:7" x14ac:dyDescent="0.2">
      <c r="B1616" s="92"/>
      <c r="C1616" s="93"/>
      <c r="D1616" s="93"/>
      <c r="E1616" s="94" t="str">
        <f t="shared" si="25"/>
        <v/>
      </c>
      <c r="F1616" s="95"/>
      <c r="G1616" s="93"/>
    </row>
    <row r="1617" spans="2:7" x14ac:dyDescent="0.2">
      <c r="B1617" s="92"/>
      <c r="C1617" s="93"/>
      <c r="D1617" s="93"/>
      <c r="E1617" s="94" t="str">
        <f t="shared" si="25"/>
        <v/>
      </c>
      <c r="F1617" s="95"/>
      <c r="G1617" s="93"/>
    </row>
    <row r="1618" spans="2:7" x14ac:dyDescent="0.2">
      <c r="B1618" s="92"/>
      <c r="C1618" s="93"/>
      <c r="D1618" s="93"/>
      <c r="E1618" s="94" t="str">
        <f t="shared" si="25"/>
        <v/>
      </c>
      <c r="F1618" s="95"/>
      <c r="G1618" s="93"/>
    </row>
    <row r="1619" spans="2:7" x14ac:dyDescent="0.2">
      <c r="B1619" s="92"/>
      <c r="C1619" s="93"/>
      <c r="D1619" s="93"/>
      <c r="E1619" s="94" t="str">
        <f t="shared" si="25"/>
        <v/>
      </c>
      <c r="F1619" s="95"/>
      <c r="G1619" s="93"/>
    </row>
    <row r="1620" spans="2:7" x14ac:dyDescent="0.2">
      <c r="B1620" s="92"/>
      <c r="C1620" s="93"/>
      <c r="D1620" s="93"/>
      <c r="E1620" s="94" t="str">
        <f t="shared" si="25"/>
        <v/>
      </c>
      <c r="F1620" s="95"/>
      <c r="G1620" s="93"/>
    </row>
    <row r="1621" spans="2:7" x14ac:dyDescent="0.2">
      <c r="B1621" s="92"/>
      <c r="C1621" s="93"/>
      <c r="D1621" s="93"/>
      <c r="E1621" s="94" t="str">
        <f t="shared" si="25"/>
        <v/>
      </c>
      <c r="F1621" s="95"/>
      <c r="G1621" s="93"/>
    </row>
    <row r="1622" spans="2:7" x14ac:dyDescent="0.2">
      <c r="B1622" s="92"/>
      <c r="C1622" s="93"/>
      <c r="D1622" s="93"/>
      <c r="E1622" s="94" t="str">
        <f t="shared" si="25"/>
        <v/>
      </c>
      <c r="F1622" s="95"/>
      <c r="G1622" s="93"/>
    </row>
    <row r="1623" spans="2:7" x14ac:dyDescent="0.2">
      <c r="B1623" s="92"/>
      <c r="C1623" s="93"/>
      <c r="D1623" s="93"/>
      <c r="E1623" s="94" t="str">
        <f t="shared" si="25"/>
        <v/>
      </c>
      <c r="F1623" s="95"/>
      <c r="G1623" s="93"/>
    </row>
    <row r="1624" spans="2:7" x14ac:dyDescent="0.2">
      <c r="B1624" s="92"/>
      <c r="C1624" s="93"/>
      <c r="D1624" s="93"/>
      <c r="E1624" s="94" t="str">
        <f t="shared" si="25"/>
        <v/>
      </c>
      <c r="F1624" s="95"/>
      <c r="G1624" s="93"/>
    </row>
    <row r="1625" spans="2:7" x14ac:dyDescent="0.2">
      <c r="B1625" s="92"/>
      <c r="C1625" s="93"/>
      <c r="D1625" s="93"/>
      <c r="E1625" s="94" t="str">
        <f t="shared" si="25"/>
        <v/>
      </c>
      <c r="F1625" s="95"/>
      <c r="G1625" s="93"/>
    </row>
    <row r="1626" spans="2:7" x14ac:dyDescent="0.2">
      <c r="B1626" s="92"/>
      <c r="C1626" s="93"/>
      <c r="D1626" s="93"/>
      <c r="E1626" s="94" t="str">
        <f t="shared" si="25"/>
        <v/>
      </c>
      <c r="F1626" s="95"/>
      <c r="G1626" s="93"/>
    </row>
    <row r="1627" spans="2:7" x14ac:dyDescent="0.2">
      <c r="B1627" s="92"/>
      <c r="C1627" s="93"/>
      <c r="D1627" s="93"/>
      <c r="E1627" s="94" t="str">
        <f t="shared" si="25"/>
        <v/>
      </c>
      <c r="F1627" s="95"/>
      <c r="G1627" s="93"/>
    </row>
    <row r="1628" spans="2:7" x14ac:dyDescent="0.2">
      <c r="B1628" s="92"/>
      <c r="C1628" s="93"/>
      <c r="D1628" s="93"/>
      <c r="E1628" s="94" t="str">
        <f t="shared" si="25"/>
        <v/>
      </c>
      <c r="F1628" s="95"/>
      <c r="G1628" s="93"/>
    </row>
    <row r="1629" spans="2:7" x14ac:dyDescent="0.2">
      <c r="B1629" s="92"/>
      <c r="C1629" s="93"/>
      <c r="D1629" s="93"/>
      <c r="E1629" s="94" t="str">
        <f t="shared" si="25"/>
        <v/>
      </c>
      <c r="F1629" s="95"/>
      <c r="G1629" s="93"/>
    </row>
    <row r="1630" spans="2:7" x14ac:dyDescent="0.2">
      <c r="B1630" s="92"/>
      <c r="C1630" s="93"/>
      <c r="D1630" s="93"/>
      <c r="E1630" s="94" t="str">
        <f t="shared" si="25"/>
        <v/>
      </c>
      <c r="F1630" s="95"/>
      <c r="G1630" s="93"/>
    </row>
    <row r="1631" spans="2:7" x14ac:dyDescent="0.2">
      <c r="B1631" s="92"/>
      <c r="C1631" s="93"/>
      <c r="D1631" s="93"/>
      <c r="E1631" s="94" t="str">
        <f t="shared" si="25"/>
        <v/>
      </c>
      <c r="F1631" s="95"/>
      <c r="G1631" s="93"/>
    </row>
    <row r="1632" spans="2:7" x14ac:dyDescent="0.2">
      <c r="B1632" s="92"/>
      <c r="C1632" s="93"/>
      <c r="D1632" s="93"/>
      <c r="E1632" s="94" t="str">
        <f t="shared" si="25"/>
        <v/>
      </c>
      <c r="F1632" s="95"/>
      <c r="G1632" s="93"/>
    </row>
    <row r="1633" spans="2:7" x14ac:dyDescent="0.2">
      <c r="B1633" s="92"/>
      <c r="C1633" s="93"/>
      <c r="D1633" s="93"/>
      <c r="E1633" s="94" t="str">
        <f t="shared" si="25"/>
        <v/>
      </c>
      <c r="F1633" s="95"/>
      <c r="G1633" s="93"/>
    </row>
    <row r="1634" spans="2:7" x14ac:dyDescent="0.2">
      <c r="B1634" s="92"/>
      <c r="C1634" s="93"/>
      <c r="D1634" s="93"/>
      <c r="E1634" s="94" t="str">
        <f t="shared" si="25"/>
        <v/>
      </c>
      <c r="F1634" s="95"/>
      <c r="G1634" s="93"/>
    </row>
    <row r="1635" spans="2:7" x14ac:dyDescent="0.2">
      <c r="B1635" s="92"/>
      <c r="C1635" s="93"/>
      <c r="D1635" s="93"/>
      <c r="E1635" s="94" t="str">
        <f t="shared" si="25"/>
        <v/>
      </c>
      <c r="F1635" s="95"/>
      <c r="G1635" s="93"/>
    </row>
    <row r="1636" spans="2:7" x14ac:dyDescent="0.2">
      <c r="B1636" s="92"/>
      <c r="C1636" s="93"/>
      <c r="D1636" s="93"/>
      <c r="E1636" s="94" t="str">
        <f t="shared" si="25"/>
        <v/>
      </c>
      <c r="F1636" s="95"/>
      <c r="G1636" s="93"/>
    </row>
    <row r="1637" spans="2:7" x14ac:dyDescent="0.2">
      <c r="B1637" s="92"/>
      <c r="C1637" s="93"/>
      <c r="D1637" s="93"/>
      <c r="E1637" s="94" t="str">
        <f t="shared" si="25"/>
        <v/>
      </c>
      <c r="F1637" s="95"/>
      <c r="G1637" s="93"/>
    </row>
    <row r="1638" spans="2:7" x14ac:dyDescent="0.2">
      <c r="B1638" s="92"/>
      <c r="C1638" s="93"/>
      <c r="D1638" s="93"/>
      <c r="E1638" s="94" t="str">
        <f t="shared" si="25"/>
        <v/>
      </c>
      <c r="F1638" s="95"/>
      <c r="G1638" s="93"/>
    </row>
    <row r="1639" spans="2:7" x14ac:dyDescent="0.2">
      <c r="B1639" s="92"/>
      <c r="C1639" s="93"/>
      <c r="D1639" s="93"/>
      <c r="E1639" s="94" t="str">
        <f t="shared" si="25"/>
        <v/>
      </c>
      <c r="F1639" s="95"/>
      <c r="G1639" s="93"/>
    </row>
    <row r="1640" spans="2:7" x14ac:dyDescent="0.2">
      <c r="B1640" s="92"/>
      <c r="C1640" s="93"/>
      <c r="D1640" s="93"/>
      <c r="E1640" s="94" t="str">
        <f t="shared" si="25"/>
        <v/>
      </c>
      <c r="F1640" s="95"/>
      <c r="G1640" s="93"/>
    </row>
    <row r="1641" spans="2:7" x14ac:dyDescent="0.2">
      <c r="B1641" s="92"/>
      <c r="C1641" s="93"/>
      <c r="D1641" s="93"/>
      <c r="E1641" s="94" t="str">
        <f t="shared" si="25"/>
        <v/>
      </c>
      <c r="F1641" s="95"/>
      <c r="G1641" s="93"/>
    </row>
    <row r="1642" spans="2:7" x14ac:dyDescent="0.2">
      <c r="B1642" s="92"/>
      <c r="C1642" s="93"/>
      <c r="D1642" s="93"/>
      <c r="E1642" s="94" t="str">
        <f t="shared" si="25"/>
        <v/>
      </c>
      <c r="F1642" s="95"/>
      <c r="G1642" s="93"/>
    </row>
    <row r="1643" spans="2:7" x14ac:dyDescent="0.2">
      <c r="B1643" s="92"/>
      <c r="C1643" s="93"/>
      <c r="D1643" s="93"/>
      <c r="E1643" s="94" t="str">
        <f t="shared" si="25"/>
        <v/>
      </c>
      <c r="F1643" s="95"/>
      <c r="G1643" s="93"/>
    </row>
    <row r="1644" spans="2:7" x14ac:dyDescent="0.2">
      <c r="B1644" s="92"/>
      <c r="C1644" s="93"/>
      <c r="D1644" s="93"/>
      <c r="E1644" s="94" t="str">
        <f t="shared" si="25"/>
        <v/>
      </c>
      <c r="F1644" s="95"/>
      <c r="G1644" s="93"/>
    </row>
    <row r="1645" spans="2:7" x14ac:dyDescent="0.2">
      <c r="B1645" s="92"/>
      <c r="C1645" s="93"/>
      <c r="D1645" s="93"/>
      <c r="E1645" s="94" t="str">
        <f t="shared" si="25"/>
        <v/>
      </c>
      <c r="F1645" s="95"/>
      <c r="G1645" s="93"/>
    </row>
    <row r="1646" spans="2:7" x14ac:dyDescent="0.2">
      <c r="B1646" s="92"/>
      <c r="C1646" s="93"/>
      <c r="D1646" s="93"/>
      <c r="E1646" s="94" t="str">
        <f t="shared" si="25"/>
        <v/>
      </c>
      <c r="F1646" s="95"/>
      <c r="G1646" s="93"/>
    </row>
    <row r="1647" spans="2:7" x14ac:dyDescent="0.2">
      <c r="B1647" s="92"/>
      <c r="C1647" s="93"/>
      <c r="D1647" s="93"/>
      <c r="E1647" s="94" t="str">
        <f t="shared" si="25"/>
        <v/>
      </c>
      <c r="F1647" s="95"/>
      <c r="G1647" s="93"/>
    </row>
    <row r="1648" spans="2:7" x14ac:dyDescent="0.2">
      <c r="B1648" s="92"/>
      <c r="C1648" s="93"/>
      <c r="D1648" s="93"/>
      <c r="E1648" s="94" t="str">
        <f t="shared" si="25"/>
        <v/>
      </c>
      <c r="F1648" s="95"/>
      <c r="G1648" s="93"/>
    </row>
    <row r="1649" spans="2:7" x14ac:dyDescent="0.2">
      <c r="B1649" s="92"/>
      <c r="C1649" s="93"/>
      <c r="D1649" s="93"/>
      <c r="E1649" s="94" t="str">
        <f t="shared" si="25"/>
        <v/>
      </c>
      <c r="F1649" s="95"/>
      <c r="G1649" s="93"/>
    </row>
    <row r="1650" spans="2:7" x14ac:dyDescent="0.2">
      <c r="B1650" s="92"/>
      <c r="C1650" s="93"/>
      <c r="D1650" s="93"/>
      <c r="E1650" s="94" t="str">
        <f t="shared" si="25"/>
        <v/>
      </c>
      <c r="F1650" s="95"/>
      <c r="G1650" s="93"/>
    </row>
    <row r="1651" spans="2:7" x14ac:dyDescent="0.2">
      <c r="B1651" s="92"/>
      <c r="C1651" s="93"/>
      <c r="D1651" s="93"/>
      <c r="E1651" s="94" t="str">
        <f t="shared" si="25"/>
        <v/>
      </c>
      <c r="F1651" s="95"/>
      <c r="G1651" s="93"/>
    </row>
    <row r="1652" spans="2:7" x14ac:dyDescent="0.2">
      <c r="B1652" s="92"/>
      <c r="C1652" s="93"/>
      <c r="D1652" s="93"/>
      <c r="E1652" s="94" t="str">
        <f t="shared" si="25"/>
        <v/>
      </c>
      <c r="F1652" s="95"/>
      <c r="G1652" s="93"/>
    </row>
    <row r="1653" spans="2:7" x14ac:dyDescent="0.2">
      <c r="B1653" s="92"/>
      <c r="C1653" s="93"/>
      <c r="D1653" s="93"/>
      <c r="E1653" s="94" t="str">
        <f t="shared" si="25"/>
        <v/>
      </c>
      <c r="F1653" s="95"/>
      <c r="G1653" s="93"/>
    </row>
    <row r="1654" spans="2:7" x14ac:dyDescent="0.2">
      <c r="B1654" s="92"/>
      <c r="C1654" s="93"/>
      <c r="D1654" s="93"/>
      <c r="E1654" s="94" t="str">
        <f t="shared" si="25"/>
        <v/>
      </c>
      <c r="F1654" s="95"/>
      <c r="G1654" s="93"/>
    </row>
    <row r="1655" spans="2:7" x14ac:dyDescent="0.2">
      <c r="B1655" s="92"/>
      <c r="C1655" s="93"/>
      <c r="D1655" s="93"/>
      <c r="E1655" s="94" t="str">
        <f t="shared" si="25"/>
        <v/>
      </c>
      <c r="F1655" s="95"/>
      <c r="G1655" s="93"/>
    </row>
    <row r="1656" spans="2:7" x14ac:dyDescent="0.2">
      <c r="B1656" s="92"/>
      <c r="C1656" s="93"/>
      <c r="D1656" s="93"/>
      <c r="E1656" s="94" t="str">
        <f t="shared" si="25"/>
        <v/>
      </c>
      <c r="F1656" s="95"/>
      <c r="G1656" s="93"/>
    </row>
    <row r="1657" spans="2:7" x14ac:dyDescent="0.2">
      <c r="B1657" s="92"/>
      <c r="C1657" s="93"/>
      <c r="D1657" s="93"/>
      <c r="E1657" s="94" t="str">
        <f t="shared" si="25"/>
        <v/>
      </c>
      <c r="F1657" s="95"/>
      <c r="G1657" s="93"/>
    </row>
    <row r="1658" spans="2:7" x14ac:dyDescent="0.2">
      <c r="B1658" s="92"/>
      <c r="C1658" s="93"/>
      <c r="D1658" s="93"/>
      <c r="E1658" s="94" t="str">
        <f t="shared" si="25"/>
        <v/>
      </c>
      <c r="F1658" s="95"/>
      <c r="G1658" s="93"/>
    </row>
    <row r="1659" spans="2:7" x14ac:dyDescent="0.2">
      <c r="B1659" s="92"/>
      <c r="C1659" s="93"/>
      <c r="D1659" s="93"/>
      <c r="E1659" s="94" t="str">
        <f t="shared" si="25"/>
        <v/>
      </c>
      <c r="F1659" s="95"/>
      <c r="G1659" s="93"/>
    </row>
    <row r="1660" spans="2:7" x14ac:dyDescent="0.2">
      <c r="B1660" s="92"/>
      <c r="C1660" s="93"/>
      <c r="D1660" s="93"/>
      <c r="E1660" s="94" t="str">
        <f t="shared" si="25"/>
        <v/>
      </c>
      <c r="F1660" s="95"/>
      <c r="G1660" s="93"/>
    </row>
    <row r="1661" spans="2:7" x14ac:dyDescent="0.2">
      <c r="B1661" s="92"/>
      <c r="C1661" s="93"/>
      <c r="D1661" s="93"/>
      <c r="E1661" s="94" t="str">
        <f t="shared" si="25"/>
        <v/>
      </c>
      <c r="F1661" s="95"/>
      <c r="G1661" s="93"/>
    </row>
    <row r="1662" spans="2:7" x14ac:dyDescent="0.2">
      <c r="B1662" s="92"/>
      <c r="C1662" s="93"/>
      <c r="D1662" s="93"/>
      <c r="E1662" s="94" t="str">
        <f t="shared" si="25"/>
        <v/>
      </c>
      <c r="F1662" s="95"/>
      <c r="G1662" s="93"/>
    </row>
    <row r="1663" spans="2:7" x14ac:dyDescent="0.2">
      <c r="B1663" s="92"/>
      <c r="C1663" s="93"/>
      <c r="D1663" s="93"/>
      <c r="E1663" s="94" t="str">
        <f t="shared" si="25"/>
        <v/>
      </c>
      <c r="F1663" s="95"/>
      <c r="G1663" s="93"/>
    </row>
    <row r="1664" spans="2:7" x14ac:dyDescent="0.2">
      <c r="B1664" s="92"/>
      <c r="C1664" s="93"/>
      <c r="D1664" s="93"/>
      <c r="E1664" s="94" t="str">
        <f t="shared" si="25"/>
        <v/>
      </c>
      <c r="F1664" s="95"/>
      <c r="G1664" s="93"/>
    </row>
    <row r="1665" spans="2:7" x14ac:dyDescent="0.2">
      <c r="B1665" s="92"/>
      <c r="C1665" s="93"/>
      <c r="D1665" s="93"/>
      <c r="E1665" s="94" t="str">
        <f t="shared" si="25"/>
        <v/>
      </c>
      <c r="F1665" s="95"/>
      <c r="G1665" s="93"/>
    </row>
    <row r="1666" spans="2:7" x14ac:dyDescent="0.2">
      <c r="B1666" s="92"/>
      <c r="C1666" s="93"/>
      <c r="D1666" s="93"/>
      <c r="E1666" s="94" t="str">
        <f t="shared" si="25"/>
        <v/>
      </c>
      <c r="F1666" s="95"/>
      <c r="G1666" s="93"/>
    </row>
    <row r="1667" spans="2:7" x14ac:dyDescent="0.2">
      <c r="B1667" s="92"/>
      <c r="C1667" s="93"/>
      <c r="D1667" s="93"/>
      <c r="E1667" s="94" t="str">
        <f t="shared" si="25"/>
        <v/>
      </c>
      <c r="F1667" s="95"/>
      <c r="G1667" s="93"/>
    </row>
    <row r="1668" spans="2:7" x14ac:dyDescent="0.2">
      <c r="B1668" s="92"/>
      <c r="C1668" s="93"/>
      <c r="D1668" s="93"/>
      <c r="E1668" s="94" t="str">
        <f t="shared" si="25"/>
        <v/>
      </c>
      <c r="F1668" s="95"/>
      <c r="G1668" s="93"/>
    </row>
    <row r="1669" spans="2:7" x14ac:dyDescent="0.2">
      <c r="B1669" s="92"/>
      <c r="C1669" s="93"/>
      <c r="D1669" s="93"/>
      <c r="E1669" s="94" t="str">
        <f t="shared" si="25"/>
        <v/>
      </c>
      <c r="F1669" s="95"/>
      <c r="G1669" s="93"/>
    </row>
    <row r="1670" spans="2:7" x14ac:dyDescent="0.2">
      <c r="B1670" s="92"/>
      <c r="C1670" s="93"/>
      <c r="D1670" s="93"/>
      <c r="E1670" s="94" t="str">
        <f t="shared" ref="E1670:E1733" si="26">IF(C1670&lt;&gt;"",D1670-C1670,"")</f>
        <v/>
      </c>
      <c r="F1670" s="95"/>
      <c r="G1670" s="93"/>
    </row>
    <row r="1671" spans="2:7" x14ac:dyDescent="0.2">
      <c r="B1671" s="92"/>
      <c r="C1671" s="93"/>
      <c r="D1671" s="93"/>
      <c r="E1671" s="94" t="str">
        <f t="shared" si="26"/>
        <v/>
      </c>
      <c r="F1671" s="95"/>
      <c r="G1671" s="93"/>
    </row>
    <row r="1672" spans="2:7" x14ac:dyDescent="0.2">
      <c r="B1672" s="92"/>
      <c r="C1672" s="93"/>
      <c r="D1672" s="93"/>
      <c r="E1672" s="94" t="str">
        <f t="shared" si="26"/>
        <v/>
      </c>
      <c r="F1672" s="95"/>
      <c r="G1672" s="93"/>
    </row>
    <row r="1673" spans="2:7" x14ac:dyDescent="0.2">
      <c r="B1673" s="92"/>
      <c r="C1673" s="93"/>
      <c r="D1673" s="93"/>
      <c r="E1673" s="94" t="str">
        <f t="shared" si="26"/>
        <v/>
      </c>
      <c r="F1673" s="95"/>
      <c r="G1673" s="93"/>
    </row>
    <row r="1674" spans="2:7" x14ac:dyDescent="0.2">
      <c r="B1674" s="92"/>
      <c r="C1674" s="93"/>
      <c r="D1674" s="93"/>
      <c r="E1674" s="94" t="str">
        <f t="shared" si="26"/>
        <v/>
      </c>
      <c r="F1674" s="95"/>
      <c r="G1674" s="93"/>
    </row>
    <row r="1675" spans="2:7" x14ac:dyDescent="0.2">
      <c r="B1675" s="92"/>
      <c r="C1675" s="93"/>
      <c r="D1675" s="93"/>
      <c r="E1675" s="94" t="str">
        <f t="shared" si="26"/>
        <v/>
      </c>
      <c r="F1675" s="95"/>
      <c r="G1675" s="93"/>
    </row>
    <row r="1676" spans="2:7" x14ac:dyDescent="0.2">
      <c r="B1676" s="92"/>
      <c r="C1676" s="93"/>
      <c r="D1676" s="93"/>
      <c r="E1676" s="94" t="str">
        <f t="shared" si="26"/>
        <v/>
      </c>
      <c r="F1676" s="95"/>
      <c r="G1676" s="93"/>
    </row>
    <row r="1677" spans="2:7" x14ac:dyDescent="0.2">
      <c r="B1677" s="92"/>
      <c r="C1677" s="93"/>
      <c r="D1677" s="93"/>
      <c r="E1677" s="94" t="str">
        <f t="shared" si="26"/>
        <v/>
      </c>
      <c r="F1677" s="95"/>
      <c r="G1677" s="93"/>
    </row>
    <row r="1678" spans="2:7" x14ac:dyDescent="0.2">
      <c r="B1678" s="92"/>
      <c r="C1678" s="93"/>
      <c r="D1678" s="93"/>
      <c r="E1678" s="94" t="str">
        <f t="shared" si="26"/>
        <v/>
      </c>
      <c r="F1678" s="95"/>
      <c r="G1678" s="93"/>
    </row>
    <row r="1679" spans="2:7" x14ac:dyDescent="0.2">
      <c r="B1679" s="92"/>
      <c r="C1679" s="93"/>
      <c r="D1679" s="93"/>
      <c r="E1679" s="94" t="str">
        <f t="shared" si="26"/>
        <v/>
      </c>
      <c r="F1679" s="95"/>
      <c r="G1679" s="93"/>
    </row>
    <row r="1680" spans="2:7" x14ac:dyDescent="0.2">
      <c r="B1680" s="92"/>
      <c r="C1680" s="93"/>
      <c r="D1680" s="93"/>
      <c r="E1680" s="94" t="str">
        <f t="shared" si="26"/>
        <v/>
      </c>
      <c r="F1680" s="95"/>
      <c r="G1680" s="93"/>
    </row>
    <row r="1681" spans="2:7" x14ac:dyDescent="0.2">
      <c r="B1681" s="92"/>
      <c r="C1681" s="93"/>
      <c r="D1681" s="93"/>
      <c r="E1681" s="94" t="str">
        <f t="shared" si="26"/>
        <v/>
      </c>
      <c r="F1681" s="95"/>
      <c r="G1681" s="93"/>
    </row>
    <row r="1682" spans="2:7" x14ac:dyDescent="0.2">
      <c r="B1682" s="92"/>
      <c r="C1682" s="93"/>
      <c r="D1682" s="93"/>
      <c r="E1682" s="94" t="str">
        <f t="shared" si="26"/>
        <v/>
      </c>
      <c r="F1682" s="95"/>
      <c r="G1682" s="93"/>
    </row>
    <row r="1683" spans="2:7" x14ac:dyDescent="0.2">
      <c r="B1683" s="92"/>
      <c r="C1683" s="93"/>
      <c r="D1683" s="93"/>
      <c r="E1683" s="94" t="str">
        <f t="shared" si="26"/>
        <v/>
      </c>
      <c r="F1683" s="95"/>
      <c r="G1683" s="93"/>
    </row>
    <row r="1684" spans="2:7" x14ac:dyDescent="0.2">
      <c r="B1684" s="92"/>
      <c r="C1684" s="93"/>
      <c r="D1684" s="93"/>
      <c r="E1684" s="94" t="str">
        <f t="shared" si="26"/>
        <v/>
      </c>
      <c r="F1684" s="95"/>
      <c r="G1684" s="93"/>
    </row>
    <row r="1685" spans="2:7" x14ac:dyDescent="0.2">
      <c r="B1685" s="92"/>
      <c r="C1685" s="93"/>
      <c r="D1685" s="93"/>
      <c r="E1685" s="94" t="str">
        <f t="shared" si="26"/>
        <v/>
      </c>
      <c r="F1685" s="95"/>
      <c r="G1685" s="93"/>
    </row>
    <row r="1686" spans="2:7" x14ac:dyDescent="0.2">
      <c r="B1686" s="92"/>
      <c r="C1686" s="93"/>
      <c r="D1686" s="93"/>
      <c r="E1686" s="94" t="str">
        <f t="shared" si="26"/>
        <v/>
      </c>
      <c r="F1686" s="95"/>
      <c r="G1686" s="93"/>
    </row>
    <row r="1687" spans="2:7" x14ac:dyDescent="0.2">
      <c r="B1687" s="92"/>
      <c r="C1687" s="93"/>
      <c r="D1687" s="93"/>
      <c r="E1687" s="94" t="str">
        <f t="shared" si="26"/>
        <v/>
      </c>
      <c r="F1687" s="95"/>
      <c r="G1687" s="93"/>
    </row>
    <row r="1688" spans="2:7" x14ac:dyDescent="0.2">
      <c r="B1688" s="92"/>
      <c r="C1688" s="93"/>
      <c r="D1688" s="93"/>
      <c r="E1688" s="94" t="str">
        <f t="shared" si="26"/>
        <v/>
      </c>
      <c r="F1688" s="95"/>
      <c r="G1688" s="93"/>
    </row>
    <row r="1689" spans="2:7" x14ac:dyDescent="0.2">
      <c r="B1689" s="92"/>
      <c r="C1689" s="93"/>
      <c r="D1689" s="93"/>
      <c r="E1689" s="94" t="str">
        <f t="shared" si="26"/>
        <v/>
      </c>
      <c r="F1689" s="95"/>
      <c r="G1689" s="93"/>
    </row>
    <row r="1690" spans="2:7" x14ac:dyDescent="0.2">
      <c r="B1690" s="92"/>
      <c r="C1690" s="93"/>
      <c r="D1690" s="93"/>
      <c r="E1690" s="94" t="str">
        <f t="shared" si="26"/>
        <v/>
      </c>
      <c r="F1690" s="95"/>
      <c r="G1690" s="93"/>
    </row>
    <row r="1691" spans="2:7" x14ac:dyDescent="0.2">
      <c r="B1691" s="92"/>
      <c r="C1691" s="93"/>
      <c r="D1691" s="93"/>
      <c r="E1691" s="94" t="str">
        <f t="shared" si="26"/>
        <v/>
      </c>
      <c r="F1691" s="95"/>
      <c r="G1691" s="93"/>
    </row>
    <row r="1692" spans="2:7" x14ac:dyDescent="0.2">
      <c r="B1692" s="92"/>
      <c r="C1692" s="93"/>
      <c r="D1692" s="93"/>
      <c r="E1692" s="94" t="str">
        <f t="shared" si="26"/>
        <v/>
      </c>
      <c r="F1692" s="95"/>
      <c r="G1692" s="93"/>
    </row>
    <row r="1693" spans="2:7" x14ac:dyDescent="0.2">
      <c r="B1693" s="92"/>
      <c r="C1693" s="93"/>
      <c r="D1693" s="93"/>
      <c r="E1693" s="94" t="str">
        <f t="shared" si="26"/>
        <v/>
      </c>
      <c r="F1693" s="95"/>
      <c r="G1693" s="93"/>
    </row>
    <row r="1694" spans="2:7" x14ac:dyDescent="0.2">
      <c r="B1694" s="92"/>
      <c r="C1694" s="93"/>
      <c r="D1694" s="93"/>
      <c r="E1694" s="94" t="str">
        <f t="shared" si="26"/>
        <v/>
      </c>
      <c r="F1694" s="95"/>
      <c r="G1694" s="93"/>
    </row>
    <row r="1695" spans="2:7" x14ac:dyDescent="0.2">
      <c r="B1695" s="92"/>
      <c r="C1695" s="93"/>
      <c r="D1695" s="93"/>
      <c r="E1695" s="94" t="str">
        <f t="shared" si="26"/>
        <v/>
      </c>
      <c r="F1695" s="95"/>
      <c r="G1695" s="93"/>
    </row>
    <row r="1696" spans="2:7" x14ac:dyDescent="0.2">
      <c r="B1696" s="92"/>
      <c r="C1696" s="93"/>
      <c r="D1696" s="93"/>
      <c r="E1696" s="94" t="str">
        <f t="shared" si="26"/>
        <v/>
      </c>
      <c r="F1696" s="95"/>
      <c r="G1696" s="93"/>
    </row>
    <row r="1697" spans="2:7" x14ac:dyDescent="0.2">
      <c r="B1697" s="92"/>
      <c r="C1697" s="93"/>
      <c r="D1697" s="93"/>
      <c r="E1697" s="94" t="str">
        <f t="shared" si="26"/>
        <v/>
      </c>
      <c r="F1697" s="95"/>
      <c r="G1697" s="93"/>
    </row>
    <row r="1698" spans="2:7" x14ac:dyDescent="0.2">
      <c r="B1698" s="92"/>
      <c r="C1698" s="93"/>
      <c r="D1698" s="93"/>
      <c r="E1698" s="94" t="str">
        <f t="shared" si="26"/>
        <v/>
      </c>
      <c r="F1698" s="95"/>
      <c r="G1698" s="93"/>
    </row>
    <row r="1699" spans="2:7" x14ac:dyDescent="0.2">
      <c r="B1699" s="92"/>
      <c r="C1699" s="93"/>
      <c r="D1699" s="93"/>
      <c r="E1699" s="94" t="str">
        <f t="shared" si="26"/>
        <v/>
      </c>
      <c r="F1699" s="95"/>
      <c r="G1699" s="93"/>
    </row>
    <row r="1700" spans="2:7" x14ac:dyDescent="0.2">
      <c r="B1700" s="92"/>
      <c r="C1700" s="93"/>
      <c r="D1700" s="93"/>
      <c r="E1700" s="94" t="str">
        <f t="shared" si="26"/>
        <v/>
      </c>
      <c r="F1700" s="95"/>
      <c r="G1700" s="93"/>
    </row>
    <row r="1701" spans="2:7" x14ac:dyDescent="0.2">
      <c r="B1701" s="92"/>
      <c r="C1701" s="93"/>
      <c r="D1701" s="93"/>
      <c r="E1701" s="94" t="str">
        <f t="shared" si="26"/>
        <v/>
      </c>
      <c r="F1701" s="95"/>
      <c r="G1701" s="93"/>
    </row>
    <row r="1702" spans="2:7" x14ac:dyDescent="0.2">
      <c r="B1702" s="92"/>
      <c r="C1702" s="93"/>
      <c r="D1702" s="93"/>
      <c r="E1702" s="94" t="str">
        <f t="shared" si="26"/>
        <v/>
      </c>
      <c r="F1702" s="95"/>
      <c r="G1702" s="93"/>
    </row>
    <row r="1703" spans="2:7" x14ac:dyDescent="0.2">
      <c r="B1703" s="92"/>
      <c r="C1703" s="93"/>
      <c r="D1703" s="93"/>
      <c r="E1703" s="94" t="str">
        <f t="shared" si="26"/>
        <v/>
      </c>
      <c r="F1703" s="95"/>
      <c r="G1703" s="93"/>
    </row>
    <row r="1704" spans="2:7" x14ac:dyDescent="0.2">
      <c r="B1704" s="92"/>
      <c r="C1704" s="93"/>
      <c r="D1704" s="93"/>
      <c r="E1704" s="94" t="str">
        <f t="shared" si="26"/>
        <v/>
      </c>
      <c r="F1704" s="95"/>
      <c r="G1704" s="93"/>
    </row>
    <row r="1705" spans="2:7" x14ac:dyDescent="0.2">
      <c r="B1705" s="92"/>
      <c r="C1705" s="93"/>
      <c r="D1705" s="93"/>
      <c r="E1705" s="94" t="str">
        <f t="shared" si="26"/>
        <v/>
      </c>
      <c r="F1705" s="95"/>
      <c r="G1705" s="93"/>
    </row>
    <row r="1706" spans="2:7" x14ac:dyDescent="0.2">
      <c r="B1706" s="92"/>
      <c r="C1706" s="93"/>
      <c r="D1706" s="93"/>
      <c r="E1706" s="94" t="str">
        <f t="shared" si="26"/>
        <v/>
      </c>
      <c r="F1706" s="95"/>
      <c r="G1706" s="93"/>
    </row>
    <row r="1707" spans="2:7" x14ac:dyDescent="0.2">
      <c r="B1707" s="92"/>
      <c r="C1707" s="93"/>
      <c r="D1707" s="93"/>
      <c r="E1707" s="94" t="str">
        <f t="shared" si="26"/>
        <v/>
      </c>
      <c r="F1707" s="95"/>
      <c r="G1707" s="93"/>
    </row>
    <row r="1708" spans="2:7" x14ac:dyDescent="0.2">
      <c r="B1708" s="92"/>
      <c r="C1708" s="93"/>
      <c r="D1708" s="93"/>
      <c r="E1708" s="94" t="str">
        <f t="shared" si="26"/>
        <v/>
      </c>
      <c r="F1708" s="95"/>
      <c r="G1708" s="93"/>
    </row>
    <row r="1709" spans="2:7" x14ac:dyDescent="0.2">
      <c r="B1709" s="92"/>
      <c r="C1709" s="93"/>
      <c r="D1709" s="93"/>
      <c r="E1709" s="94" t="str">
        <f t="shared" si="26"/>
        <v/>
      </c>
      <c r="F1709" s="95"/>
      <c r="G1709" s="93"/>
    </row>
    <row r="1710" spans="2:7" x14ac:dyDescent="0.2">
      <c r="B1710" s="92"/>
      <c r="C1710" s="93"/>
      <c r="D1710" s="93"/>
      <c r="E1710" s="94" t="str">
        <f t="shared" si="26"/>
        <v/>
      </c>
      <c r="F1710" s="95"/>
      <c r="G1710" s="93"/>
    </row>
    <row r="1711" spans="2:7" x14ac:dyDescent="0.2">
      <c r="B1711" s="92"/>
      <c r="C1711" s="93"/>
      <c r="D1711" s="93"/>
      <c r="E1711" s="94" t="str">
        <f t="shared" si="26"/>
        <v/>
      </c>
      <c r="F1711" s="95"/>
      <c r="G1711" s="93"/>
    </row>
    <row r="1712" spans="2:7" x14ac:dyDescent="0.2">
      <c r="B1712" s="92"/>
      <c r="C1712" s="93"/>
      <c r="D1712" s="93"/>
      <c r="E1712" s="94" t="str">
        <f t="shared" si="26"/>
        <v/>
      </c>
      <c r="F1712" s="95"/>
      <c r="G1712" s="93"/>
    </row>
    <row r="1713" spans="2:7" x14ac:dyDescent="0.2">
      <c r="B1713" s="92"/>
      <c r="C1713" s="93"/>
      <c r="D1713" s="93"/>
      <c r="E1713" s="94" t="str">
        <f t="shared" si="26"/>
        <v/>
      </c>
      <c r="F1713" s="95"/>
      <c r="G1713" s="93"/>
    </row>
    <row r="1714" spans="2:7" x14ac:dyDescent="0.2">
      <c r="B1714" s="92"/>
      <c r="C1714" s="93"/>
      <c r="D1714" s="93"/>
      <c r="E1714" s="94" t="str">
        <f t="shared" si="26"/>
        <v/>
      </c>
      <c r="F1714" s="95"/>
      <c r="G1714" s="93"/>
    </row>
    <row r="1715" spans="2:7" x14ac:dyDescent="0.2">
      <c r="B1715" s="92"/>
      <c r="C1715" s="93"/>
      <c r="D1715" s="93"/>
      <c r="E1715" s="94" t="str">
        <f t="shared" si="26"/>
        <v/>
      </c>
      <c r="F1715" s="95"/>
      <c r="G1715" s="93"/>
    </row>
    <row r="1716" spans="2:7" x14ac:dyDescent="0.2">
      <c r="B1716" s="92"/>
      <c r="C1716" s="93"/>
      <c r="D1716" s="93"/>
      <c r="E1716" s="94" t="str">
        <f t="shared" si="26"/>
        <v/>
      </c>
      <c r="F1716" s="95"/>
      <c r="G1716" s="93"/>
    </row>
    <row r="1717" spans="2:7" x14ac:dyDescent="0.2">
      <c r="B1717" s="92"/>
      <c r="C1717" s="93"/>
      <c r="D1717" s="93"/>
      <c r="E1717" s="94" t="str">
        <f t="shared" si="26"/>
        <v/>
      </c>
      <c r="F1717" s="95"/>
      <c r="G1717" s="93"/>
    </row>
    <row r="1718" spans="2:7" x14ac:dyDescent="0.2">
      <c r="B1718" s="92"/>
      <c r="C1718" s="93"/>
      <c r="D1718" s="93"/>
      <c r="E1718" s="94" t="str">
        <f t="shared" si="26"/>
        <v/>
      </c>
      <c r="F1718" s="95"/>
      <c r="G1718" s="93"/>
    </row>
    <row r="1719" spans="2:7" x14ac:dyDescent="0.2">
      <c r="B1719" s="92"/>
      <c r="C1719" s="93"/>
      <c r="D1719" s="93"/>
      <c r="E1719" s="94" t="str">
        <f t="shared" si="26"/>
        <v/>
      </c>
      <c r="F1719" s="95"/>
      <c r="G1719" s="93"/>
    </row>
    <row r="1720" spans="2:7" x14ac:dyDescent="0.2">
      <c r="B1720" s="92"/>
      <c r="C1720" s="93"/>
      <c r="D1720" s="93"/>
      <c r="E1720" s="94" t="str">
        <f t="shared" si="26"/>
        <v/>
      </c>
      <c r="F1720" s="95"/>
      <c r="G1720" s="93"/>
    </row>
    <row r="1721" spans="2:7" x14ac:dyDescent="0.2">
      <c r="B1721" s="92"/>
      <c r="C1721" s="93"/>
      <c r="D1721" s="93"/>
      <c r="E1721" s="94" t="str">
        <f t="shared" si="26"/>
        <v/>
      </c>
      <c r="F1721" s="95"/>
      <c r="G1721" s="93"/>
    </row>
    <row r="1722" spans="2:7" x14ac:dyDescent="0.2">
      <c r="B1722" s="92"/>
      <c r="C1722" s="93"/>
      <c r="D1722" s="93"/>
      <c r="E1722" s="94" t="str">
        <f t="shared" si="26"/>
        <v/>
      </c>
      <c r="F1722" s="95"/>
      <c r="G1722" s="93"/>
    </row>
    <row r="1723" spans="2:7" x14ac:dyDescent="0.2">
      <c r="B1723" s="92"/>
      <c r="C1723" s="93"/>
      <c r="D1723" s="93"/>
      <c r="E1723" s="94" t="str">
        <f t="shared" si="26"/>
        <v/>
      </c>
      <c r="F1723" s="95"/>
      <c r="G1723" s="93"/>
    </row>
    <row r="1724" spans="2:7" x14ac:dyDescent="0.2">
      <c r="B1724" s="92"/>
      <c r="C1724" s="93"/>
      <c r="D1724" s="93"/>
      <c r="E1724" s="94" t="str">
        <f t="shared" si="26"/>
        <v/>
      </c>
      <c r="F1724" s="95"/>
      <c r="G1724" s="93"/>
    </row>
    <row r="1725" spans="2:7" x14ac:dyDescent="0.2">
      <c r="B1725" s="92"/>
      <c r="C1725" s="93"/>
      <c r="D1725" s="93"/>
      <c r="E1725" s="94" t="str">
        <f t="shared" si="26"/>
        <v/>
      </c>
      <c r="F1725" s="95"/>
      <c r="G1725" s="93"/>
    </row>
    <row r="1726" spans="2:7" x14ac:dyDescent="0.2">
      <c r="B1726" s="92"/>
      <c r="C1726" s="93"/>
      <c r="D1726" s="93"/>
      <c r="E1726" s="94" t="str">
        <f t="shared" si="26"/>
        <v/>
      </c>
      <c r="F1726" s="95"/>
      <c r="G1726" s="93"/>
    </row>
    <row r="1727" spans="2:7" x14ac:dyDescent="0.2">
      <c r="B1727" s="92"/>
      <c r="C1727" s="93"/>
      <c r="D1727" s="93"/>
      <c r="E1727" s="94" t="str">
        <f t="shared" si="26"/>
        <v/>
      </c>
      <c r="F1727" s="95"/>
      <c r="G1727" s="93"/>
    </row>
    <row r="1728" spans="2:7" x14ac:dyDescent="0.2">
      <c r="B1728" s="92"/>
      <c r="C1728" s="93"/>
      <c r="D1728" s="93"/>
      <c r="E1728" s="94" t="str">
        <f t="shared" si="26"/>
        <v/>
      </c>
      <c r="F1728" s="95"/>
      <c r="G1728" s="93"/>
    </row>
    <row r="1729" spans="2:7" x14ac:dyDescent="0.2">
      <c r="B1729" s="92"/>
      <c r="C1729" s="93"/>
      <c r="D1729" s="93"/>
      <c r="E1729" s="94" t="str">
        <f t="shared" si="26"/>
        <v/>
      </c>
      <c r="F1729" s="95"/>
      <c r="G1729" s="93"/>
    </row>
    <row r="1730" spans="2:7" x14ac:dyDescent="0.2">
      <c r="B1730" s="92"/>
      <c r="C1730" s="93"/>
      <c r="D1730" s="93"/>
      <c r="E1730" s="94" t="str">
        <f t="shared" si="26"/>
        <v/>
      </c>
      <c r="F1730" s="95"/>
      <c r="G1730" s="93"/>
    </row>
    <row r="1731" spans="2:7" x14ac:dyDescent="0.2">
      <c r="B1731" s="92"/>
      <c r="C1731" s="93"/>
      <c r="D1731" s="93"/>
      <c r="E1731" s="94" t="str">
        <f t="shared" si="26"/>
        <v/>
      </c>
      <c r="F1731" s="95"/>
      <c r="G1731" s="93"/>
    </row>
    <row r="1732" spans="2:7" x14ac:dyDescent="0.2">
      <c r="B1732" s="92"/>
      <c r="C1732" s="93"/>
      <c r="D1732" s="93"/>
      <c r="E1732" s="94" t="str">
        <f t="shared" si="26"/>
        <v/>
      </c>
      <c r="F1732" s="95"/>
      <c r="G1732" s="93"/>
    </row>
    <row r="1733" spans="2:7" x14ac:dyDescent="0.2">
      <c r="B1733" s="92"/>
      <c r="C1733" s="93"/>
      <c r="D1733" s="93"/>
      <c r="E1733" s="94" t="str">
        <f t="shared" si="26"/>
        <v/>
      </c>
      <c r="F1733" s="95"/>
      <c r="G1733" s="93"/>
    </row>
    <row r="1734" spans="2:7" x14ac:dyDescent="0.2">
      <c r="B1734" s="92"/>
      <c r="C1734" s="93"/>
      <c r="D1734" s="93"/>
      <c r="E1734" s="94" t="str">
        <f t="shared" ref="E1734:E1797" si="27">IF(C1734&lt;&gt;"",D1734-C1734,"")</f>
        <v/>
      </c>
      <c r="F1734" s="95"/>
      <c r="G1734" s="93"/>
    </row>
    <row r="1735" spans="2:7" x14ac:dyDescent="0.2">
      <c r="B1735" s="92"/>
      <c r="C1735" s="93"/>
      <c r="D1735" s="93"/>
      <c r="E1735" s="94" t="str">
        <f t="shared" si="27"/>
        <v/>
      </c>
      <c r="F1735" s="95"/>
      <c r="G1735" s="93"/>
    </row>
    <row r="1736" spans="2:7" x14ac:dyDescent="0.2">
      <c r="B1736" s="92"/>
      <c r="C1736" s="93"/>
      <c r="D1736" s="93"/>
      <c r="E1736" s="94" t="str">
        <f t="shared" si="27"/>
        <v/>
      </c>
      <c r="F1736" s="95"/>
      <c r="G1736" s="93"/>
    </row>
    <row r="1737" spans="2:7" x14ac:dyDescent="0.2">
      <c r="B1737" s="92"/>
      <c r="C1737" s="93"/>
      <c r="D1737" s="93"/>
      <c r="E1737" s="94" t="str">
        <f t="shared" si="27"/>
        <v/>
      </c>
      <c r="F1737" s="95"/>
      <c r="G1737" s="93"/>
    </row>
    <row r="1738" spans="2:7" x14ac:dyDescent="0.2">
      <c r="B1738" s="92"/>
      <c r="C1738" s="93"/>
      <c r="D1738" s="93"/>
      <c r="E1738" s="94" t="str">
        <f t="shared" si="27"/>
        <v/>
      </c>
      <c r="F1738" s="95"/>
      <c r="G1738" s="93"/>
    </row>
    <row r="1739" spans="2:7" x14ac:dyDescent="0.2">
      <c r="B1739" s="92"/>
      <c r="C1739" s="93"/>
      <c r="D1739" s="93"/>
      <c r="E1739" s="94" t="str">
        <f t="shared" si="27"/>
        <v/>
      </c>
      <c r="F1739" s="95"/>
      <c r="G1739" s="93"/>
    </row>
    <row r="1740" spans="2:7" x14ac:dyDescent="0.2">
      <c r="B1740" s="92"/>
      <c r="C1740" s="93"/>
      <c r="D1740" s="93"/>
      <c r="E1740" s="94" t="str">
        <f t="shared" si="27"/>
        <v/>
      </c>
      <c r="F1740" s="95"/>
      <c r="G1740" s="93"/>
    </row>
    <row r="1741" spans="2:7" x14ac:dyDescent="0.2">
      <c r="B1741" s="92"/>
      <c r="C1741" s="93"/>
      <c r="D1741" s="93"/>
      <c r="E1741" s="94" t="str">
        <f t="shared" si="27"/>
        <v/>
      </c>
      <c r="F1741" s="95"/>
      <c r="G1741" s="93"/>
    </row>
    <row r="1742" spans="2:7" x14ac:dyDescent="0.2">
      <c r="B1742" s="92"/>
      <c r="C1742" s="93"/>
      <c r="D1742" s="93"/>
      <c r="E1742" s="94" t="str">
        <f t="shared" si="27"/>
        <v/>
      </c>
      <c r="F1742" s="95"/>
      <c r="G1742" s="93"/>
    </row>
    <row r="1743" spans="2:7" x14ac:dyDescent="0.2">
      <c r="B1743" s="92"/>
      <c r="C1743" s="93"/>
      <c r="D1743" s="93"/>
      <c r="E1743" s="94" t="str">
        <f t="shared" si="27"/>
        <v/>
      </c>
      <c r="F1743" s="95"/>
      <c r="G1743" s="93"/>
    </row>
    <row r="1744" spans="2:7" x14ac:dyDescent="0.2">
      <c r="B1744" s="92"/>
      <c r="C1744" s="93"/>
      <c r="D1744" s="93"/>
      <c r="E1744" s="94" t="str">
        <f t="shared" si="27"/>
        <v/>
      </c>
      <c r="F1744" s="95"/>
      <c r="G1744" s="93"/>
    </row>
    <row r="1745" spans="2:7" x14ac:dyDescent="0.2">
      <c r="B1745" s="92"/>
      <c r="C1745" s="93"/>
      <c r="D1745" s="93"/>
      <c r="E1745" s="94" t="str">
        <f t="shared" si="27"/>
        <v/>
      </c>
      <c r="F1745" s="95"/>
      <c r="G1745" s="93"/>
    </row>
    <row r="1746" spans="2:7" x14ac:dyDescent="0.2">
      <c r="B1746" s="92"/>
      <c r="C1746" s="93"/>
      <c r="D1746" s="93"/>
      <c r="E1746" s="94" t="str">
        <f t="shared" si="27"/>
        <v/>
      </c>
      <c r="F1746" s="95"/>
      <c r="G1746" s="93"/>
    </row>
    <row r="1747" spans="2:7" x14ac:dyDescent="0.2">
      <c r="B1747" s="92"/>
      <c r="C1747" s="93"/>
      <c r="D1747" s="93"/>
      <c r="E1747" s="94" t="str">
        <f t="shared" si="27"/>
        <v/>
      </c>
      <c r="F1747" s="95"/>
      <c r="G1747" s="93"/>
    </row>
    <row r="1748" spans="2:7" x14ac:dyDescent="0.2">
      <c r="B1748" s="92"/>
      <c r="C1748" s="93"/>
      <c r="D1748" s="93"/>
      <c r="E1748" s="94" t="str">
        <f t="shared" si="27"/>
        <v/>
      </c>
      <c r="F1748" s="95"/>
      <c r="G1748" s="93"/>
    </row>
    <row r="1749" spans="2:7" x14ac:dyDescent="0.2">
      <c r="B1749" s="92"/>
      <c r="C1749" s="93"/>
      <c r="D1749" s="93"/>
      <c r="E1749" s="94" t="str">
        <f t="shared" si="27"/>
        <v/>
      </c>
      <c r="F1749" s="95"/>
      <c r="G1749" s="93"/>
    </row>
    <row r="1750" spans="2:7" x14ac:dyDescent="0.2">
      <c r="B1750" s="92"/>
      <c r="C1750" s="93"/>
      <c r="D1750" s="93"/>
      <c r="E1750" s="94" t="str">
        <f t="shared" si="27"/>
        <v/>
      </c>
      <c r="F1750" s="95"/>
      <c r="G1750" s="93"/>
    </row>
    <row r="1751" spans="2:7" x14ac:dyDescent="0.2">
      <c r="B1751" s="92"/>
      <c r="C1751" s="93"/>
      <c r="D1751" s="93"/>
      <c r="E1751" s="94" t="str">
        <f t="shared" si="27"/>
        <v/>
      </c>
      <c r="F1751" s="95"/>
      <c r="G1751" s="93"/>
    </row>
    <row r="1752" spans="2:7" x14ac:dyDescent="0.2">
      <c r="B1752" s="92"/>
      <c r="C1752" s="93"/>
      <c r="D1752" s="93"/>
      <c r="E1752" s="94" t="str">
        <f t="shared" si="27"/>
        <v/>
      </c>
      <c r="F1752" s="95"/>
      <c r="G1752" s="93"/>
    </row>
    <row r="1753" spans="2:7" x14ac:dyDescent="0.2">
      <c r="B1753" s="92"/>
      <c r="C1753" s="93"/>
      <c r="D1753" s="93"/>
      <c r="E1753" s="94" t="str">
        <f t="shared" si="27"/>
        <v/>
      </c>
      <c r="F1753" s="95"/>
      <c r="G1753" s="93"/>
    </row>
    <row r="1754" spans="2:7" x14ac:dyDescent="0.2">
      <c r="B1754" s="92"/>
      <c r="C1754" s="93"/>
      <c r="D1754" s="93"/>
      <c r="E1754" s="94" t="str">
        <f t="shared" si="27"/>
        <v/>
      </c>
      <c r="F1754" s="95"/>
      <c r="G1754" s="93"/>
    </row>
    <row r="1755" spans="2:7" x14ac:dyDescent="0.2">
      <c r="B1755" s="92"/>
      <c r="C1755" s="93"/>
      <c r="D1755" s="93"/>
      <c r="E1755" s="94" t="str">
        <f t="shared" si="27"/>
        <v/>
      </c>
      <c r="F1755" s="95"/>
      <c r="G1755" s="93"/>
    </row>
    <row r="1756" spans="2:7" x14ac:dyDescent="0.2">
      <c r="B1756" s="92"/>
      <c r="C1756" s="93"/>
      <c r="D1756" s="93"/>
      <c r="E1756" s="94" t="str">
        <f t="shared" si="27"/>
        <v/>
      </c>
      <c r="F1756" s="95"/>
      <c r="G1756" s="93"/>
    </row>
    <row r="1757" spans="2:7" x14ac:dyDescent="0.2">
      <c r="B1757" s="92"/>
      <c r="C1757" s="93"/>
      <c r="D1757" s="93"/>
      <c r="E1757" s="94" t="str">
        <f t="shared" si="27"/>
        <v/>
      </c>
      <c r="F1757" s="95"/>
      <c r="G1757" s="93"/>
    </row>
    <row r="1758" spans="2:7" x14ac:dyDescent="0.2">
      <c r="B1758" s="92"/>
      <c r="C1758" s="93"/>
      <c r="D1758" s="93"/>
      <c r="E1758" s="94" t="str">
        <f t="shared" si="27"/>
        <v/>
      </c>
      <c r="F1758" s="95"/>
      <c r="G1758" s="93"/>
    </row>
    <row r="1759" spans="2:7" x14ac:dyDescent="0.2">
      <c r="B1759" s="92"/>
      <c r="C1759" s="93"/>
      <c r="D1759" s="93"/>
      <c r="E1759" s="94" t="str">
        <f t="shared" si="27"/>
        <v/>
      </c>
      <c r="F1759" s="95"/>
      <c r="G1759" s="93"/>
    </row>
    <row r="1760" spans="2:7" x14ac:dyDescent="0.2">
      <c r="B1760" s="92"/>
      <c r="C1760" s="93"/>
      <c r="D1760" s="93"/>
      <c r="E1760" s="94" t="str">
        <f t="shared" si="27"/>
        <v/>
      </c>
      <c r="F1760" s="95"/>
      <c r="G1760" s="93"/>
    </row>
    <row r="1761" spans="2:7" x14ac:dyDescent="0.2">
      <c r="B1761" s="92"/>
      <c r="C1761" s="93"/>
      <c r="D1761" s="93"/>
      <c r="E1761" s="94" t="str">
        <f t="shared" si="27"/>
        <v/>
      </c>
      <c r="F1761" s="95"/>
      <c r="G1761" s="93"/>
    </row>
    <row r="1762" spans="2:7" x14ac:dyDescent="0.2">
      <c r="B1762" s="92"/>
      <c r="C1762" s="93"/>
      <c r="D1762" s="93"/>
      <c r="E1762" s="94" t="str">
        <f t="shared" si="27"/>
        <v/>
      </c>
      <c r="F1762" s="95"/>
      <c r="G1762" s="93"/>
    </row>
    <row r="1763" spans="2:7" x14ac:dyDescent="0.2">
      <c r="B1763" s="92"/>
      <c r="C1763" s="93"/>
      <c r="D1763" s="93"/>
      <c r="E1763" s="94" t="str">
        <f t="shared" si="27"/>
        <v/>
      </c>
      <c r="F1763" s="95"/>
      <c r="G1763" s="93"/>
    </row>
    <row r="1764" spans="2:7" x14ac:dyDescent="0.2">
      <c r="B1764" s="92"/>
      <c r="C1764" s="93"/>
      <c r="D1764" s="93"/>
      <c r="E1764" s="94" t="str">
        <f t="shared" si="27"/>
        <v/>
      </c>
      <c r="F1764" s="95"/>
      <c r="G1764" s="93"/>
    </row>
    <row r="1765" spans="2:7" x14ac:dyDescent="0.2">
      <c r="B1765" s="92"/>
      <c r="C1765" s="93"/>
      <c r="D1765" s="93"/>
      <c r="E1765" s="94" t="str">
        <f t="shared" si="27"/>
        <v/>
      </c>
      <c r="F1765" s="95"/>
      <c r="G1765" s="93"/>
    </row>
    <row r="1766" spans="2:7" x14ac:dyDescent="0.2">
      <c r="B1766" s="92"/>
      <c r="C1766" s="93"/>
      <c r="D1766" s="93"/>
      <c r="E1766" s="94" t="str">
        <f t="shared" si="27"/>
        <v/>
      </c>
      <c r="F1766" s="95"/>
      <c r="G1766" s="93"/>
    </row>
    <row r="1767" spans="2:7" x14ac:dyDescent="0.2">
      <c r="B1767" s="92"/>
      <c r="C1767" s="93"/>
      <c r="D1767" s="93"/>
      <c r="E1767" s="94" t="str">
        <f t="shared" si="27"/>
        <v/>
      </c>
      <c r="F1767" s="95"/>
      <c r="G1767" s="93"/>
    </row>
    <row r="1768" spans="2:7" x14ac:dyDescent="0.2">
      <c r="B1768" s="92"/>
      <c r="C1768" s="93"/>
      <c r="D1768" s="93"/>
      <c r="E1768" s="94" t="str">
        <f t="shared" si="27"/>
        <v/>
      </c>
      <c r="F1768" s="95"/>
      <c r="G1768" s="93"/>
    </row>
    <row r="1769" spans="2:7" x14ac:dyDescent="0.2">
      <c r="B1769" s="92"/>
      <c r="C1769" s="93"/>
      <c r="D1769" s="93"/>
      <c r="E1769" s="94" t="str">
        <f t="shared" si="27"/>
        <v/>
      </c>
      <c r="F1769" s="95"/>
      <c r="G1769" s="93"/>
    </row>
    <row r="1770" spans="2:7" x14ac:dyDescent="0.2">
      <c r="B1770" s="92"/>
      <c r="C1770" s="93"/>
      <c r="D1770" s="93"/>
      <c r="E1770" s="94" t="str">
        <f t="shared" si="27"/>
        <v/>
      </c>
      <c r="F1770" s="95"/>
      <c r="G1770" s="93"/>
    </row>
    <row r="1771" spans="2:7" x14ac:dyDescent="0.2">
      <c r="B1771" s="92"/>
      <c r="C1771" s="93"/>
      <c r="D1771" s="93"/>
      <c r="E1771" s="94" t="str">
        <f t="shared" si="27"/>
        <v/>
      </c>
      <c r="F1771" s="95"/>
      <c r="G1771" s="93"/>
    </row>
    <row r="1772" spans="2:7" x14ac:dyDescent="0.2">
      <c r="B1772" s="92"/>
      <c r="C1772" s="93"/>
      <c r="D1772" s="93"/>
      <c r="E1772" s="94" t="str">
        <f t="shared" si="27"/>
        <v/>
      </c>
      <c r="F1772" s="95"/>
      <c r="G1772" s="93"/>
    </row>
    <row r="1773" spans="2:7" x14ac:dyDescent="0.2">
      <c r="B1773" s="92"/>
      <c r="C1773" s="93"/>
      <c r="D1773" s="93"/>
      <c r="E1773" s="94" t="str">
        <f t="shared" si="27"/>
        <v/>
      </c>
      <c r="F1773" s="95"/>
      <c r="G1773" s="93"/>
    </row>
    <row r="1774" spans="2:7" x14ac:dyDescent="0.2">
      <c r="B1774" s="92"/>
      <c r="C1774" s="93"/>
      <c r="D1774" s="93"/>
      <c r="E1774" s="94" t="str">
        <f t="shared" si="27"/>
        <v/>
      </c>
      <c r="F1774" s="95"/>
      <c r="G1774" s="93"/>
    </row>
    <row r="1775" spans="2:7" x14ac:dyDescent="0.2">
      <c r="B1775" s="92"/>
      <c r="C1775" s="93"/>
      <c r="D1775" s="93"/>
      <c r="E1775" s="94" t="str">
        <f t="shared" si="27"/>
        <v/>
      </c>
      <c r="F1775" s="95"/>
      <c r="G1775" s="93"/>
    </row>
    <row r="1776" spans="2:7" x14ac:dyDescent="0.2">
      <c r="B1776" s="92"/>
      <c r="C1776" s="93"/>
      <c r="D1776" s="93"/>
      <c r="E1776" s="94" t="str">
        <f t="shared" si="27"/>
        <v/>
      </c>
      <c r="F1776" s="95"/>
      <c r="G1776" s="93"/>
    </row>
    <row r="1777" spans="2:7" x14ac:dyDescent="0.2">
      <c r="B1777" s="92"/>
      <c r="C1777" s="93"/>
      <c r="D1777" s="93"/>
      <c r="E1777" s="94" t="str">
        <f t="shared" si="27"/>
        <v/>
      </c>
      <c r="F1777" s="95"/>
      <c r="G1777" s="93"/>
    </row>
    <row r="1778" spans="2:7" x14ac:dyDescent="0.2">
      <c r="B1778" s="92"/>
      <c r="C1778" s="93"/>
      <c r="D1778" s="93"/>
      <c r="E1778" s="94" t="str">
        <f t="shared" si="27"/>
        <v/>
      </c>
      <c r="F1778" s="95"/>
      <c r="G1778" s="93"/>
    </row>
    <row r="1779" spans="2:7" x14ac:dyDescent="0.2">
      <c r="B1779" s="92"/>
      <c r="C1779" s="93"/>
      <c r="D1779" s="93"/>
      <c r="E1779" s="94" t="str">
        <f t="shared" si="27"/>
        <v/>
      </c>
      <c r="F1779" s="95"/>
      <c r="G1779" s="93"/>
    </row>
    <row r="1780" spans="2:7" x14ac:dyDescent="0.2">
      <c r="B1780" s="92"/>
      <c r="C1780" s="93"/>
      <c r="D1780" s="93"/>
      <c r="E1780" s="94" t="str">
        <f t="shared" si="27"/>
        <v/>
      </c>
      <c r="F1780" s="95"/>
      <c r="G1780" s="93"/>
    </row>
    <row r="1781" spans="2:7" x14ac:dyDescent="0.2">
      <c r="B1781" s="92"/>
      <c r="C1781" s="93"/>
      <c r="D1781" s="93"/>
      <c r="E1781" s="94" t="str">
        <f t="shared" si="27"/>
        <v/>
      </c>
      <c r="F1781" s="95"/>
      <c r="G1781" s="93"/>
    </row>
    <row r="1782" spans="2:7" x14ac:dyDescent="0.2">
      <c r="B1782" s="92"/>
      <c r="C1782" s="93"/>
      <c r="D1782" s="93"/>
      <c r="E1782" s="94" t="str">
        <f t="shared" si="27"/>
        <v/>
      </c>
      <c r="F1782" s="95"/>
      <c r="G1782" s="93"/>
    </row>
    <row r="1783" spans="2:7" x14ac:dyDescent="0.2">
      <c r="B1783" s="92"/>
      <c r="C1783" s="93"/>
      <c r="D1783" s="93"/>
      <c r="E1783" s="94" t="str">
        <f t="shared" si="27"/>
        <v/>
      </c>
      <c r="F1783" s="95"/>
      <c r="G1783" s="93"/>
    </row>
    <row r="1784" spans="2:7" x14ac:dyDescent="0.2">
      <c r="B1784" s="92"/>
      <c r="C1784" s="93"/>
      <c r="D1784" s="93"/>
      <c r="E1784" s="94" t="str">
        <f t="shared" si="27"/>
        <v/>
      </c>
      <c r="F1784" s="95"/>
      <c r="G1784" s="93"/>
    </row>
    <row r="1785" spans="2:7" x14ac:dyDescent="0.2">
      <c r="B1785" s="92"/>
      <c r="C1785" s="93"/>
      <c r="D1785" s="93"/>
      <c r="E1785" s="94" t="str">
        <f t="shared" si="27"/>
        <v/>
      </c>
      <c r="F1785" s="95"/>
      <c r="G1785" s="93"/>
    </row>
    <row r="1786" spans="2:7" x14ac:dyDescent="0.2">
      <c r="B1786" s="92"/>
      <c r="C1786" s="93"/>
      <c r="D1786" s="93"/>
      <c r="E1786" s="94" t="str">
        <f t="shared" si="27"/>
        <v/>
      </c>
      <c r="F1786" s="95"/>
      <c r="G1786" s="93"/>
    </row>
    <row r="1787" spans="2:7" x14ac:dyDescent="0.2">
      <c r="B1787" s="92"/>
      <c r="C1787" s="93"/>
      <c r="D1787" s="93"/>
      <c r="E1787" s="94" t="str">
        <f t="shared" si="27"/>
        <v/>
      </c>
      <c r="F1787" s="95"/>
      <c r="G1787" s="93"/>
    </row>
    <row r="1788" spans="2:7" x14ac:dyDescent="0.2">
      <c r="B1788" s="92"/>
      <c r="C1788" s="93"/>
      <c r="D1788" s="93"/>
      <c r="E1788" s="94" t="str">
        <f t="shared" si="27"/>
        <v/>
      </c>
      <c r="F1788" s="95"/>
      <c r="G1788" s="93"/>
    </row>
    <row r="1789" spans="2:7" x14ac:dyDescent="0.2">
      <c r="B1789" s="92"/>
      <c r="C1789" s="93"/>
      <c r="D1789" s="93"/>
      <c r="E1789" s="94" t="str">
        <f t="shared" si="27"/>
        <v/>
      </c>
      <c r="F1789" s="95"/>
      <c r="G1789" s="93"/>
    </row>
    <row r="1790" spans="2:7" x14ac:dyDescent="0.2">
      <c r="B1790" s="92"/>
      <c r="C1790" s="93"/>
      <c r="D1790" s="93"/>
      <c r="E1790" s="94" t="str">
        <f t="shared" si="27"/>
        <v/>
      </c>
      <c r="F1790" s="95"/>
      <c r="G1790" s="93"/>
    </row>
    <row r="1791" spans="2:7" x14ac:dyDescent="0.2">
      <c r="B1791" s="92"/>
      <c r="C1791" s="93"/>
      <c r="D1791" s="93"/>
      <c r="E1791" s="94" t="str">
        <f t="shared" si="27"/>
        <v/>
      </c>
      <c r="F1791" s="95"/>
      <c r="G1791" s="93"/>
    </row>
    <row r="1792" spans="2:7" x14ac:dyDescent="0.2">
      <c r="B1792" s="92"/>
      <c r="C1792" s="93"/>
      <c r="D1792" s="93"/>
      <c r="E1792" s="94" t="str">
        <f t="shared" si="27"/>
        <v/>
      </c>
      <c r="F1792" s="95"/>
      <c r="G1792" s="93"/>
    </row>
    <row r="1793" spans="2:7" x14ac:dyDescent="0.2">
      <c r="B1793" s="92"/>
      <c r="C1793" s="93"/>
      <c r="D1793" s="93"/>
      <c r="E1793" s="94" t="str">
        <f t="shared" si="27"/>
        <v/>
      </c>
      <c r="F1793" s="95"/>
      <c r="G1793" s="93"/>
    </row>
    <row r="1794" spans="2:7" x14ac:dyDescent="0.2">
      <c r="B1794" s="92"/>
      <c r="C1794" s="93"/>
      <c r="D1794" s="93"/>
      <c r="E1794" s="94" t="str">
        <f t="shared" si="27"/>
        <v/>
      </c>
      <c r="F1794" s="95"/>
      <c r="G1794" s="93"/>
    </row>
    <row r="1795" spans="2:7" x14ac:dyDescent="0.2">
      <c r="B1795" s="92"/>
      <c r="C1795" s="93"/>
      <c r="D1795" s="93"/>
      <c r="E1795" s="94" t="str">
        <f t="shared" si="27"/>
        <v/>
      </c>
      <c r="F1795" s="95"/>
      <c r="G1795" s="93"/>
    </row>
    <row r="1796" spans="2:7" x14ac:dyDescent="0.2">
      <c r="B1796" s="92"/>
      <c r="C1796" s="93"/>
      <c r="D1796" s="93"/>
      <c r="E1796" s="94" t="str">
        <f t="shared" si="27"/>
        <v/>
      </c>
      <c r="F1796" s="95"/>
      <c r="G1796" s="93"/>
    </row>
    <row r="1797" spans="2:7" x14ac:dyDescent="0.2">
      <c r="B1797" s="92"/>
      <c r="C1797" s="93"/>
      <c r="D1797" s="93"/>
      <c r="E1797" s="94" t="str">
        <f t="shared" si="27"/>
        <v/>
      </c>
      <c r="F1797" s="95"/>
      <c r="G1797" s="93"/>
    </row>
    <row r="1798" spans="2:7" x14ac:dyDescent="0.2">
      <c r="B1798" s="92"/>
      <c r="C1798" s="93"/>
      <c r="D1798" s="93"/>
      <c r="E1798" s="94" t="str">
        <f t="shared" ref="E1798:E1861" si="28">IF(C1798&lt;&gt;"",D1798-C1798,"")</f>
        <v/>
      </c>
      <c r="F1798" s="95"/>
      <c r="G1798" s="93"/>
    </row>
    <row r="1799" spans="2:7" x14ac:dyDescent="0.2">
      <c r="B1799" s="92"/>
      <c r="C1799" s="93"/>
      <c r="D1799" s="93"/>
      <c r="E1799" s="94" t="str">
        <f t="shared" si="28"/>
        <v/>
      </c>
      <c r="F1799" s="95"/>
      <c r="G1799" s="93"/>
    </row>
    <row r="1800" spans="2:7" x14ac:dyDescent="0.2">
      <c r="B1800" s="92"/>
      <c r="C1800" s="93"/>
      <c r="D1800" s="93"/>
      <c r="E1800" s="94" t="str">
        <f t="shared" si="28"/>
        <v/>
      </c>
      <c r="F1800" s="95"/>
      <c r="G1800" s="93"/>
    </row>
    <row r="1801" spans="2:7" x14ac:dyDescent="0.2">
      <c r="B1801" s="92"/>
      <c r="C1801" s="93"/>
      <c r="D1801" s="93"/>
      <c r="E1801" s="94" t="str">
        <f t="shared" si="28"/>
        <v/>
      </c>
      <c r="F1801" s="95"/>
      <c r="G1801" s="93"/>
    </row>
    <row r="1802" spans="2:7" x14ac:dyDescent="0.2">
      <c r="B1802" s="92"/>
      <c r="C1802" s="93"/>
      <c r="D1802" s="93"/>
      <c r="E1802" s="94" t="str">
        <f t="shared" si="28"/>
        <v/>
      </c>
      <c r="F1802" s="95"/>
      <c r="G1802" s="93"/>
    </row>
    <row r="1803" spans="2:7" x14ac:dyDescent="0.2">
      <c r="B1803" s="92"/>
      <c r="C1803" s="93"/>
      <c r="D1803" s="93"/>
      <c r="E1803" s="94" t="str">
        <f t="shared" si="28"/>
        <v/>
      </c>
      <c r="F1803" s="95"/>
      <c r="G1803" s="93"/>
    </row>
    <row r="1804" spans="2:7" x14ac:dyDescent="0.2">
      <c r="B1804" s="92"/>
      <c r="C1804" s="93"/>
      <c r="D1804" s="93"/>
      <c r="E1804" s="94" t="str">
        <f t="shared" si="28"/>
        <v/>
      </c>
      <c r="F1804" s="95"/>
      <c r="G1804" s="93"/>
    </row>
    <row r="1805" spans="2:7" x14ac:dyDescent="0.2">
      <c r="B1805" s="92"/>
      <c r="C1805" s="93"/>
      <c r="D1805" s="93"/>
      <c r="E1805" s="94" t="str">
        <f t="shared" si="28"/>
        <v/>
      </c>
      <c r="F1805" s="95"/>
      <c r="G1805" s="93"/>
    </row>
    <row r="1806" spans="2:7" x14ac:dyDescent="0.2">
      <c r="B1806" s="92"/>
      <c r="C1806" s="93"/>
      <c r="D1806" s="93"/>
      <c r="E1806" s="94" t="str">
        <f t="shared" si="28"/>
        <v/>
      </c>
      <c r="F1806" s="95"/>
      <c r="G1806" s="93"/>
    </row>
    <row r="1807" spans="2:7" x14ac:dyDescent="0.2">
      <c r="B1807" s="92"/>
      <c r="C1807" s="93"/>
      <c r="D1807" s="93"/>
      <c r="E1807" s="94" t="str">
        <f t="shared" si="28"/>
        <v/>
      </c>
      <c r="F1807" s="95"/>
      <c r="G1807" s="93"/>
    </row>
    <row r="1808" spans="2:7" x14ac:dyDescent="0.2">
      <c r="B1808" s="92"/>
      <c r="C1808" s="93"/>
      <c r="D1808" s="93"/>
      <c r="E1808" s="94" t="str">
        <f t="shared" si="28"/>
        <v/>
      </c>
      <c r="F1808" s="95"/>
      <c r="G1808" s="93"/>
    </row>
    <row r="1809" spans="2:7" x14ac:dyDescent="0.2">
      <c r="B1809" s="92"/>
      <c r="C1809" s="93"/>
      <c r="D1809" s="93"/>
      <c r="E1809" s="94" t="str">
        <f t="shared" si="28"/>
        <v/>
      </c>
      <c r="F1809" s="95"/>
      <c r="G1809" s="93"/>
    </row>
    <row r="1810" spans="2:7" x14ac:dyDescent="0.2">
      <c r="B1810" s="92"/>
      <c r="C1810" s="93"/>
      <c r="D1810" s="93"/>
      <c r="E1810" s="94" t="str">
        <f t="shared" si="28"/>
        <v/>
      </c>
      <c r="F1810" s="95"/>
      <c r="G1810" s="93"/>
    </row>
    <row r="1811" spans="2:7" x14ac:dyDescent="0.2">
      <c r="B1811" s="92"/>
      <c r="C1811" s="93"/>
      <c r="D1811" s="93"/>
      <c r="E1811" s="94" t="str">
        <f t="shared" si="28"/>
        <v/>
      </c>
      <c r="F1811" s="95"/>
      <c r="G1811" s="93"/>
    </row>
    <row r="1812" spans="2:7" x14ac:dyDescent="0.2">
      <c r="B1812" s="92"/>
      <c r="C1812" s="93"/>
      <c r="D1812" s="93"/>
      <c r="E1812" s="94" t="str">
        <f t="shared" si="28"/>
        <v/>
      </c>
      <c r="F1812" s="95"/>
      <c r="G1812" s="93"/>
    </row>
    <row r="1813" spans="2:7" x14ac:dyDescent="0.2">
      <c r="B1813" s="92"/>
      <c r="C1813" s="93"/>
      <c r="D1813" s="93"/>
      <c r="E1813" s="94" t="str">
        <f t="shared" si="28"/>
        <v/>
      </c>
      <c r="F1813" s="95"/>
      <c r="G1813" s="93"/>
    </row>
    <row r="1814" spans="2:7" x14ac:dyDescent="0.2">
      <c r="B1814" s="92"/>
      <c r="C1814" s="93"/>
      <c r="D1814" s="93"/>
      <c r="E1814" s="94" t="str">
        <f t="shared" si="28"/>
        <v/>
      </c>
      <c r="F1814" s="95"/>
      <c r="G1814" s="93"/>
    </row>
    <row r="1815" spans="2:7" x14ac:dyDescent="0.2">
      <c r="B1815" s="92"/>
      <c r="C1815" s="93"/>
      <c r="D1815" s="93"/>
      <c r="E1815" s="94" t="str">
        <f t="shared" si="28"/>
        <v/>
      </c>
      <c r="F1815" s="95"/>
      <c r="G1815" s="93"/>
    </row>
    <row r="1816" spans="2:7" x14ac:dyDescent="0.2">
      <c r="B1816" s="92"/>
      <c r="C1816" s="93"/>
      <c r="D1816" s="93"/>
      <c r="E1816" s="94" t="str">
        <f t="shared" si="28"/>
        <v/>
      </c>
      <c r="F1816" s="95"/>
      <c r="G1816" s="93"/>
    </row>
    <row r="1817" spans="2:7" x14ac:dyDescent="0.2">
      <c r="B1817" s="92"/>
      <c r="C1817" s="93"/>
      <c r="D1817" s="93"/>
      <c r="E1817" s="94" t="str">
        <f t="shared" si="28"/>
        <v/>
      </c>
      <c r="F1817" s="95"/>
      <c r="G1817" s="93"/>
    </row>
    <row r="1818" spans="2:7" x14ac:dyDescent="0.2">
      <c r="B1818" s="92"/>
      <c r="C1818" s="93"/>
      <c r="D1818" s="93"/>
      <c r="E1818" s="94" t="str">
        <f t="shared" si="28"/>
        <v/>
      </c>
      <c r="F1818" s="95"/>
      <c r="G1818" s="93"/>
    </row>
    <row r="1819" spans="2:7" x14ac:dyDescent="0.2">
      <c r="B1819" s="92"/>
      <c r="C1819" s="93"/>
      <c r="D1819" s="93"/>
      <c r="E1819" s="94" t="str">
        <f t="shared" si="28"/>
        <v/>
      </c>
      <c r="F1819" s="95"/>
      <c r="G1819" s="93"/>
    </row>
    <row r="1820" spans="2:7" x14ac:dyDescent="0.2">
      <c r="B1820" s="92"/>
      <c r="C1820" s="93"/>
      <c r="D1820" s="93"/>
      <c r="E1820" s="94" t="str">
        <f t="shared" si="28"/>
        <v/>
      </c>
      <c r="F1820" s="95"/>
      <c r="G1820" s="93"/>
    </row>
    <row r="1821" spans="2:7" x14ac:dyDescent="0.2">
      <c r="B1821" s="92"/>
      <c r="C1821" s="93"/>
      <c r="D1821" s="93"/>
      <c r="E1821" s="94" t="str">
        <f t="shared" si="28"/>
        <v/>
      </c>
      <c r="F1821" s="95"/>
      <c r="G1821" s="93"/>
    </row>
    <row r="1822" spans="2:7" x14ac:dyDescent="0.2">
      <c r="B1822" s="92"/>
      <c r="C1822" s="93"/>
      <c r="D1822" s="93"/>
      <c r="E1822" s="94" t="str">
        <f t="shared" si="28"/>
        <v/>
      </c>
      <c r="F1822" s="95"/>
      <c r="G1822" s="93"/>
    </row>
    <row r="1823" spans="2:7" x14ac:dyDescent="0.2">
      <c r="B1823" s="92"/>
      <c r="C1823" s="93"/>
      <c r="D1823" s="93"/>
      <c r="E1823" s="94" t="str">
        <f t="shared" si="28"/>
        <v/>
      </c>
      <c r="F1823" s="95"/>
      <c r="G1823" s="93"/>
    </row>
    <row r="1824" spans="2:7" x14ac:dyDescent="0.2">
      <c r="B1824" s="92"/>
      <c r="C1824" s="93"/>
      <c r="D1824" s="93"/>
      <c r="E1824" s="94" t="str">
        <f t="shared" si="28"/>
        <v/>
      </c>
      <c r="F1824" s="95"/>
      <c r="G1824" s="93"/>
    </row>
    <row r="1825" spans="2:7" x14ac:dyDescent="0.2">
      <c r="B1825" s="92"/>
      <c r="C1825" s="93"/>
      <c r="D1825" s="93"/>
      <c r="E1825" s="94" t="str">
        <f t="shared" si="28"/>
        <v/>
      </c>
      <c r="F1825" s="95"/>
      <c r="G1825" s="93"/>
    </row>
    <row r="1826" spans="2:7" x14ac:dyDescent="0.2">
      <c r="B1826" s="92"/>
      <c r="C1826" s="93"/>
      <c r="D1826" s="93"/>
      <c r="E1826" s="94" t="str">
        <f t="shared" si="28"/>
        <v/>
      </c>
      <c r="F1826" s="95"/>
      <c r="G1826" s="93"/>
    </row>
    <row r="1827" spans="2:7" x14ac:dyDescent="0.2">
      <c r="B1827" s="92"/>
      <c r="C1827" s="93"/>
      <c r="D1827" s="93"/>
      <c r="E1827" s="94" t="str">
        <f t="shared" si="28"/>
        <v/>
      </c>
      <c r="F1827" s="95"/>
      <c r="G1827" s="93"/>
    </row>
    <row r="1828" spans="2:7" x14ac:dyDescent="0.2">
      <c r="B1828" s="92"/>
      <c r="C1828" s="93"/>
      <c r="D1828" s="93"/>
      <c r="E1828" s="94" t="str">
        <f t="shared" si="28"/>
        <v/>
      </c>
      <c r="F1828" s="95"/>
      <c r="G1828" s="93"/>
    </row>
    <row r="1829" spans="2:7" x14ac:dyDescent="0.2">
      <c r="B1829" s="92"/>
      <c r="C1829" s="93"/>
      <c r="D1829" s="93"/>
      <c r="E1829" s="94" t="str">
        <f t="shared" si="28"/>
        <v/>
      </c>
      <c r="F1829" s="95"/>
      <c r="G1829" s="93"/>
    </row>
    <row r="1830" spans="2:7" x14ac:dyDescent="0.2">
      <c r="B1830" s="92"/>
      <c r="C1830" s="93"/>
      <c r="D1830" s="93"/>
      <c r="E1830" s="94" t="str">
        <f t="shared" si="28"/>
        <v/>
      </c>
      <c r="F1830" s="95"/>
      <c r="G1830" s="93"/>
    </row>
    <row r="1831" spans="2:7" x14ac:dyDescent="0.2">
      <c r="B1831" s="92"/>
      <c r="C1831" s="93"/>
      <c r="D1831" s="93"/>
      <c r="E1831" s="94" t="str">
        <f t="shared" si="28"/>
        <v/>
      </c>
      <c r="F1831" s="95"/>
      <c r="G1831" s="93"/>
    </row>
    <row r="1832" spans="2:7" x14ac:dyDescent="0.2">
      <c r="B1832" s="92"/>
      <c r="C1832" s="93"/>
      <c r="D1832" s="93"/>
      <c r="E1832" s="94" t="str">
        <f t="shared" si="28"/>
        <v/>
      </c>
      <c r="F1832" s="95"/>
      <c r="G1832" s="93"/>
    </row>
    <row r="1833" spans="2:7" x14ac:dyDescent="0.2">
      <c r="B1833" s="92"/>
      <c r="C1833" s="93"/>
      <c r="D1833" s="93"/>
      <c r="E1833" s="94" t="str">
        <f t="shared" si="28"/>
        <v/>
      </c>
      <c r="F1833" s="95"/>
      <c r="G1833" s="93"/>
    </row>
    <row r="1834" spans="2:7" x14ac:dyDescent="0.2">
      <c r="B1834" s="92"/>
      <c r="C1834" s="93"/>
      <c r="D1834" s="93"/>
      <c r="E1834" s="94" t="str">
        <f t="shared" si="28"/>
        <v/>
      </c>
      <c r="F1834" s="95"/>
      <c r="G1834" s="93"/>
    </row>
    <row r="1835" spans="2:7" x14ac:dyDescent="0.2">
      <c r="B1835" s="92"/>
      <c r="C1835" s="93"/>
      <c r="D1835" s="93"/>
      <c r="E1835" s="94" t="str">
        <f t="shared" si="28"/>
        <v/>
      </c>
      <c r="F1835" s="95"/>
      <c r="G1835" s="93"/>
    </row>
    <row r="1836" spans="2:7" x14ac:dyDescent="0.2">
      <c r="B1836" s="92"/>
      <c r="C1836" s="93"/>
      <c r="D1836" s="93"/>
      <c r="E1836" s="94" t="str">
        <f t="shared" si="28"/>
        <v/>
      </c>
      <c r="F1836" s="95"/>
      <c r="G1836" s="93"/>
    </row>
    <row r="1837" spans="2:7" x14ac:dyDescent="0.2">
      <c r="B1837" s="92"/>
      <c r="C1837" s="93"/>
      <c r="D1837" s="93"/>
      <c r="E1837" s="94" t="str">
        <f t="shared" si="28"/>
        <v/>
      </c>
      <c r="F1837" s="95"/>
      <c r="G1837" s="93"/>
    </row>
    <row r="1838" spans="2:7" x14ac:dyDescent="0.2">
      <c r="B1838" s="92"/>
      <c r="C1838" s="93"/>
      <c r="D1838" s="93"/>
      <c r="E1838" s="94" t="str">
        <f t="shared" si="28"/>
        <v/>
      </c>
      <c r="F1838" s="95"/>
      <c r="G1838" s="93"/>
    </row>
    <row r="1839" spans="2:7" x14ac:dyDescent="0.2">
      <c r="B1839" s="92"/>
      <c r="C1839" s="93"/>
      <c r="D1839" s="93"/>
      <c r="E1839" s="94" t="str">
        <f t="shared" si="28"/>
        <v/>
      </c>
      <c r="F1839" s="95"/>
      <c r="G1839" s="93"/>
    </row>
    <row r="1840" spans="2:7" x14ac:dyDescent="0.2">
      <c r="B1840" s="92"/>
      <c r="C1840" s="93"/>
      <c r="D1840" s="93"/>
      <c r="E1840" s="94" t="str">
        <f t="shared" si="28"/>
        <v/>
      </c>
      <c r="F1840" s="95"/>
      <c r="G1840" s="93"/>
    </row>
    <row r="1841" spans="2:7" x14ac:dyDescent="0.2">
      <c r="B1841" s="92"/>
      <c r="C1841" s="93"/>
      <c r="D1841" s="93"/>
      <c r="E1841" s="94" t="str">
        <f t="shared" si="28"/>
        <v/>
      </c>
      <c r="F1841" s="95"/>
      <c r="G1841" s="93"/>
    </row>
    <row r="1842" spans="2:7" x14ac:dyDescent="0.2">
      <c r="B1842" s="92"/>
      <c r="C1842" s="93"/>
      <c r="D1842" s="93"/>
      <c r="E1842" s="94" t="str">
        <f t="shared" si="28"/>
        <v/>
      </c>
      <c r="F1842" s="95"/>
      <c r="G1842" s="93"/>
    </row>
    <row r="1843" spans="2:7" x14ac:dyDescent="0.2">
      <c r="B1843" s="92"/>
      <c r="C1843" s="93"/>
      <c r="D1843" s="93"/>
      <c r="E1843" s="94" t="str">
        <f t="shared" si="28"/>
        <v/>
      </c>
      <c r="F1843" s="95"/>
      <c r="G1843" s="93"/>
    </row>
    <row r="1844" spans="2:7" x14ac:dyDescent="0.2">
      <c r="B1844" s="92"/>
      <c r="C1844" s="93"/>
      <c r="D1844" s="93"/>
      <c r="E1844" s="94" t="str">
        <f t="shared" si="28"/>
        <v/>
      </c>
      <c r="F1844" s="95"/>
      <c r="G1844" s="93"/>
    </row>
    <row r="1845" spans="2:7" x14ac:dyDescent="0.2">
      <c r="B1845" s="92"/>
      <c r="C1845" s="93"/>
      <c r="D1845" s="93"/>
      <c r="E1845" s="94" t="str">
        <f t="shared" si="28"/>
        <v/>
      </c>
      <c r="F1845" s="95"/>
      <c r="G1845" s="93"/>
    </row>
    <row r="1846" spans="2:7" x14ac:dyDescent="0.2">
      <c r="B1846" s="92"/>
      <c r="C1846" s="93"/>
      <c r="D1846" s="93"/>
      <c r="E1846" s="94" t="str">
        <f t="shared" si="28"/>
        <v/>
      </c>
      <c r="F1846" s="95"/>
      <c r="G1846" s="93"/>
    </row>
    <row r="1847" spans="2:7" x14ac:dyDescent="0.2">
      <c r="B1847" s="92"/>
      <c r="C1847" s="93"/>
      <c r="D1847" s="93"/>
      <c r="E1847" s="94" t="str">
        <f t="shared" si="28"/>
        <v/>
      </c>
      <c r="F1847" s="95"/>
      <c r="G1847" s="93"/>
    </row>
    <row r="1848" spans="2:7" x14ac:dyDescent="0.2">
      <c r="B1848" s="92"/>
      <c r="C1848" s="93"/>
      <c r="D1848" s="93"/>
      <c r="E1848" s="94" t="str">
        <f t="shared" si="28"/>
        <v/>
      </c>
      <c r="F1848" s="95"/>
      <c r="G1848" s="93"/>
    </row>
    <row r="1849" spans="2:7" x14ac:dyDescent="0.2">
      <c r="B1849" s="92"/>
      <c r="C1849" s="93"/>
      <c r="D1849" s="93"/>
      <c r="E1849" s="94" t="str">
        <f t="shared" si="28"/>
        <v/>
      </c>
      <c r="F1849" s="95"/>
      <c r="G1849" s="93"/>
    </row>
    <row r="1850" spans="2:7" x14ac:dyDescent="0.2">
      <c r="B1850" s="92"/>
      <c r="C1850" s="93"/>
      <c r="D1850" s="93"/>
      <c r="E1850" s="94" t="str">
        <f t="shared" si="28"/>
        <v/>
      </c>
      <c r="F1850" s="95"/>
      <c r="G1850" s="93"/>
    </row>
    <row r="1851" spans="2:7" x14ac:dyDescent="0.2">
      <c r="B1851" s="92"/>
      <c r="C1851" s="93"/>
      <c r="D1851" s="93"/>
      <c r="E1851" s="94" t="str">
        <f t="shared" si="28"/>
        <v/>
      </c>
      <c r="F1851" s="95"/>
      <c r="G1851" s="93"/>
    </row>
    <row r="1852" spans="2:7" x14ac:dyDescent="0.2">
      <c r="B1852" s="92"/>
      <c r="C1852" s="93"/>
      <c r="D1852" s="93"/>
      <c r="E1852" s="94" t="str">
        <f t="shared" si="28"/>
        <v/>
      </c>
      <c r="F1852" s="95"/>
      <c r="G1852" s="93"/>
    </row>
    <row r="1853" spans="2:7" x14ac:dyDescent="0.2">
      <c r="B1853" s="92"/>
      <c r="C1853" s="93"/>
      <c r="D1853" s="93"/>
      <c r="E1853" s="94" t="str">
        <f t="shared" si="28"/>
        <v/>
      </c>
      <c r="F1853" s="95"/>
      <c r="G1853" s="93"/>
    </row>
    <row r="1854" spans="2:7" x14ac:dyDescent="0.2">
      <c r="B1854" s="92"/>
      <c r="C1854" s="93"/>
      <c r="D1854" s="93"/>
      <c r="E1854" s="94" t="str">
        <f t="shared" si="28"/>
        <v/>
      </c>
      <c r="F1854" s="95"/>
      <c r="G1854" s="93"/>
    </row>
    <row r="1855" spans="2:7" x14ac:dyDescent="0.2">
      <c r="B1855" s="92"/>
      <c r="C1855" s="93"/>
      <c r="D1855" s="93"/>
      <c r="E1855" s="94" t="str">
        <f t="shared" si="28"/>
        <v/>
      </c>
      <c r="F1855" s="95"/>
      <c r="G1855" s="93"/>
    </row>
    <row r="1856" spans="2:7" x14ac:dyDescent="0.2">
      <c r="B1856" s="92"/>
      <c r="C1856" s="93"/>
      <c r="D1856" s="93"/>
      <c r="E1856" s="94" t="str">
        <f t="shared" si="28"/>
        <v/>
      </c>
      <c r="F1856" s="95"/>
      <c r="G1856" s="93"/>
    </row>
    <row r="1857" spans="2:7" x14ac:dyDescent="0.2">
      <c r="B1857" s="92"/>
      <c r="C1857" s="93"/>
      <c r="D1857" s="93"/>
      <c r="E1857" s="94" t="str">
        <f t="shared" si="28"/>
        <v/>
      </c>
      <c r="F1857" s="95"/>
      <c r="G1857" s="93"/>
    </row>
    <row r="1858" spans="2:7" x14ac:dyDescent="0.2">
      <c r="B1858" s="92"/>
      <c r="C1858" s="93"/>
      <c r="D1858" s="93"/>
      <c r="E1858" s="94" t="str">
        <f t="shared" si="28"/>
        <v/>
      </c>
      <c r="F1858" s="95"/>
      <c r="G1858" s="93"/>
    </row>
    <row r="1859" spans="2:7" x14ac:dyDescent="0.2">
      <c r="B1859" s="92"/>
      <c r="C1859" s="93"/>
      <c r="D1859" s="93"/>
      <c r="E1859" s="94" t="str">
        <f t="shared" si="28"/>
        <v/>
      </c>
      <c r="F1859" s="95"/>
      <c r="G1859" s="93"/>
    </row>
    <row r="1860" spans="2:7" x14ac:dyDescent="0.2">
      <c r="B1860" s="92"/>
      <c r="C1860" s="93"/>
      <c r="D1860" s="93"/>
      <c r="E1860" s="94" t="str">
        <f t="shared" si="28"/>
        <v/>
      </c>
      <c r="F1860" s="95"/>
      <c r="G1860" s="93"/>
    </row>
    <row r="1861" spans="2:7" x14ac:dyDescent="0.2">
      <c r="B1861" s="92"/>
      <c r="C1861" s="93"/>
      <c r="D1861" s="93"/>
      <c r="E1861" s="94" t="str">
        <f t="shared" si="28"/>
        <v/>
      </c>
      <c r="F1861" s="95"/>
      <c r="G1861" s="93"/>
    </row>
    <row r="1862" spans="2:7" x14ac:dyDescent="0.2">
      <c r="B1862" s="92"/>
      <c r="C1862" s="93"/>
      <c r="D1862" s="93"/>
      <c r="E1862" s="94" t="str">
        <f t="shared" ref="E1862:E1925" si="29">IF(C1862&lt;&gt;"",D1862-C1862,"")</f>
        <v/>
      </c>
      <c r="F1862" s="95"/>
      <c r="G1862" s="93"/>
    </row>
    <row r="1863" spans="2:7" x14ac:dyDescent="0.2">
      <c r="B1863" s="92"/>
      <c r="C1863" s="93"/>
      <c r="D1863" s="93"/>
      <c r="E1863" s="94" t="str">
        <f t="shared" si="29"/>
        <v/>
      </c>
      <c r="F1863" s="95"/>
      <c r="G1863" s="93"/>
    </row>
    <row r="1864" spans="2:7" x14ac:dyDescent="0.2">
      <c r="B1864" s="92"/>
      <c r="C1864" s="93"/>
      <c r="D1864" s="93"/>
      <c r="E1864" s="94" t="str">
        <f t="shared" si="29"/>
        <v/>
      </c>
      <c r="F1864" s="95"/>
      <c r="G1864" s="93"/>
    </row>
    <row r="1865" spans="2:7" x14ac:dyDescent="0.2">
      <c r="B1865" s="92"/>
      <c r="C1865" s="93"/>
      <c r="D1865" s="93"/>
      <c r="E1865" s="94" t="str">
        <f t="shared" si="29"/>
        <v/>
      </c>
      <c r="F1865" s="95"/>
      <c r="G1865" s="93"/>
    </row>
    <row r="1866" spans="2:7" x14ac:dyDescent="0.2">
      <c r="B1866" s="92"/>
      <c r="C1866" s="93"/>
      <c r="D1866" s="93"/>
      <c r="E1866" s="94" t="str">
        <f t="shared" si="29"/>
        <v/>
      </c>
      <c r="F1866" s="95"/>
      <c r="G1866" s="93"/>
    </row>
    <row r="1867" spans="2:7" x14ac:dyDescent="0.2">
      <c r="B1867" s="92"/>
      <c r="C1867" s="93"/>
      <c r="D1867" s="93"/>
      <c r="E1867" s="94" t="str">
        <f t="shared" si="29"/>
        <v/>
      </c>
      <c r="F1867" s="95"/>
      <c r="G1867" s="93"/>
    </row>
    <row r="1868" spans="2:7" x14ac:dyDescent="0.2">
      <c r="B1868" s="92"/>
      <c r="C1868" s="93"/>
      <c r="D1868" s="93"/>
      <c r="E1868" s="94" t="str">
        <f t="shared" si="29"/>
        <v/>
      </c>
      <c r="F1868" s="95"/>
      <c r="G1868" s="93"/>
    </row>
    <row r="1869" spans="2:7" x14ac:dyDescent="0.2">
      <c r="B1869" s="92"/>
      <c r="C1869" s="93"/>
      <c r="D1869" s="93"/>
      <c r="E1869" s="94" t="str">
        <f t="shared" si="29"/>
        <v/>
      </c>
      <c r="F1869" s="95"/>
      <c r="G1869" s="93"/>
    </row>
    <row r="1870" spans="2:7" x14ac:dyDescent="0.2">
      <c r="B1870" s="92"/>
      <c r="C1870" s="93"/>
      <c r="D1870" s="93"/>
      <c r="E1870" s="94" t="str">
        <f t="shared" si="29"/>
        <v/>
      </c>
      <c r="F1870" s="95"/>
      <c r="G1870" s="93"/>
    </row>
    <row r="1871" spans="2:7" x14ac:dyDescent="0.2">
      <c r="B1871" s="92"/>
      <c r="C1871" s="93"/>
      <c r="D1871" s="93"/>
      <c r="E1871" s="94" t="str">
        <f t="shared" si="29"/>
        <v/>
      </c>
      <c r="F1871" s="95"/>
      <c r="G1871" s="93"/>
    </row>
    <row r="1872" spans="2:7" x14ac:dyDescent="0.2">
      <c r="B1872" s="92"/>
      <c r="C1872" s="93"/>
      <c r="D1872" s="93"/>
      <c r="E1872" s="94" t="str">
        <f t="shared" si="29"/>
        <v/>
      </c>
      <c r="F1872" s="95"/>
      <c r="G1872" s="93"/>
    </row>
    <row r="1873" spans="2:7" x14ac:dyDescent="0.2">
      <c r="B1873" s="92"/>
      <c r="C1873" s="93"/>
      <c r="D1873" s="93"/>
      <c r="E1873" s="94" t="str">
        <f t="shared" si="29"/>
        <v/>
      </c>
      <c r="F1873" s="95"/>
      <c r="G1873" s="93"/>
    </row>
    <row r="1874" spans="2:7" x14ac:dyDescent="0.2">
      <c r="B1874" s="92"/>
      <c r="C1874" s="93"/>
      <c r="D1874" s="93"/>
      <c r="E1874" s="94" t="str">
        <f t="shared" si="29"/>
        <v/>
      </c>
      <c r="F1874" s="95"/>
      <c r="G1874" s="93"/>
    </row>
    <row r="1875" spans="2:7" x14ac:dyDescent="0.2">
      <c r="B1875" s="92"/>
      <c r="C1875" s="93"/>
      <c r="D1875" s="93"/>
      <c r="E1875" s="94" t="str">
        <f t="shared" si="29"/>
        <v/>
      </c>
      <c r="F1875" s="95"/>
      <c r="G1875" s="93"/>
    </row>
    <row r="1876" spans="2:7" x14ac:dyDescent="0.2">
      <c r="B1876" s="92"/>
      <c r="C1876" s="93"/>
      <c r="D1876" s="93"/>
      <c r="E1876" s="94" t="str">
        <f t="shared" si="29"/>
        <v/>
      </c>
      <c r="F1876" s="95"/>
      <c r="G1876" s="93"/>
    </row>
    <row r="1877" spans="2:7" x14ac:dyDescent="0.2">
      <c r="B1877" s="92"/>
      <c r="C1877" s="93"/>
      <c r="D1877" s="93"/>
      <c r="E1877" s="94" t="str">
        <f t="shared" si="29"/>
        <v/>
      </c>
      <c r="F1877" s="95"/>
      <c r="G1877" s="93"/>
    </row>
    <row r="1878" spans="2:7" x14ac:dyDescent="0.2">
      <c r="B1878" s="92"/>
      <c r="C1878" s="93"/>
      <c r="D1878" s="93"/>
      <c r="E1878" s="94" t="str">
        <f t="shared" si="29"/>
        <v/>
      </c>
      <c r="F1878" s="95"/>
      <c r="G1878" s="93"/>
    </row>
    <row r="1879" spans="2:7" x14ac:dyDescent="0.2">
      <c r="B1879" s="92"/>
      <c r="C1879" s="93"/>
      <c r="D1879" s="93"/>
      <c r="E1879" s="94" t="str">
        <f t="shared" si="29"/>
        <v/>
      </c>
      <c r="F1879" s="95"/>
      <c r="G1879" s="93"/>
    </row>
    <row r="1880" spans="2:7" x14ac:dyDescent="0.2">
      <c r="B1880" s="92"/>
      <c r="C1880" s="93"/>
      <c r="D1880" s="93"/>
      <c r="E1880" s="94" t="str">
        <f t="shared" si="29"/>
        <v/>
      </c>
      <c r="F1880" s="95"/>
      <c r="G1880" s="93"/>
    </row>
    <row r="1881" spans="2:7" x14ac:dyDescent="0.2">
      <c r="B1881" s="92"/>
      <c r="C1881" s="93"/>
      <c r="D1881" s="93"/>
      <c r="E1881" s="94" t="str">
        <f t="shared" si="29"/>
        <v/>
      </c>
      <c r="F1881" s="95"/>
      <c r="G1881" s="93"/>
    </row>
    <row r="1882" spans="2:7" x14ac:dyDescent="0.2">
      <c r="B1882" s="92"/>
      <c r="C1882" s="93"/>
      <c r="D1882" s="93"/>
      <c r="E1882" s="94" t="str">
        <f t="shared" si="29"/>
        <v/>
      </c>
      <c r="F1882" s="95"/>
      <c r="G1882" s="93"/>
    </row>
    <row r="1883" spans="2:7" x14ac:dyDescent="0.2">
      <c r="B1883" s="92"/>
      <c r="C1883" s="93"/>
      <c r="D1883" s="93"/>
      <c r="E1883" s="94" t="str">
        <f t="shared" si="29"/>
        <v/>
      </c>
      <c r="F1883" s="95"/>
      <c r="G1883" s="93"/>
    </row>
    <row r="1884" spans="2:7" x14ac:dyDescent="0.2">
      <c r="B1884" s="92"/>
      <c r="C1884" s="93"/>
      <c r="D1884" s="93"/>
      <c r="E1884" s="94" t="str">
        <f t="shared" si="29"/>
        <v/>
      </c>
      <c r="F1884" s="95"/>
      <c r="G1884" s="93"/>
    </row>
    <row r="1885" spans="2:7" x14ac:dyDescent="0.2">
      <c r="B1885" s="92"/>
      <c r="C1885" s="93"/>
      <c r="D1885" s="93"/>
      <c r="E1885" s="94" t="str">
        <f t="shared" si="29"/>
        <v/>
      </c>
      <c r="F1885" s="95"/>
      <c r="G1885" s="93"/>
    </row>
    <row r="1886" spans="2:7" x14ac:dyDescent="0.2">
      <c r="B1886" s="92"/>
      <c r="C1886" s="93"/>
      <c r="D1886" s="93"/>
      <c r="E1886" s="94" t="str">
        <f t="shared" si="29"/>
        <v/>
      </c>
      <c r="F1886" s="95"/>
      <c r="G1886" s="93"/>
    </row>
    <row r="1887" spans="2:7" x14ac:dyDescent="0.2">
      <c r="B1887" s="92"/>
      <c r="C1887" s="93"/>
      <c r="D1887" s="93"/>
      <c r="E1887" s="94" t="str">
        <f t="shared" si="29"/>
        <v/>
      </c>
      <c r="F1887" s="95"/>
      <c r="G1887" s="93"/>
    </row>
    <row r="1888" spans="2:7" x14ac:dyDescent="0.2">
      <c r="B1888" s="92"/>
      <c r="C1888" s="93"/>
      <c r="D1888" s="93"/>
      <c r="E1888" s="94" t="str">
        <f t="shared" si="29"/>
        <v/>
      </c>
      <c r="F1888" s="95"/>
      <c r="G1888" s="93"/>
    </row>
    <row r="1889" spans="2:7" x14ac:dyDescent="0.2">
      <c r="B1889" s="92"/>
      <c r="C1889" s="93"/>
      <c r="D1889" s="93"/>
      <c r="E1889" s="94" t="str">
        <f t="shared" si="29"/>
        <v/>
      </c>
      <c r="F1889" s="95"/>
      <c r="G1889" s="93"/>
    </row>
    <row r="1890" spans="2:7" x14ac:dyDescent="0.2">
      <c r="B1890" s="92"/>
      <c r="C1890" s="93"/>
      <c r="D1890" s="93"/>
      <c r="E1890" s="94" t="str">
        <f t="shared" si="29"/>
        <v/>
      </c>
      <c r="F1890" s="95"/>
      <c r="G1890" s="93"/>
    </row>
    <row r="1891" spans="2:7" x14ac:dyDescent="0.2">
      <c r="B1891" s="92"/>
      <c r="C1891" s="93"/>
      <c r="D1891" s="93"/>
      <c r="E1891" s="94" t="str">
        <f t="shared" si="29"/>
        <v/>
      </c>
      <c r="F1891" s="95"/>
      <c r="G1891" s="93"/>
    </row>
    <row r="1892" spans="2:7" x14ac:dyDescent="0.2">
      <c r="B1892" s="92"/>
      <c r="C1892" s="93"/>
      <c r="D1892" s="93"/>
      <c r="E1892" s="94" t="str">
        <f t="shared" si="29"/>
        <v/>
      </c>
      <c r="F1892" s="95"/>
      <c r="G1892" s="93"/>
    </row>
    <row r="1893" spans="2:7" x14ac:dyDescent="0.2">
      <c r="B1893" s="92"/>
      <c r="C1893" s="93"/>
      <c r="D1893" s="93"/>
      <c r="E1893" s="94" t="str">
        <f t="shared" si="29"/>
        <v/>
      </c>
      <c r="F1893" s="95"/>
      <c r="G1893" s="93"/>
    </row>
    <row r="1894" spans="2:7" x14ac:dyDescent="0.2">
      <c r="B1894" s="92"/>
      <c r="C1894" s="93"/>
      <c r="D1894" s="93"/>
      <c r="E1894" s="94" t="str">
        <f t="shared" si="29"/>
        <v/>
      </c>
      <c r="F1894" s="95"/>
      <c r="G1894" s="93"/>
    </row>
    <row r="1895" spans="2:7" x14ac:dyDescent="0.2">
      <c r="B1895" s="92"/>
      <c r="C1895" s="93"/>
      <c r="D1895" s="93"/>
      <c r="E1895" s="94" t="str">
        <f t="shared" si="29"/>
        <v/>
      </c>
      <c r="F1895" s="95"/>
      <c r="G1895" s="93"/>
    </row>
    <row r="1896" spans="2:7" x14ac:dyDescent="0.2">
      <c r="B1896" s="92"/>
      <c r="C1896" s="93"/>
      <c r="D1896" s="93"/>
      <c r="E1896" s="94" t="str">
        <f t="shared" si="29"/>
        <v/>
      </c>
      <c r="F1896" s="95"/>
      <c r="G1896" s="93"/>
    </row>
    <row r="1897" spans="2:7" x14ac:dyDescent="0.2">
      <c r="B1897" s="92"/>
      <c r="C1897" s="93"/>
      <c r="D1897" s="93"/>
      <c r="E1897" s="94" t="str">
        <f t="shared" si="29"/>
        <v/>
      </c>
      <c r="F1897" s="95"/>
      <c r="G1897" s="93"/>
    </row>
    <row r="1898" spans="2:7" x14ac:dyDescent="0.2">
      <c r="B1898" s="92"/>
      <c r="C1898" s="93"/>
      <c r="D1898" s="93"/>
      <c r="E1898" s="94" t="str">
        <f t="shared" si="29"/>
        <v/>
      </c>
      <c r="F1898" s="95"/>
      <c r="G1898" s="93"/>
    </row>
    <row r="1899" spans="2:7" x14ac:dyDescent="0.2">
      <c r="B1899" s="92"/>
      <c r="C1899" s="93"/>
      <c r="D1899" s="93"/>
      <c r="E1899" s="94" t="str">
        <f t="shared" si="29"/>
        <v/>
      </c>
      <c r="F1899" s="95"/>
      <c r="G1899" s="93"/>
    </row>
    <row r="1900" spans="2:7" x14ac:dyDescent="0.2">
      <c r="B1900" s="92"/>
      <c r="C1900" s="93"/>
      <c r="D1900" s="93"/>
      <c r="E1900" s="94" t="str">
        <f t="shared" si="29"/>
        <v/>
      </c>
      <c r="F1900" s="95"/>
      <c r="G1900" s="93"/>
    </row>
    <row r="1901" spans="2:7" x14ac:dyDescent="0.2">
      <c r="B1901" s="92"/>
      <c r="C1901" s="93"/>
      <c r="D1901" s="93"/>
      <c r="E1901" s="94" t="str">
        <f t="shared" si="29"/>
        <v/>
      </c>
      <c r="F1901" s="95"/>
      <c r="G1901" s="93"/>
    </row>
    <row r="1902" spans="2:7" x14ac:dyDescent="0.2">
      <c r="B1902" s="92"/>
      <c r="C1902" s="93"/>
      <c r="D1902" s="93"/>
      <c r="E1902" s="94" t="str">
        <f t="shared" si="29"/>
        <v/>
      </c>
      <c r="F1902" s="95"/>
      <c r="G1902" s="93"/>
    </row>
    <row r="1903" spans="2:7" x14ac:dyDescent="0.2">
      <c r="B1903" s="92"/>
      <c r="C1903" s="93"/>
      <c r="D1903" s="93"/>
      <c r="E1903" s="94" t="str">
        <f t="shared" si="29"/>
        <v/>
      </c>
      <c r="F1903" s="95"/>
      <c r="G1903" s="93"/>
    </row>
    <row r="1904" spans="2:7" x14ac:dyDescent="0.2">
      <c r="B1904" s="92"/>
      <c r="C1904" s="93"/>
      <c r="D1904" s="93"/>
      <c r="E1904" s="94" t="str">
        <f t="shared" si="29"/>
        <v/>
      </c>
      <c r="F1904" s="95"/>
      <c r="G1904" s="93"/>
    </row>
    <row r="1905" spans="2:7" x14ac:dyDescent="0.2">
      <c r="B1905" s="92"/>
      <c r="C1905" s="93"/>
      <c r="D1905" s="93"/>
      <c r="E1905" s="94" t="str">
        <f t="shared" si="29"/>
        <v/>
      </c>
      <c r="F1905" s="95"/>
      <c r="G1905" s="93"/>
    </row>
    <row r="1906" spans="2:7" x14ac:dyDescent="0.2">
      <c r="B1906" s="92"/>
      <c r="C1906" s="93"/>
      <c r="D1906" s="93"/>
      <c r="E1906" s="94" t="str">
        <f t="shared" si="29"/>
        <v/>
      </c>
      <c r="F1906" s="95"/>
      <c r="G1906" s="93"/>
    </row>
    <row r="1907" spans="2:7" x14ac:dyDescent="0.2">
      <c r="B1907" s="92"/>
      <c r="C1907" s="93"/>
      <c r="D1907" s="93"/>
      <c r="E1907" s="94" t="str">
        <f t="shared" si="29"/>
        <v/>
      </c>
      <c r="F1907" s="95"/>
      <c r="G1907" s="93"/>
    </row>
    <row r="1908" spans="2:7" x14ac:dyDescent="0.2">
      <c r="B1908" s="92"/>
      <c r="C1908" s="93"/>
      <c r="D1908" s="93"/>
      <c r="E1908" s="94" t="str">
        <f t="shared" si="29"/>
        <v/>
      </c>
      <c r="F1908" s="95"/>
      <c r="G1908" s="93"/>
    </row>
    <row r="1909" spans="2:7" x14ac:dyDescent="0.2">
      <c r="B1909" s="92"/>
      <c r="C1909" s="93"/>
      <c r="D1909" s="93"/>
      <c r="E1909" s="94" t="str">
        <f t="shared" si="29"/>
        <v/>
      </c>
      <c r="F1909" s="95"/>
      <c r="G1909" s="93"/>
    </row>
    <row r="1910" spans="2:7" x14ac:dyDescent="0.2">
      <c r="B1910" s="92"/>
      <c r="C1910" s="93"/>
      <c r="D1910" s="93"/>
      <c r="E1910" s="94" t="str">
        <f t="shared" si="29"/>
        <v/>
      </c>
      <c r="F1910" s="95"/>
      <c r="G1910" s="93"/>
    </row>
    <row r="1911" spans="2:7" x14ac:dyDescent="0.2">
      <c r="B1911" s="92"/>
      <c r="C1911" s="93"/>
      <c r="D1911" s="93"/>
      <c r="E1911" s="94" t="str">
        <f t="shared" si="29"/>
        <v/>
      </c>
      <c r="F1911" s="95"/>
      <c r="G1911" s="93"/>
    </row>
    <row r="1912" spans="2:7" x14ac:dyDescent="0.2">
      <c r="B1912" s="92"/>
      <c r="C1912" s="93"/>
      <c r="D1912" s="93"/>
      <c r="E1912" s="94" t="str">
        <f t="shared" si="29"/>
        <v/>
      </c>
      <c r="F1912" s="95"/>
      <c r="G1912" s="93"/>
    </row>
    <row r="1913" spans="2:7" x14ac:dyDescent="0.2">
      <c r="B1913" s="92"/>
      <c r="C1913" s="93"/>
      <c r="D1913" s="93"/>
      <c r="E1913" s="94" t="str">
        <f t="shared" si="29"/>
        <v/>
      </c>
      <c r="F1913" s="95"/>
      <c r="G1913" s="93"/>
    </row>
    <row r="1914" spans="2:7" x14ac:dyDescent="0.2">
      <c r="B1914" s="92"/>
      <c r="C1914" s="93"/>
      <c r="D1914" s="93"/>
      <c r="E1914" s="94" t="str">
        <f t="shared" si="29"/>
        <v/>
      </c>
      <c r="F1914" s="95"/>
      <c r="G1914" s="93"/>
    </row>
    <row r="1915" spans="2:7" x14ac:dyDescent="0.2">
      <c r="B1915" s="92"/>
      <c r="C1915" s="93"/>
      <c r="D1915" s="93"/>
      <c r="E1915" s="94" t="str">
        <f t="shared" si="29"/>
        <v/>
      </c>
      <c r="F1915" s="95"/>
      <c r="G1915" s="93"/>
    </row>
    <row r="1916" spans="2:7" x14ac:dyDescent="0.2">
      <c r="B1916" s="92"/>
      <c r="C1916" s="93"/>
      <c r="D1916" s="93"/>
      <c r="E1916" s="94" t="str">
        <f t="shared" si="29"/>
        <v/>
      </c>
      <c r="F1916" s="95"/>
      <c r="G1916" s="93"/>
    </row>
    <row r="1917" spans="2:7" x14ac:dyDescent="0.2">
      <c r="B1917" s="92"/>
      <c r="C1917" s="93"/>
      <c r="D1917" s="93"/>
      <c r="E1917" s="94" t="str">
        <f t="shared" si="29"/>
        <v/>
      </c>
      <c r="F1917" s="95"/>
      <c r="G1917" s="93"/>
    </row>
    <row r="1918" spans="2:7" x14ac:dyDescent="0.2">
      <c r="B1918" s="92"/>
      <c r="C1918" s="93"/>
      <c r="D1918" s="93"/>
      <c r="E1918" s="94" t="str">
        <f t="shared" si="29"/>
        <v/>
      </c>
      <c r="F1918" s="95"/>
      <c r="G1918" s="93"/>
    </row>
    <row r="1919" spans="2:7" x14ac:dyDescent="0.2">
      <c r="B1919" s="92"/>
      <c r="C1919" s="93"/>
      <c r="D1919" s="93"/>
      <c r="E1919" s="94" t="str">
        <f t="shared" si="29"/>
        <v/>
      </c>
      <c r="F1919" s="95"/>
      <c r="G1919" s="93"/>
    </row>
    <row r="1920" spans="2:7" x14ac:dyDescent="0.2">
      <c r="B1920" s="92"/>
      <c r="C1920" s="93"/>
      <c r="D1920" s="93"/>
      <c r="E1920" s="94" t="str">
        <f t="shared" si="29"/>
        <v/>
      </c>
      <c r="F1920" s="95"/>
      <c r="G1920" s="93"/>
    </row>
    <row r="1921" spans="2:7" x14ac:dyDescent="0.2">
      <c r="B1921" s="92"/>
      <c r="C1921" s="93"/>
      <c r="D1921" s="93"/>
      <c r="E1921" s="94" t="str">
        <f t="shared" si="29"/>
        <v/>
      </c>
      <c r="F1921" s="95"/>
      <c r="G1921" s="93"/>
    </row>
    <row r="1922" spans="2:7" x14ac:dyDescent="0.2">
      <c r="B1922" s="92"/>
      <c r="C1922" s="93"/>
      <c r="D1922" s="93"/>
      <c r="E1922" s="94" t="str">
        <f t="shared" si="29"/>
        <v/>
      </c>
      <c r="F1922" s="95"/>
      <c r="G1922" s="93"/>
    </row>
    <row r="1923" spans="2:7" x14ac:dyDescent="0.2">
      <c r="B1923" s="92"/>
      <c r="C1923" s="93"/>
      <c r="D1923" s="93"/>
      <c r="E1923" s="94" t="str">
        <f t="shared" si="29"/>
        <v/>
      </c>
      <c r="F1923" s="95"/>
      <c r="G1923" s="93"/>
    </row>
    <row r="1924" spans="2:7" x14ac:dyDescent="0.2">
      <c r="B1924" s="92"/>
      <c r="C1924" s="93"/>
      <c r="D1924" s="93"/>
      <c r="E1924" s="94" t="str">
        <f t="shared" si="29"/>
        <v/>
      </c>
      <c r="F1924" s="95"/>
      <c r="G1924" s="93"/>
    </row>
    <row r="1925" spans="2:7" x14ac:dyDescent="0.2">
      <c r="B1925" s="92"/>
      <c r="C1925" s="93"/>
      <c r="D1925" s="93"/>
      <c r="E1925" s="94" t="str">
        <f t="shared" si="29"/>
        <v/>
      </c>
      <c r="F1925" s="95"/>
      <c r="G1925" s="93"/>
    </row>
    <row r="1926" spans="2:7" x14ac:dyDescent="0.2">
      <c r="B1926" s="92"/>
      <c r="C1926" s="93"/>
      <c r="D1926" s="93"/>
      <c r="E1926" s="94" t="str">
        <f t="shared" ref="E1926:E1989" si="30">IF(C1926&lt;&gt;"",D1926-C1926,"")</f>
        <v/>
      </c>
      <c r="F1926" s="95"/>
      <c r="G1926" s="93"/>
    </row>
    <row r="1927" spans="2:7" x14ac:dyDescent="0.2">
      <c r="B1927" s="92"/>
      <c r="C1927" s="93"/>
      <c r="D1927" s="93"/>
      <c r="E1927" s="94" t="str">
        <f t="shared" si="30"/>
        <v/>
      </c>
      <c r="F1927" s="95"/>
      <c r="G1927" s="93"/>
    </row>
    <row r="1928" spans="2:7" x14ac:dyDescent="0.2">
      <c r="B1928" s="92"/>
      <c r="C1928" s="93"/>
      <c r="D1928" s="93"/>
      <c r="E1928" s="94" t="str">
        <f t="shared" si="30"/>
        <v/>
      </c>
      <c r="F1928" s="95"/>
      <c r="G1928" s="93"/>
    </row>
    <row r="1929" spans="2:7" x14ac:dyDescent="0.2">
      <c r="B1929" s="92"/>
      <c r="C1929" s="93"/>
      <c r="D1929" s="93"/>
      <c r="E1929" s="94" t="str">
        <f t="shared" si="30"/>
        <v/>
      </c>
      <c r="F1929" s="95"/>
      <c r="G1929" s="93"/>
    </row>
    <row r="1930" spans="2:7" x14ac:dyDescent="0.2">
      <c r="B1930" s="92"/>
      <c r="C1930" s="93"/>
      <c r="D1930" s="93"/>
      <c r="E1930" s="94" t="str">
        <f t="shared" si="30"/>
        <v/>
      </c>
      <c r="F1930" s="95"/>
      <c r="G1930" s="93"/>
    </row>
    <row r="1931" spans="2:7" x14ac:dyDescent="0.2">
      <c r="B1931" s="92"/>
      <c r="C1931" s="93"/>
      <c r="D1931" s="93"/>
      <c r="E1931" s="94" t="str">
        <f t="shared" si="30"/>
        <v/>
      </c>
      <c r="F1931" s="95"/>
      <c r="G1931" s="93"/>
    </row>
    <row r="1932" spans="2:7" x14ac:dyDescent="0.2">
      <c r="B1932" s="92"/>
      <c r="C1932" s="93"/>
      <c r="D1932" s="93"/>
      <c r="E1932" s="94" t="str">
        <f t="shared" si="30"/>
        <v/>
      </c>
      <c r="F1932" s="95"/>
      <c r="G1932" s="93"/>
    </row>
    <row r="1933" spans="2:7" x14ac:dyDescent="0.2">
      <c r="B1933" s="92"/>
      <c r="C1933" s="93"/>
      <c r="D1933" s="93"/>
      <c r="E1933" s="94" t="str">
        <f t="shared" si="30"/>
        <v/>
      </c>
      <c r="F1933" s="95"/>
      <c r="G1933" s="93"/>
    </row>
    <row r="1934" spans="2:7" x14ac:dyDescent="0.2">
      <c r="B1934" s="92"/>
      <c r="C1934" s="93"/>
      <c r="D1934" s="93"/>
      <c r="E1934" s="94" t="str">
        <f t="shared" si="30"/>
        <v/>
      </c>
      <c r="F1934" s="95"/>
      <c r="G1934" s="93"/>
    </row>
    <row r="1935" spans="2:7" x14ac:dyDescent="0.2">
      <c r="B1935" s="92"/>
      <c r="C1935" s="93"/>
      <c r="D1935" s="93"/>
      <c r="E1935" s="94" t="str">
        <f t="shared" si="30"/>
        <v/>
      </c>
      <c r="F1935" s="95"/>
      <c r="G1935" s="93"/>
    </row>
    <row r="1936" spans="2:7" x14ac:dyDescent="0.2">
      <c r="B1936" s="92"/>
      <c r="C1936" s="93"/>
      <c r="D1936" s="93"/>
      <c r="E1936" s="94" t="str">
        <f t="shared" si="30"/>
        <v/>
      </c>
      <c r="F1936" s="95"/>
      <c r="G1936" s="93"/>
    </row>
    <row r="1937" spans="2:7" x14ac:dyDescent="0.2">
      <c r="B1937" s="92"/>
      <c r="C1937" s="93"/>
      <c r="D1937" s="93"/>
      <c r="E1937" s="94" t="str">
        <f t="shared" si="30"/>
        <v/>
      </c>
      <c r="F1937" s="95"/>
      <c r="G1937" s="93"/>
    </row>
    <row r="1938" spans="2:7" x14ac:dyDescent="0.2">
      <c r="B1938" s="92"/>
      <c r="C1938" s="93"/>
      <c r="D1938" s="93"/>
      <c r="E1938" s="94" t="str">
        <f t="shared" si="30"/>
        <v/>
      </c>
      <c r="F1938" s="95"/>
      <c r="G1938" s="93"/>
    </row>
    <row r="1939" spans="2:7" x14ac:dyDescent="0.2">
      <c r="B1939" s="92"/>
      <c r="C1939" s="93"/>
      <c r="D1939" s="93"/>
      <c r="E1939" s="94" t="str">
        <f t="shared" si="30"/>
        <v/>
      </c>
      <c r="F1939" s="95"/>
      <c r="G1939" s="93"/>
    </row>
    <row r="1940" spans="2:7" x14ac:dyDescent="0.2">
      <c r="B1940" s="92"/>
      <c r="C1940" s="93"/>
      <c r="D1940" s="93"/>
      <c r="E1940" s="94" t="str">
        <f t="shared" si="30"/>
        <v/>
      </c>
      <c r="F1940" s="95"/>
      <c r="G1940" s="93"/>
    </row>
    <row r="1941" spans="2:7" x14ac:dyDescent="0.2">
      <c r="B1941" s="92"/>
      <c r="C1941" s="93"/>
      <c r="D1941" s="93"/>
      <c r="E1941" s="94" t="str">
        <f t="shared" si="30"/>
        <v/>
      </c>
      <c r="F1941" s="95"/>
      <c r="G1941" s="93"/>
    </row>
    <row r="1942" spans="2:7" x14ac:dyDescent="0.2">
      <c r="B1942" s="92"/>
      <c r="C1942" s="93"/>
      <c r="D1942" s="93"/>
      <c r="E1942" s="94" t="str">
        <f t="shared" si="30"/>
        <v/>
      </c>
      <c r="F1942" s="95"/>
      <c r="G1942" s="93"/>
    </row>
    <row r="1943" spans="2:7" x14ac:dyDescent="0.2">
      <c r="B1943" s="92"/>
      <c r="C1943" s="93"/>
      <c r="D1943" s="93"/>
      <c r="E1943" s="94" t="str">
        <f t="shared" si="30"/>
        <v/>
      </c>
      <c r="F1943" s="95"/>
      <c r="G1943" s="93"/>
    </row>
    <row r="1944" spans="2:7" x14ac:dyDescent="0.2">
      <c r="B1944" s="92"/>
      <c r="C1944" s="93"/>
      <c r="D1944" s="93"/>
      <c r="E1944" s="94" t="str">
        <f t="shared" si="30"/>
        <v/>
      </c>
      <c r="F1944" s="95"/>
      <c r="G1944" s="93"/>
    </row>
    <row r="1945" spans="2:7" x14ac:dyDescent="0.2">
      <c r="B1945" s="92"/>
      <c r="C1945" s="93"/>
      <c r="D1945" s="93"/>
      <c r="E1945" s="94" t="str">
        <f t="shared" si="30"/>
        <v/>
      </c>
      <c r="F1945" s="95"/>
      <c r="G1945" s="93"/>
    </row>
    <row r="1946" spans="2:7" x14ac:dyDescent="0.2">
      <c r="B1946" s="92"/>
      <c r="C1946" s="93"/>
      <c r="D1946" s="93"/>
      <c r="E1946" s="94" t="str">
        <f t="shared" si="30"/>
        <v/>
      </c>
      <c r="F1946" s="95"/>
      <c r="G1946" s="93"/>
    </row>
    <row r="1947" spans="2:7" x14ac:dyDescent="0.2">
      <c r="B1947" s="92"/>
      <c r="C1947" s="93"/>
      <c r="D1947" s="93"/>
      <c r="E1947" s="94" t="str">
        <f t="shared" si="30"/>
        <v/>
      </c>
      <c r="F1947" s="95"/>
      <c r="G1947" s="93"/>
    </row>
    <row r="1948" spans="2:7" x14ac:dyDescent="0.2">
      <c r="B1948" s="92"/>
      <c r="C1948" s="93"/>
      <c r="D1948" s="93"/>
      <c r="E1948" s="94" t="str">
        <f t="shared" si="30"/>
        <v/>
      </c>
      <c r="F1948" s="95"/>
      <c r="G1948" s="93"/>
    </row>
    <row r="1949" spans="2:7" x14ac:dyDescent="0.2">
      <c r="B1949" s="92"/>
      <c r="C1949" s="93"/>
      <c r="D1949" s="93"/>
      <c r="E1949" s="94" t="str">
        <f t="shared" si="30"/>
        <v/>
      </c>
      <c r="F1949" s="95"/>
      <c r="G1949" s="93"/>
    </row>
    <row r="1950" spans="2:7" x14ac:dyDescent="0.2">
      <c r="B1950" s="92"/>
      <c r="C1950" s="93"/>
      <c r="D1950" s="93"/>
      <c r="E1950" s="94" t="str">
        <f t="shared" si="30"/>
        <v/>
      </c>
      <c r="F1950" s="95"/>
      <c r="G1950" s="93"/>
    </row>
    <row r="1951" spans="2:7" x14ac:dyDescent="0.2">
      <c r="B1951" s="92"/>
      <c r="C1951" s="93"/>
      <c r="D1951" s="93"/>
      <c r="E1951" s="94" t="str">
        <f t="shared" si="30"/>
        <v/>
      </c>
      <c r="F1951" s="95"/>
      <c r="G1951" s="93"/>
    </row>
    <row r="1952" spans="2:7" x14ac:dyDescent="0.2">
      <c r="B1952" s="92"/>
      <c r="C1952" s="93"/>
      <c r="D1952" s="93"/>
      <c r="E1952" s="94" t="str">
        <f t="shared" si="30"/>
        <v/>
      </c>
      <c r="F1952" s="95"/>
      <c r="G1952" s="93"/>
    </row>
    <row r="1953" spans="2:7" x14ac:dyDescent="0.2">
      <c r="B1953" s="92"/>
      <c r="C1953" s="93"/>
      <c r="D1953" s="93"/>
      <c r="E1953" s="94" t="str">
        <f t="shared" si="30"/>
        <v/>
      </c>
      <c r="F1953" s="95"/>
      <c r="G1953" s="93"/>
    </row>
    <row r="1954" spans="2:7" x14ac:dyDescent="0.2">
      <c r="B1954" s="92"/>
      <c r="C1954" s="93"/>
      <c r="D1954" s="93"/>
      <c r="E1954" s="94" t="str">
        <f t="shared" si="30"/>
        <v/>
      </c>
      <c r="F1954" s="95"/>
      <c r="G1954" s="93"/>
    </row>
    <row r="1955" spans="2:7" x14ac:dyDescent="0.2">
      <c r="B1955" s="92"/>
      <c r="C1955" s="93"/>
      <c r="D1955" s="93"/>
      <c r="E1955" s="94" t="str">
        <f t="shared" si="30"/>
        <v/>
      </c>
      <c r="F1955" s="95"/>
      <c r="G1955" s="93"/>
    </row>
    <row r="1956" spans="2:7" x14ac:dyDescent="0.2">
      <c r="B1956" s="92"/>
      <c r="C1956" s="93"/>
      <c r="D1956" s="93"/>
      <c r="E1956" s="94" t="str">
        <f t="shared" si="30"/>
        <v/>
      </c>
      <c r="F1956" s="95"/>
      <c r="G1956" s="93"/>
    </row>
    <row r="1957" spans="2:7" x14ac:dyDescent="0.2">
      <c r="B1957" s="92"/>
      <c r="C1957" s="93"/>
      <c r="D1957" s="93"/>
      <c r="E1957" s="94" t="str">
        <f t="shared" si="30"/>
        <v/>
      </c>
      <c r="F1957" s="95"/>
      <c r="G1957" s="93"/>
    </row>
    <row r="1958" spans="2:7" x14ac:dyDescent="0.2">
      <c r="B1958" s="92"/>
      <c r="C1958" s="93"/>
      <c r="D1958" s="93"/>
      <c r="E1958" s="94" t="str">
        <f t="shared" si="30"/>
        <v/>
      </c>
      <c r="F1958" s="95"/>
      <c r="G1958" s="93"/>
    </row>
    <row r="1959" spans="2:7" x14ac:dyDescent="0.2">
      <c r="B1959" s="92"/>
      <c r="C1959" s="93"/>
      <c r="D1959" s="93"/>
      <c r="E1959" s="94" t="str">
        <f t="shared" si="30"/>
        <v/>
      </c>
      <c r="F1959" s="95"/>
      <c r="G1959" s="93"/>
    </row>
    <row r="1960" spans="2:7" x14ac:dyDescent="0.2">
      <c r="B1960" s="92"/>
      <c r="C1960" s="93"/>
      <c r="D1960" s="93"/>
      <c r="E1960" s="94" t="str">
        <f t="shared" si="30"/>
        <v/>
      </c>
      <c r="F1960" s="95"/>
      <c r="G1960" s="93"/>
    </row>
    <row r="1961" spans="2:7" x14ac:dyDescent="0.2">
      <c r="B1961" s="92"/>
      <c r="C1961" s="93"/>
      <c r="D1961" s="93"/>
      <c r="E1961" s="94" t="str">
        <f t="shared" si="30"/>
        <v/>
      </c>
      <c r="F1961" s="95"/>
      <c r="G1961" s="93"/>
    </row>
    <row r="1962" spans="2:7" x14ac:dyDescent="0.2">
      <c r="B1962" s="92"/>
      <c r="C1962" s="93"/>
      <c r="D1962" s="93"/>
      <c r="E1962" s="94" t="str">
        <f t="shared" si="30"/>
        <v/>
      </c>
      <c r="F1962" s="95"/>
      <c r="G1962" s="93"/>
    </row>
    <row r="1963" spans="2:7" x14ac:dyDescent="0.2">
      <c r="B1963" s="92"/>
      <c r="C1963" s="93"/>
      <c r="D1963" s="93"/>
      <c r="E1963" s="94" t="str">
        <f t="shared" si="30"/>
        <v/>
      </c>
      <c r="F1963" s="95"/>
      <c r="G1963" s="93"/>
    </row>
    <row r="1964" spans="2:7" x14ac:dyDescent="0.2">
      <c r="B1964" s="92"/>
      <c r="C1964" s="93"/>
      <c r="D1964" s="93"/>
      <c r="E1964" s="94" t="str">
        <f t="shared" si="30"/>
        <v/>
      </c>
      <c r="F1964" s="95"/>
      <c r="G1964" s="93"/>
    </row>
    <row r="1965" spans="2:7" x14ac:dyDescent="0.2">
      <c r="B1965" s="92"/>
      <c r="C1965" s="93"/>
      <c r="D1965" s="93"/>
      <c r="E1965" s="94" t="str">
        <f t="shared" si="30"/>
        <v/>
      </c>
      <c r="F1965" s="95"/>
      <c r="G1965" s="93"/>
    </row>
    <row r="1966" spans="2:7" x14ac:dyDescent="0.2">
      <c r="B1966" s="92"/>
      <c r="C1966" s="93"/>
      <c r="D1966" s="93"/>
      <c r="E1966" s="94" t="str">
        <f t="shared" si="30"/>
        <v/>
      </c>
      <c r="F1966" s="95"/>
      <c r="G1966" s="93"/>
    </row>
    <row r="1967" spans="2:7" x14ac:dyDescent="0.2">
      <c r="B1967" s="92"/>
      <c r="C1967" s="93"/>
      <c r="D1967" s="93"/>
      <c r="E1967" s="94" t="str">
        <f t="shared" si="30"/>
        <v/>
      </c>
      <c r="F1967" s="95"/>
      <c r="G1967" s="93"/>
    </row>
    <row r="1968" spans="2:7" x14ac:dyDescent="0.2">
      <c r="B1968" s="92"/>
      <c r="C1968" s="93"/>
      <c r="D1968" s="93"/>
      <c r="E1968" s="94" t="str">
        <f t="shared" si="30"/>
        <v/>
      </c>
      <c r="F1968" s="95"/>
      <c r="G1968" s="93"/>
    </row>
    <row r="1969" spans="2:7" x14ac:dyDescent="0.2">
      <c r="B1969" s="92"/>
      <c r="C1969" s="93"/>
      <c r="D1969" s="93"/>
      <c r="E1969" s="94" t="str">
        <f t="shared" si="30"/>
        <v/>
      </c>
      <c r="F1969" s="95"/>
      <c r="G1969" s="93"/>
    </row>
    <row r="1970" spans="2:7" x14ac:dyDescent="0.2">
      <c r="B1970" s="92"/>
      <c r="C1970" s="93"/>
      <c r="D1970" s="93"/>
      <c r="E1970" s="94" t="str">
        <f t="shared" si="30"/>
        <v/>
      </c>
      <c r="F1970" s="95"/>
      <c r="G1970" s="93"/>
    </row>
    <row r="1971" spans="2:7" x14ac:dyDescent="0.2">
      <c r="B1971" s="92"/>
      <c r="C1971" s="93"/>
      <c r="D1971" s="93"/>
      <c r="E1971" s="94" t="str">
        <f t="shared" si="30"/>
        <v/>
      </c>
      <c r="F1971" s="95"/>
      <c r="G1971" s="93"/>
    </row>
    <row r="1972" spans="2:7" x14ac:dyDescent="0.2">
      <c r="B1972" s="92"/>
      <c r="C1972" s="93"/>
      <c r="D1972" s="93"/>
      <c r="E1972" s="94" t="str">
        <f t="shared" si="30"/>
        <v/>
      </c>
      <c r="F1972" s="95"/>
      <c r="G1972" s="93"/>
    </row>
    <row r="1973" spans="2:7" x14ac:dyDescent="0.2">
      <c r="B1973" s="92"/>
      <c r="C1973" s="93"/>
      <c r="D1973" s="93"/>
      <c r="E1973" s="94" t="str">
        <f t="shared" si="30"/>
        <v/>
      </c>
      <c r="F1973" s="95"/>
      <c r="G1973" s="93"/>
    </row>
    <row r="1974" spans="2:7" x14ac:dyDescent="0.2">
      <c r="B1974" s="92"/>
      <c r="C1974" s="93"/>
      <c r="D1974" s="93"/>
      <c r="E1974" s="94" t="str">
        <f t="shared" si="30"/>
        <v/>
      </c>
      <c r="F1974" s="95"/>
      <c r="G1974" s="93"/>
    </row>
    <row r="1975" spans="2:7" x14ac:dyDescent="0.2">
      <c r="B1975" s="92"/>
      <c r="C1975" s="93"/>
      <c r="D1975" s="93"/>
      <c r="E1975" s="94" t="str">
        <f t="shared" si="30"/>
        <v/>
      </c>
      <c r="F1975" s="95"/>
      <c r="G1975" s="93"/>
    </row>
    <row r="1976" spans="2:7" x14ac:dyDescent="0.2">
      <c r="B1976" s="92"/>
      <c r="C1976" s="93"/>
      <c r="D1976" s="93"/>
      <c r="E1976" s="94" t="str">
        <f t="shared" si="30"/>
        <v/>
      </c>
      <c r="F1976" s="95"/>
      <c r="G1976" s="93"/>
    </row>
    <row r="1977" spans="2:7" x14ac:dyDescent="0.2">
      <c r="B1977" s="92"/>
      <c r="C1977" s="93"/>
      <c r="D1977" s="93"/>
      <c r="E1977" s="94" t="str">
        <f t="shared" si="30"/>
        <v/>
      </c>
      <c r="F1977" s="95"/>
      <c r="G1977" s="93"/>
    </row>
    <row r="1978" spans="2:7" x14ac:dyDescent="0.2">
      <c r="B1978" s="92"/>
      <c r="C1978" s="93"/>
      <c r="D1978" s="93"/>
      <c r="E1978" s="94" t="str">
        <f t="shared" si="30"/>
        <v/>
      </c>
      <c r="F1978" s="95"/>
      <c r="G1978" s="93"/>
    </row>
    <row r="1979" spans="2:7" x14ac:dyDescent="0.2">
      <c r="B1979" s="92"/>
      <c r="C1979" s="93"/>
      <c r="D1979" s="93"/>
      <c r="E1979" s="94" t="str">
        <f t="shared" si="30"/>
        <v/>
      </c>
      <c r="F1979" s="95"/>
      <c r="G1979" s="93"/>
    </row>
    <row r="1980" spans="2:7" x14ac:dyDescent="0.2">
      <c r="B1980" s="92"/>
      <c r="C1980" s="93"/>
      <c r="D1980" s="93"/>
      <c r="E1980" s="94" t="str">
        <f t="shared" si="30"/>
        <v/>
      </c>
      <c r="F1980" s="95"/>
      <c r="G1980" s="93"/>
    </row>
    <row r="1981" spans="2:7" x14ac:dyDescent="0.2">
      <c r="B1981" s="92"/>
      <c r="C1981" s="93"/>
      <c r="D1981" s="93"/>
      <c r="E1981" s="94" t="str">
        <f t="shared" si="30"/>
        <v/>
      </c>
      <c r="F1981" s="95"/>
      <c r="G1981" s="93"/>
    </row>
    <row r="1982" spans="2:7" x14ac:dyDescent="0.2">
      <c r="B1982" s="92"/>
      <c r="C1982" s="93"/>
      <c r="D1982" s="93"/>
      <c r="E1982" s="94" t="str">
        <f t="shared" si="30"/>
        <v/>
      </c>
      <c r="F1982" s="95"/>
      <c r="G1982" s="93"/>
    </row>
    <row r="1983" spans="2:7" x14ac:dyDescent="0.2">
      <c r="B1983" s="92"/>
      <c r="C1983" s="93"/>
      <c r="D1983" s="93"/>
      <c r="E1983" s="94" t="str">
        <f t="shared" si="30"/>
        <v/>
      </c>
      <c r="F1983" s="95"/>
      <c r="G1983" s="93"/>
    </row>
    <row r="1984" spans="2:7" x14ac:dyDescent="0.2">
      <c r="B1984" s="92"/>
      <c r="C1984" s="93"/>
      <c r="D1984" s="93"/>
      <c r="E1984" s="94" t="str">
        <f t="shared" si="30"/>
        <v/>
      </c>
      <c r="F1984" s="95"/>
      <c r="G1984" s="93"/>
    </row>
    <row r="1985" spans="2:7" x14ac:dyDescent="0.2">
      <c r="B1985" s="92"/>
      <c r="C1985" s="93"/>
      <c r="D1985" s="93"/>
      <c r="E1985" s="94" t="str">
        <f t="shared" si="30"/>
        <v/>
      </c>
      <c r="F1985" s="95"/>
      <c r="G1985" s="93"/>
    </row>
    <row r="1986" spans="2:7" x14ac:dyDescent="0.2">
      <c r="B1986" s="92"/>
      <c r="C1986" s="93"/>
      <c r="D1986" s="93"/>
      <c r="E1986" s="94" t="str">
        <f t="shared" si="30"/>
        <v/>
      </c>
      <c r="F1986" s="95"/>
      <c r="G1986" s="93"/>
    </row>
    <row r="1987" spans="2:7" x14ac:dyDescent="0.2">
      <c r="B1987" s="92"/>
      <c r="C1987" s="93"/>
      <c r="D1987" s="93"/>
      <c r="E1987" s="94" t="str">
        <f t="shared" si="30"/>
        <v/>
      </c>
      <c r="F1987" s="95"/>
      <c r="G1987" s="93"/>
    </row>
    <row r="1988" spans="2:7" x14ac:dyDescent="0.2">
      <c r="B1988" s="92"/>
      <c r="C1988" s="93"/>
      <c r="D1988" s="93"/>
      <c r="E1988" s="94" t="str">
        <f t="shared" si="30"/>
        <v/>
      </c>
      <c r="F1988" s="95"/>
      <c r="G1988" s="93"/>
    </row>
    <row r="1989" spans="2:7" x14ac:dyDescent="0.2">
      <c r="B1989" s="92"/>
      <c r="C1989" s="93"/>
      <c r="D1989" s="93"/>
      <c r="E1989" s="94" t="str">
        <f t="shared" si="30"/>
        <v/>
      </c>
      <c r="F1989" s="95"/>
      <c r="G1989" s="93"/>
    </row>
    <row r="1990" spans="2:7" x14ac:dyDescent="0.2">
      <c r="B1990" s="92"/>
      <c r="C1990" s="93"/>
      <c r="D1990" s="93"/>
      <c r="E1990" s="94" t="str">
        <f t="shared" ref="E1990:E2053" si="31">IF(C1990&lt;&gt;"",D1990-C1990,"")</f>
        <v/>
      </c>
      <c r="F1990" s="95"/>
      <c r="G1990" s="93"/>
    </row>
    <row r="1991" spans="2:7" x14ac:dyDescent="0.2">
      <c r="B1991" s="92"/>
      <c r="C1991" s="93"/>
      <c r="D1991" s="93"/>
      <c r="E1991" s="94" t="str">
        <f t="shared" si="31"/>
        <v/>
      </c>
      <c r="F1991" s="95"/>
      <c r="G1991" s="93"/>
    </row>
    <row r="1992" spans="2:7" x14ac:dyDescent="0.2">
      <c r="B1992" s="92"/>
      <c r="C1992" s="93"/>
      <c r="D1992" s="93"/>
      <c r="E1992" s="94" t="str">
        <f t="shared" si="31"/>
        <v/>
      </c>
      <c r="F1992" s="95"/>
      <c r="G1992" s="93"/>
    </row>
    <row r="1993" spans="2:7" x14ac:dyDescent="0.2">
      <c r="B1993" s="92"/>
      <c r="C1993" s="93"/>
      <c r="D1993" s="93"/>
      <c r="E1993" s="94" t="str">
        <f t="shared" si="31"/>
        <v/>
      </c>
      <c r="F1993" s="95"/>
      <c r="G1993" s="93"/>
    </row>
    <row r="1994" spans="2:7" x14ac:dyDescent="0.2">
      <c r="B1994" s="92"/>
      <c r="C1994" s="93"/>
      <c r="D1994" s="93"/>
      <c r="E1994" s="94" t="str">
        <f t="shared" si="31"/>
        <v/>
      </c>
      <c r="F1994" s="95"/>
      <c r="G1994" s="93"/>
    </row>
    <row r="1995" spans="2:7" x14ac:dyDescent="0.2">
      <c r="B1995" s="92"/>
      <c r="C1995" s="93"/>
      <c r="D1995" s="93"/>
      <c r="E1995" s="94" t="str">
        <f t="shared" si="31"/>
        <v/>
      </c>
      <c r="F1995" s="95"/>
      <c r="G1995" s="93"/>
    </row>
    <row r="1996" spans="2:7" x14ac:dyDescent="0.2">
      <c r="B1996" s="92"/>
      <c r="C1996" s="93"/>
      <c r="D1996" s="93"/>
      <c r="E1996" s="94" t="str">
        <f t="shared" si="31"/>
        <v/>
      </c>
      <c r="F1996" s="95"/>
      <c r="G1996" s="93"/>
    </row>
    <row r="1997" spans="2:7" x14ac:dyDescent="0.2">
      <c r="B1997" s="92"/>
      <c r="C1997" s="93"/>
      <c r="D1997" s="93"/>
      <c r="E1997" s="94" t="str">
        <f t="shared" si="31"/>
        <v/>
      </c>
      <c r="F1997" s="95"/>
      <c r="G1997" s="93"/>
    </row>
    <row r="1998" spans="2:7" x14ac:dyDescent="0.2">
      <c r="B1998" s="92"/>
      <c r="C1998" s="93"/>
      <c r="D1998" s="93"/>
      <c r="E1998" s="94" t="str">
        <f t="shared" si="31"/>
        <v/>
      </c>
      <c r="F1998" s="95"/>
      <c r="G1998" s="93"/>
    </row>
    <row r="1999" spans="2:7" x14ac:dyDescent="0.2">
      <c r="B1999" s="92"/>
      <c r="C1999" s="93"/>
      <c r="D1999" s="93"/>
      <c r="E1999" s="94" t="str">
        <f t="shared" si="31"/>
        <v/>
      </c>
      <c r="F1999" s="95"/>
      <c r="G1999" s="93"/>
    </row>
    <row r="2000" spans="2:7" x14ac:dyDescent="0.2">
      <c r="B2000" s="92"/>
      <c r="C2000" s="93"/>
      <c r="D2000" s="93"/>
      <c r="E2000" s="94" t="str">
        <f t="shared" si="31"/>
        <v/>
      </c>
      <c r="F2000" s="95"/>
      <c r="G2000" s="93"/>
    </row>
    <row r="2001" spans="2:7" x14ac:dyDescent="0.2">
      <c r="B2001" s="92"/>
      <c r="C2001" s="93"/>
      <c r="D2001" s="93"/>
      <c r="E2001" s="94" t="str">
        <f t="shared" si="31"/>
        <v/>
      </c>
      <c r="F2001" s="95"/>
      <c r="G2001" s="93"/>
    </row>
    <row r="2002" spans="2:7" x14ac:dyDescent="0.2">
      <c r="B2002" s="92"/>
      <c r="C2002" s="93"/>
      <c r="D2002" s="93"/>
      <c r="E2002" s="94" t="str">
        <f t="shared" si="31"/>
        <v/>
      </c>
      <c r="F2002" s="95"/>
      <c r="G2002" s="93"/>
    </row>
    <row r="2003" spans="2:7" x14ac:dyDescent="0.2">
      <c r="B2003" s="92"/>
      <c r="C2003" s="93"/>
      <c r="D2003" s="93"/>
      <c r="E2003" s="94" t="str">
        <f t="shared" si="31"/>
        <v/>
      </c>
      <c r="F2003" s="95"/>
      <c r="G2003" s="93"/>
    </row>
    <row r="2004" spans="2:7" x14ac:dyDescent="0.2">
      <c r="B2004" s="92"/>
      <c r="C2004" s="93"/>
      <c r="D2004" s="93"/>
      <c r="E2004" s="94" t="str">
        <f t="shared" si="31"/>
        <v/>
      </c>
      <c r="F2004" s="95"/>
      <c r="G2004" s="93"/>
    </row>
    <row r="2005" spans="2:7" x14ac:dyDescent="0.2">
      <c r="B2005" s="92"/>
      <c r="C2005" s="93"/>
      <c r="D2005" s="93"/>
      <c r="E2005" s="94" t="str">
        <f t="shared" si="31"/>
        <v/>
      </c>
      <c r="F2005" s="95"/>
      <c r="G2005" s="93"/>
    </row>
    <row r="2006" spans="2:7" x14ac:dyDescent="0.2">
      <c r="B2006" s="92"/>
      <c r="C2006" s="93"/>
      <c r="D2006" s="93"/>
      <c r="E2006" s="94" t="str">
        <f t="shared" si="31"/>
        <v/>
      </c>
      <c r="F2006" s="95"/>
      <c r="G2006" s="93"/>
    </row>
    <row r="2007" spans="2:7" x14ac:dyDescent="0.2">
      <c r="B2007" s="92"/>
      <c r="C2007" s="93"/>
      <c r="D2007" s="93"/>
      <c r="E2007" s="94" t="str">
        <f t="shared" si="31"/>
        <v/>
      </c>
      <c r="F2007" s="95"/>
      <c r="G2007" s="93"/>
    </row>
    <row r="2008" spans="2:7" x14ac:dyDescent="0.2">
      <c r="B2008" s="92"/>
      <c r="C2008" s="93"/>
      <c r="D2008" s="93"/>
      <c r="E2008" s="94" t="str">
        <f t="shared" si="31"/>
        <v/>
      </c>
      <c r="F2008" s="95"/>
      <c r="G2008" s="93"/>
    </row>
    <row r="2009" spans="2:7" x14ac:dyDescent="0.2">
      <c r="B2009" s="92"/>
      <c r="C2009" s="93"/>
      <c r="D2009" s="93"/>
      <c r="E2009" s="94" t="str">
        <f t="shared" si="31"/>
        <v/>
      </c>
      <c r="F2009" s="95"/>
      <c r="G2009" s="93"/>
    </row>
    <row r="2010" spans="2:7" x14ac:dyDescent="0.2">
      <c r="B2010" s="92"/>
      <c r="C2010" s="93"/>
      <c r="D2010" s="93"/>
      <c r="E2010" s="94" t="str">
        <f t="shared" si="31"/>
        <v/>
      </c>
      <c r="F2010" s="95"/>
      <c r="G2010" s="93"/>
    </row>
    <row r="2011" spans="2:7" x14ac:dyDescent="0.2">
      <c r="B2011" s="92"/>
      <c r="C2011" s="93"/>
      <c r="D2011" s="93"/>
      <c r="E2011" s="94" t="str">
        <f t="shared" si="31"/>
        <v/>
      </c>
      <c r="F2011" s="95"/>
      <c r="G2011" s="93"/>
    </row>
    <row r="2012" spans="2:7" x14ac:dyDescent="0.2">
      <c r="B2012" s="92"/>
      <c r="C2012" s="93"/>
      <c r="D2012" s="93"/>
      <c r="E2012" s="94" t="str">
        <f t="shared" si="31"/>
        <v/>
      </c>
      <c r="F2012" s="95"/>
      <c r="G2012" s="93"/>
    </row>
    <row r="2013" spans="2:7" x14ac:dyDescent="0.2">
      <c r="B2013" s="92"/>
      <c r="C2013" s="93"/>
      <c r="D2013" s="93"/>
      <c r="E2013" s="94" t="str">
        <f t="shared" si="31"/>
        <v/>
      </c>
      <c r="F2013" s="95"/>
      <c r="G2013" s="93"/>
    </row>
    <row r="2014" spans="2:7" x14ac:dyDescent="0.2">
      <c r="B2014" s="92"/>
      <c r="C2014" s="93"/>
      <c r="D2014" s="93"/>
      <c r="E2014" s="94" t="str">
        <f t="shared" si="31"/>
        <v/>
      </c>
      <c r="F2014" s="95"/>
      <c r="G2014" s="93"/>
    </row>
    <row r="2015" spans="2:7" x14ac:dyDescent="0.2">
      <c r="B2015" s="92"/>
      <c r="C2015" s="93"/>
      <c r="D2015" s="93"/>
      <c r="E2015" s="94" t="str">
        <f t="shared" si="31"/>
        <v/>
      </c>
      <c r="F2015" s="95"/>
      <c r="G2015" s="93"/>
    </row>
    <row r="2016" spans="2:7" x14ac:dyDescent="0.2">
      <c r="B2016" s="92"/>
      <c r="C2016" s="93"/>
      <c r="D2016" s="93"/>
      <c r="E2016" s="94" t="str">
        <f t="shared" si="31"/>
        <v/>
      </c>
      <c r="F2016" s="95"/>
      <c r="G2016" s="93"/>
    </row>
    <row r="2017" spans="2:7" x14ac:dyDescent="0.2">
      <c r="B2017" s="92"/>
      <c r="C2017" s="93"/>
      <c r="D2017" s="93"/>
      <c r="E2017" s="94" t="str">
        <f t="shared" si="31"/>
        <v/>
      </c>
      <c r="F2017" s="95"/>
      <c r="G2017" s="93"/>
    </row>
    <row r="2018" spans="2:7" x14ac:dyDescent="0.2">
      <c r="B2018" s="92"/>
      <c r="C2018" s="93"/>
      <c r="D2018" s="93"/>
      <c r="E2018" s="94" t="str">
        <f t="shared" si="31"/>
        <v/>
      </c>
      <c r="F2018" s="95"/>
      <c r="G2018" s="93"/>
    </row>
    <row r="2019" spans="2:7" x14ac:dyDescent="0.2">
      <c r="B2019" s="92"/>
      <c r="C2019" s="93"/>
      <c r="D2019" s="93"/>
      <c r="E2019" s="94" t="str">
        <f t="shared" si="31"/>
        <v/>
      </c>
      <c r="F2019" s="95"/>
      <c r="G2019" s="93"/>
    </row>
    <row r="2020" spans="2:7" x14ac:dyDescent="0.2">
      <c r="B2020" s="92"/>
      <c r="C2020" s="93"/>
      <c r="D2020" s="93"/>
      <c r="E2020" s="94" t="str">
        <f t="shared" si="31"/>
        <v/>
      </c>
      <c r="F2020" s="95"/>
      <c r="G2020" s="93"/>
    </row>
    <row r="2021" spans="2:7" x14ac:dyDescent="0.2">
      <c r="B2021" s="92"/>
      <c r="C2021" s="93"/>
      <c r="D2021" s="93"/>
      <c r="E2021" s="94" t="str">
        <f t="shared" si="31"/>
        <v/>
      </c>
      <c r="F2021" s="95"/>
      <c r="G2021" s="93"/>
    </row>
    <row r="2022" spans="2:7" x14ac:dyDescent="0.2">
      <c r="B2022" s="92"/>
      <c r="C2022" s="93"/>
      <c r="D2022" s="93"/>
      <c r="E2022" s="94" t="str">
        <f t="shared" si="31"/>
        <v/>
      </c>
      <c r="F2022" s="95"/>
      <c r="G2022" s="93"/>
    </row>
    <row r="2023" spans="2:7" x14ac:dyDescent="0.2">
      <c r="B2023" s="92"/>
      <c r="C2023" s="93"/>
      <c r="D2023" s="93"/>
      <c r="E2023" s="94" t="str">
        <f t="shared" si="31"/>
        <v/>
      </c>
      <c r="F2023" s="95"/>
      <c r="G2023" s="93"/>
    </row>
    <row r="2024" spans="2:7" x14ac:dyDescent="0.2">
      <c r="B2024" s="92"/>
      <c r="C2024" s="93"/>
      <c r="D2024" s="93"/>
      <c r="E2024" s="94" t="str">
        <f t="shared" si="31"/>
        <v/>
      </c>
      <c r="F2024" s="95"/>
      <c r="G2024" s="93"/>
    </row>
    <row r="2025" spans="2:7" x14ac:dyDescent="0.2">
      <c r="B2025" s="92"/>
      <c r="C2025" s="93"/>
      <c r="D2025" s="93"/>
      <c r="E2025" s="94" t="str">
        <f t="shared" si="31"/>
        <v/>
      </c>
      <c r="F2025" s="95"/>
      <c r="G2025" s="93"/>
    </row>
    <row r="2026" spans="2:7" x14ac:dyDescent="0.2">
      <c r="B2026" s="92"/>
      <c r="C2026" s="93"/>
      <c r="D2026" s="93"/>
      <c r="E2026" s="94" t="str">
        <f t="shared" si="31"/>
        <v/>
      </c>
      <c r="F2026" s="95"/>
      <c r="G2026" s="93"/>
    </row>
    <row r="2027" spans="2:7" x14ac:dyDescent="0.2">
      <c r="B2027" s="92"/>
      <c r="C2027" s="93"/>
      <c r="D2027" s="93"/>
      <c r="E2027" s="94" t="str">
        <f t="shared" si="31"/>
        <v/>
      </c>
      <c r="F2027" s="95"/>
      <c r="G2027" s="93"/>
    </row>
    <row r="2028" spans="2:7" x14ac:dyDescent="0.2">
      <c r="B2028" s="92"/>
      <c r="C2028" s="93"/>
      <c r="D2028" s="93"/>
      <c r="E2028" s="94" t="str">
        <f t="shared" si="31"/>
        <v/>
      </c>
      <c r="F2028" s="95"/>
      <c r="G2028" s="93"/>
    </row>
    <row r="2029" spans="2:7" x14ac:dyDescent="0.2">
      <c r="B2029" s="92"/>
      <c r="C2029" s="93"/>
      <c r="D2029" s="93"/>
      <c r="E2029" s="94" t="str">
        <f t="shared" si="31"/>
        <v/>
      </c>
      <c r="F2029" s="95"/>
      <c r="G2029" s="93"/>
    </row>
    <row r="2030" spans="2:7" x14ac:dyDescent="0.2">
      <c r="B2030" s="92"/>
      <c r="C2030" s="93"/>
      <c r="D2030" s="93"/>
      <c r="E2030" s="94" t="str">
        <f t="shared" si="31"/>
        <v/>
      </c>
      <c r="F2030" s="95"/>
      <c r="G2030" s="93"/>
    </row>
    <row r="2031" spans="2:7" x14ac:dyDescent="0.2">
      <c r="B2031" s="92"/>
      <c r="C2031" s="93"/>
      <c r="D2031" s="93"/>
      <c r="E2031" s="94" t="str">
        <f t="shared" si="31"/>
        <v/>
      </c>
      <c r="F2031" s="95"/>
      <c r="G2031" s="93"/>
    </row>
    <row r="2032" spans="2:7" x14ac:dyDescent="0.2">
      <c r="B2032" s="92"/>
      <c r="C2032" s="93"/>
      <c r="D2032" s="93"/>
      <c r="E2032" s="94" t="str">
        <f t="shared" si="31"/>
        <v/>
      </c>
      <c r="F2032" s="95"/>
      <c r="G2032" s="93"/>
    </row>
    <row r="2033" spans="2:7" x14ac:dyDescent="0.2">
      <c r="B2033" s="92"/>
      <c r="C2033" s="93"/>
      <c r="D2033" s="93"/>
      <c r="E2033" s="94" t="str">
        <f t="shared" si="31"/>
        <v/>
      </c>
      <c r="F2033" s="95"/>
      <c r="G2033" s="93"/>
    </row>
    <row r="2034" spans="2:7" x14ac:dyDescent="0.2">
      <c r="B2034" s="92"/>
      <c r="C2034" s="93"/>
      <c r="D2034" s="93"/>
      <c r="E2034" s="94" t="str">
        <f t="shared" si="31"/>
        <v/>
      </c>
      <c r="F2034" s="95"/>
      <c r="G2034" s="93"/>
    </row>
    <row r="2035" spans="2:7" x14ac:dyDescent="0.2">
      <c r="B2035" s="92"/>
      <c r="C2035" s="93"/>
      <c r="D2035" s="93"/>
      <c r="E2035" s="94" t="str">
        <f t="shared" si="31"/>
        <v/>
      </c>
      <c r="F2035" s="95"/>
      <c r="G2035" s="93"/>
    </row>
    <row r="2036" spans="2:7" x14ac:dyDescent="0.2">
      <c r="B2036" s="92"/>
      <c r="C2036" s="93"/>
      <c r="D2036" s="93"/>
      <c r="E2036" s="94" t="str">
        <f t="shared" si="31"/>
        <v/>
      </c>
      <c r="F2036" s="95"/>
      <c r="G2036" s="93"/>
    </row>
    <row r="2037" spans="2:7" x14ac:dyDescent="0.2">
      <c r="B2037" s="92"/>
      <c r="C2037" s="93"/>
      <c r="D2037" s="93"/>
      <c r="E2037" s="94" t="str">
        <f t="shared" si="31"/>
        <v/>
      </c>
      <c r="F2037" s="95"/>
      <c r="G2037" s="93"/>
    </row>
    <row r="2038" spans="2:7" x14ac:dyDescent="0.2">
      <c r="B2038" s="92"/>
      <c r="C2038" s="93"/>
      <c r="D2038" s="93"/>
      <c r="E2038" s="94" t="str">
        <f t="shared" si="31"/>
        <v/>
      </c>
      <c r="F2038" s="95"/>
      <c r="G2038" s="93"/>
    </row>
    <row r="2039" spans="2:7" x14ac:dyDescent="0.2">
      <c r="B2039" s="92"/>
      <c r="C2039" s="93"/>
      <c r="D2039" s="93"/>
      <c r="E2039" s="94" t="str">
        <f t="shared" si="31"/>
        <v/>
      </c>
      <c r="F2039" s="95"/>
      <c r="G2039" s="93"/>
    </row>
    <row r="2040" spans="2:7" x14ac:dyDescent="0.2">
      <c r="B2040" s="92"/>
      <c r="C2040" s="93"/>
      <c r="D2040" s="93"/>
      <c r="E2040" s="94" t="str">
        <f t="shared" si="31"/>
        <v/>
      </c>
      <c r="F2040" s="95"/>
      <c r="G2040" s="93"/>
    </row>
    <row r="2041" spans="2:7" x14ac:dyDescent="0.2">
      <c r="B2041" s="92"/>
      <c r="C2041" s="93"/>
      <c r="D2041" s="93"/>
      <c r="E2041" s="94" t="str">
        <f t="shared" si="31"/>
        <v/>
      </c>
      <c r="F2041" s="95"/>
      <c r="G2041" s="93"/>
    </row>
    <row r="2042" spans="2:7" x14ac:dyDescent="0.2">
      <c r="B2042" s="92"/>
      <c r="C2042" s="93"/>
      <c r="D2042" s="93"/>
      <c r="E2042" s="94" t="str">
        <f t="shared" si="31"/>
        <v/>
      </c>
      <c r="F2042" s="95"/>
      <c r="G2042" s="93"/>
    </row>
    <row r="2043" spans="2:7" x14ac:dyDescent="0.2">
      <c r="B2043" s="92"/>
      <c r="C2043" s="93"/>
      <c r="D2043" s="93"/>
      <c r="E2043" s="94" t="str">
        <f t="shared" si="31"/>
        <v/>
      </c>
      <c r="F2043" s="95"/>
      <c r="G2043" s="93"/>
    </row>
    <row r="2044" spans="2:7" x14ac:dyDescent="0.2">
      <c r="B2044" s="92"/>
      <c r="C2044" s="93"/>
      <c r="D2044" s="93"/>
      <c r="E2044" s="94" t="str">
        <f t="shared" si="31"/>
        <v/>
      </c>
      <c r="F2044" s="95"/>
      <c r="G2044" s="93"/>
    </row>
    <row r="2045" spans="2:7" x14ac:dyDescent="0.2">
      <c r="B2045" s="92"/>
      <c r="C2045" s="93"/>
      <c r="D2045" s="93"/>
      <c r="E2045" s="94" t="str">
        <f t="shared" si="31"/>
        <v/>
      </c>
      <c r="F2045" s="95"/>
      <c r="G2045" s="93"/>
    </row>
    <row r="2046" spans="2:7" x14ac:dyDescent="0.2">
      <c r="B2046" s="92"/>
      <c r="C2046" s="93"/>
      <c r="D2046" s="93"/>
      <c r="E2046" s="94" t="str">
        <f t="shared" si="31"/>
        <v/>
      </c>
      <c r="F2046" s="95"/>
      <c r="G2046" s="93"/>
    </row>
    <row r="2047" spans="2:7" x14ac:dyDescent="0.2">
      <c r="B2047" s="92"/>
      <c r="C2047" s="93"/>
      <c r="D2047" s="93"/>
      <c r="E2047" s="94" t="str">
        <f t="shared" si="31"/>
        <v/>
      </c>
      <c r="F2047" s="95"/>
      <c r="G2047" s="93"/>
    </row>
    <row r="2048" spans="2:7" x14ac:dyDescent="0.2">
      <c r="B2048" s="92"/>
      <c r="C2048" s="93"/>
      <c r="D2048" s="93"/>
      <c r="E2048" s="94" t="str">
        <f t="shared" si="31"/>
        <v/>
      </c>
      <c r="F2048" s="95"/>
      <c r="G2048" s="93"/>
    </row>
    <row r="2049" spans="2:7" x14ac:dyDescent="0.2">
      <c r="B2049" s="92"/>
      <c r="C2049" s="93"/>
      <c r="D2049" s="93"/>
      <c r="E2049" s="94" t="str">
        <f t="shared" si="31"/>
        <v/>
      </c>
      <c r="F2049" s="95"/>
      <c r="G2049" s="93"/>
    </row>
    <row r="2050" spans="2:7" x14ac:dyDescent="0.2">
      <c r="B2050" s="92"/>
      <c r="C2050" s="93"/>
      <c r="D2050" s="93"/>
      <c r="E2050" s="94" t="str">
        <f t="shared" si="31"/>
        <v/>
      </c>
      <c r="F2050" s="95"/>
      <c r="G2050" s="93"/>
    </row>
    <row r="2051" spans="2:7" x14ac:dyDescent="0.2">
      <c r="B2051" s="92"/>
      <c r="C2051" s="93"/>
      <c r="D2051" s="93"/>
      <c r="E2051" s="94" t="str">
        <f t="shared" si="31"/>
        <v/>
      </c>
      <c r="F2051" s="95"/>
      <c r="G2051" s="93"/>
    </row>
    <row r="2052" spans="2:7" x14ac:dyDescent="0.2">
      <c r="B2052" s="92"/>
      <c r="C2052" s="93"/>
      <c r="D2052" s="93"/>
      <c r="E2052" s="94" t="str">
        <f t="shared" si="31"/>
        <v/>
      </c>
      <c r="F2052" s="95"/>
      <c r="G2052" s="93"/>
    </row>
    <row r="2053" spans="2:7" x14ac:dyDescent="0.2">
      <c r="B2053" s="92"/>
      <c r="C2053" s="93"/>
      <c r="D2053" s="93"/>
      <c r="E2053" s="94" t="str">
        <f t="shared" si="31"/>
        <v/>
      </c>
      <c r="F2053" s="95"/>
      <c r="G2053" s="93"/>
    </row>
    <row r="2054" spans="2:7" x14ac:dyDescent="0.2">
      <c r="B2054" s="92"/>
      <c r="C2054" s="93"/>
      <c r="D2054" s="93"/>
      <c r="E2054" s="94" t="str">
        <f t="shared" ref="E2054:E2117" si="32">IF(C2054&lt;&gt;"",D2054-C2054,"")</f>
        <v/>
      </c>
      <c r="F2054" s="95"/>
      <c r="G2054" s="93"/>
    </row>
    <row r="2055" spans="2:7" x14ac:dyDescent="0.2">
      <c r="B2055" s="92"/>
      <c r="C2055" s="93"/>
      <c r="D2055" s="93"/>
      <c r="E2055" s="94" t="str">
        <f t="shared" si="32"/>
        <v/>
      </c>
      <c r="F2055" s="95"/>
      <c r="G2055" s="93"/>
    </row>
    <row r="2056" spans="2:7" x14ac:dyDescent="0.2">
      <c r="B2056" s="92"/>
      <c r="C2056" s="93"/>
      <c r="D2056" s="93"/>
      <c r="E2056" s="94" t="str">
        <f t="shared" si="32"/>
        <v/>
      </c>
      <c r="F2056" s="95"/>
      <c r="G2056" s="93"/>
    </row>
    <row r="2057" spans="2:7" x14ac:dyDescent="0.2">
      <c r="B2057" s="92"/>
      <c r="C2057" s="93"/>
      <c r="D2057" s="93"/>
      <c r="E2057" s="94" t="str">
        <f t="shared" si="32"/>
        <v/>
      </c>
      <c r="F2057" s="95"/>
      <c r="G2057" s="93"/>
    </row>
    <row r="2058" spans="2:7" x14ac:dyDescent="0.2">
      <c r="B2058" s="92"/>
      <c r="C2058" s="93"/>
      <c r="D2058" s="93"/>
      <c r="E2058" s="94" t="str">
        <f t="shared" si="32"/>
        <v/>
      </c>
      <c r="F2058" s="95"/>
      <c r="G2058" s="93"/>
    </row>
    <row r="2059" spans="2:7" x14ac:dyDescent="0.2">
      <c r="B2059" s="92"/>
      <c r="C2059" s="93"/>
      <c r="D2059" s="93"/>
      <c r="E2059" s="94" t="str">
        <f t="shared" si="32"/>
        <v/>
      </c>
      <c r="F2059" s="95"/>
      <c r="G2059" s="93"/>
    </row>
    <row r="2060" spans="2:7" x14ac:dyDescent="0.2">
      <c r="B2060" s="92"/>
      <c r="C2060" s="93"/>
      <c r="D2060" s="93"/>
      <c r="E2060" s="94" t="str">
        <f t="shared" si="32"/>
        <v/>
      </c>
      <c r="F2060" s="95"/>
      <c r="G2060" s="93"/>
    </row>
    <row r="2061" spans="2:7" x14ac:dyDescent="0.2">
      <c r="B2061" s="92"/>
      <c r="C2061" s="93"/>
      <c r="D2061" s="93"/>
      <c r="E2061" s="94" t="str">
        <f t="shared" si="32"/>
        <v/>
      </c>
      <c r="F2061" s="95"/>
      <c r="G2061" s="93"/>
    </row>
    <row r="2062" spans="2:7" x14ac:dyDescent="0.2">
      <c r="B2062" s="92"/>
      <c r="C2062" s="93"/>
      <c r="D2062" s="93"/>
      <c r="E2062" s="94" t="str">
        <f t="shared" si="32"/>
        <v/>
      </c>
      <c r="F2062" s="95"/>
      <c r="G2062" s="93"/>
    </row>
    <row r="2063" spans="2:7" x14ac:dyDescent="0.2">
      <c r="B2063" s="92"/>
      <c r="C2063" s="93"/>
      <c r="D2063" s="93"/>
      <c r="E2063" s="94" t="str">
        <f t="shared" si="32"/>
        <v/>
      </c>
      <c r="F2063" s="95"/>
      <c r="G2063" s="93"/>
    </row>
    <row r="2064" spans="2:7" x14ac:dyDescent="0.2">
      <c r="B2064" s="92"/>
      <c r="C2064" s="93"/>
      <c r="D2064" s="93"/>
      <c r="E2064" s="94" t="str">
        <f t="shared" si="32"/>
        <v/>
      </c>
      <c r="F2064" s="95"/>
      <c r="G2064" s="93"/>
    </row>
    <row r="2065" spans="2:7" x14ac:dyDescent="0.2">
      <c r="B2065" s="92"/>
      <c r="C2065" s="93"/>
      <c r="D2065" s="93"/>
      <c r="E2065" s="94" t="str">
        <f t="shared" si="32"/>
        <v/>
      </c>
      <c r="F2065" s="95"/>
      <c r="G2065" s="93"/>
    </row>
    <row r="2066" spans="2:7" x14ac:dyDescent="0.2">
      <c r="B2066" s="92"/>
      <c r="C2066" s="93"/>
      <c r="D2066" s="93"/>
      <c r="E2066" s="94" t="str">
        <f t="shared" si="32"/>
        <v/>
      </c>
      <c r="F2066" s="95"/>
      <c r="G2066" s="93"/>
    </row>
    <row r="2067" spans="2:7" x14ac:dyDescent="0.2">
      <c r="B2067" s="92"/>
      <c r="C2067" s="93"/>
      <c r="D2067" s="93"/>
      <c r="E2067" s="94" t="str">
        <f t="shared" si="32"/>
        <v/>
      </c>
      <c r="F2067" s="95"/>
      <c r="G2067" s="93"/>
    </row>
    <row r="2068" spans="2:7" x14ac:dyDescent="0.2">
      <c r="B2068" s="92"/>
      <c r="C2068" s="93"/>
      <c r="D2068" s="93"/>
      <c r="E2068" s="94" t="str">
        <f t="shared" si="32"/>
        <v/>
      </c>
      <c r="F2068" s="95"/>
      <c r="G2068" s="93"/>
    </row>
    <row r="2069" spans="2:7" x14ac:dyDescent="0.2">
      <c r="B2069" s="92"/>
      <c r="C2069" s="93"/>
      <c r="D2069" s="93"/>
      <c r="E2069" s="94" t="str">
        <f t="shared" si="32"/>
        <v/>
      </c>
      <c r="F2069" s="95"/>
      <c r="G2069" s="93"/>
    </row>
    <row r="2070" spans="2:7" x14ac:dyDescent="0.2">
      <c r="B2070" s="92"/>
      <c r="C2070" s="93"/>
      <c r="D2070" s="93"/>
      <c r="E2070" s="94" t="str">
        <f t="shared" si="32"/>
        <v/>
      </c>
      <c r="F2070" s="95"/>
      <c r="G2070" s="93"/>
    </row>
    <row r="2071" spans="2:7" x14ac:dyDescent="0.2">
      <c r="B2071" s="92"/>
      <c r="C2071" s="93"/>
      <c r="D2071" s="93"/>
      <c r="E2071" s="94" t="str">
        <f t="shared" si="32"/>
        <v/>
      </c>
      <c r="F2071" s="95"/>
      <c r="G2071" s="93"/>
    </row>
    <row r="2072" spans="2:7" x14ac:dyDescent="0.2">
      <c r="B2072" s="92"/>
      <c r="C2072" s="93"/>
      <c r="D2072" s="93"/>
      <c r="E2072" s="94" t="str">
        <f t="shared" si="32"/>
        <v/>
      </c>
      <c r="F2072" s="95"/>
      <c r="G2072" s="93"/>
    </row>
    <row r="2073" spans="2:7" x14ac:dyDescent="0.2">
      <c r="B2073" s="92"/>
      <c r="C2073" s="93"/>
      <c r="D2073" s="93"/>
      <c r="E2073" s="94" t="str">
        <f t="shared" si="32"/>
        <v/>
      </c>
      <c r="F2073" s="95"/>
      <c r="G2073" s="93"/>
    </row>
    <row r="2074" spans="2:7" x14ac:dyDescent="0.2">
      <c r="B2074" s="92"/>
      <c r="C2074" s="93"/>
      <c r="D2074" s="93"/>
      <c r="E2074" s="94" t="str">
        <f t="shared" si="32"/>
        <v/>
      </c>
      <c r="F2074" s="95"/>
      <c r="G2074" s="93"/>
    </row>
    <row r="2075" spans="2:7" x14ac:dyDescent="0.2">
      <c r="B2075" s="92"/>
      <c r="C2075" s="93"/>
      <c r="D2075" s="93"/>
      <c r="E2075" s="94" t="str">
        <f t="shared" si="32"/>
        <v/>
      </c>
      <c r="F2075" s="95"/>
      <c r="G2075" s="93"/>
    </row>
    <row r="2076" spans="2:7" x14ac:dyDescent="0.2">
      <c r="B2076" s="92"/>
      <c r="C2076" s="93"/>
      <c r="D2076" s="93"/>
      <c r="E2076" s="94" t="str">
        <f t="shared" si="32"/>
        <v/>
      </c>
      <c r="F2076" s="95"/>
      <c r="G2076" s="93"/>
    </row>
    <row r="2077" spans="2:7" x14ac:dyDescent="0.2">
      <c r="B2077" s="92"/>
      <c r="C2077" s="93"/>
      <c r="D2077" s="93"/>
      <c r="E2077" s="94" t="str">
        <f t="shared" si="32"/>
        <v/>
      </c>
      <c r="F2077" s="95"/>
      <c r="G2077" s="93"/>
    </row>
    <row r="2078" spans="2:7" x14ac:dyDescent="0.2">
      <c r="B2078" s="92"/>
      <c r="C2078" s="93"/>
      <c r="D2078" s="93"/>
      <c r="E2078" s="94" t="str">
        <f t="shared" si="32"/>
        <v/>
      </c>
      <c r="F2078" s="95"/>
      <c r="G2078" s="93"/>
    </row>
    <row r="2079" spans="2:7" x14ac:dyDescent="0.2">
      <c r="B2079" s="92"/>
      <c r="C2079" s="93"/>
      <c r="D2079" s="93"/>
      <c r="E2079" s="94" t="str">
        <f t="shared" si="32"/>
        <v/>
      </c>
      <c r="F2079" s="95"/>
      <c r="G2079" s="93"/>
    </row>
    <row r="2080" spans="2:7" x14ac:dyDescent="0.2">
      <c r="B2080" s="92"/>
      <c r="C2080" s="93"/>
      <c r="D2080" s="93"/>
      <c r="E2080" s="94" t="str">
        <f t="shared" si="32"/>
        <v/>
      </c>
      <c r="F2080" s="95"/>
      <c r="G2080" s="93"/>
    </row>
    <row r="2081" spans="2:7" x14ac:dyDescent="0.2">
      <c r="B2081" s="92"/>
      <c r="C2081" s="93"/>
      <c r="D2081" s="93"/>
      <c r="E2081" s="94" t="str">
        <f t="shared" si="32"/>
        <v/>
      </c>
      <c r="F2081" s="95"/>
      <c r="G2081" s="93"/>
    </row>
    <row r="2082" spans="2:7" x14ac:dyDescent="0.2">
      <c r="B2082" s="92"/>
      <c r="C2082" s="93"/>
      <c r="D2082" s="93"/>
      <c r="E2082" s="94" t="str">
        <f t="shared" si="32"/>
        <v/>
      </c>
      <c r="F2082" s="95"/>
      <c r="G2082" s="93"/>
    </row>
    <row r="2083" spans="2:7" x14ac:dyDescent="0.2">
      <c r="B2083" s="92"/>
      <c r="C2083" s="93"/>
      <c r="D2083" s="93"/>
      <c r="E2083" s="94" t="str">
        <f t="shared" si="32"/>
        <v/>
      </c>
      <c r="F2083" s="95"/>
      <c r="G2083" s="93"/>
    </row>
    <row r="2084" spans="2:7" x14ac:dyDescent="0.2">
      <c r="B2084" s="92"/>
      <c r="C2084" s="93"/>
      <c r="D2084" s="93"/>
      <c r="E2084" s="94" t="str">
        <f t="shared" si="32"/>
        <v/>
      </c>
      <c r="F2084" s="95"/>
      <c r="G2084" s="93"/>
    </row>
    <row r="2085" spans="2:7" x14ac:dyDescent="0.2">
      <c r="B2085" s="92"/>
      <c r="C2085" s="93"/>
      <c r="D2085" s="93"/>
      <c r="E2085" s="94" t="str">
        <f t="shared" si="32"/>
        <v/>
      </c>
      <c r="F2085" s="95"/>
      <c r="G2085" s="93"/>
    </row>
    <row r="2086" spans="2:7" x14ac:dyDescent="0.2">
      <c r="B2086" s="92"/>
      <c r="C2086" s="93"/>
      <c r="D2086" s="93"/>
      <c r="E2086" s="94" t="str">
        <f t="shared" si="32"/>
        <v/>
      </c>
      <c r="F2086" s="95"/>
      <c r="G2086" s="93"/>
    </row>
    <row r="2087" spans="2:7" x14ac:dyDescent="0.2">
      <c r="B2087" s="92"/>
      <c r="C2087" s="93"/>
      <c r="D2087" s="93"/>
      <c r="E2087" s="94" t="str">
        <f t="shared" si="32"/>
        <v/>
      </c>
      <c r="F2087" s="95"/>
      <c r="G2087" s="93"/>
    </row>
    <row r="2088" spans="2:7" x14ac:dyDescent="0.2">
      <c r="B2088" s="92"/>
      <c r="C2088" s="93"/>
      <c r="D2088" s="93"/>
      <c r="E2088" s="94" t="str">
        <f t="shared" si="32"/>
        <v/>
      </c>
      <c r="F2088" s="95"/>
      <c r="G2088" s="93"/>
    </row>
    <row r="2089" spans="2:7" x14ac:dyDescent="0.2">
      <c r="B2089" s="92"/>
      <c r="C2089" s="93"/>
      <c r="D2089" s="93"/>
      <c r="E2089" s="94" t="str">
        <f t="shared" si="32"/>
        <v/>
      </c>
      <c r="F2089" s="95"/>
      <c r="G2089" s="93"/>
    </row>
    <row r="2090" spans="2:7" x14ac:dyDescent="0.2">
      <c r="B2090" s="92"/>
      <c r="C2090" s="93"/>
      <c r="D2090" s="93"/>
      <c r="E2090" s="94" t="str">
        <f t="shared" si="32"/>
        <v/>
      </c>
      <c r="F2090" s="95"/>
      <c r="G2090" s="93"/>
    </row>
    <row r="2091" spans="2:7" x14ac:dyDescent="0.2">
      <c r="B2091" s="92"/>
      <c r="C2091" s="93"/>
      <c r="D2091" s="93"/>
      <c r="E2091" s="94" t="str">
        <f t="shared" si="32"/>
        <v/>
      </c>
      <c r="F2091" s="95"/>
      <c r="G2091" s="93"/>
    </row>
    <row r="2092" spans="2:7" x14ac:dyDescent="0.2">
      <c r="B2092" s="92"/>
      <c r="C2092" s="93"/>
      <c r="D2092" s="93"/>
      <c r="E2092" s="94" t="str">
        <f t="shared" si="32"/>
        <v/>
      </c>
      <c r="F2092" s="95"/>
      <c r="G2092" s="93"/>
    </row>
    <row r="2093" spans="2:7" x14ac:dyDescent="0.2">
      <c r="B2093" s="92"/>
      <c r="C2093" s="93"/>
      <c r="D2093" s="93"/>
      <c r="E2093" s="94" t="str">
        <f t="shared" si="32"/>
        <v/>
      </c>
      <c r="F2093" s="95"/>
      <c r="G2093" s="93"/>
    </row>
    <row r="2094" spans="2:7" x14ac:dyDescent="0.2">
      <c r="B2094" s="92"/>
      <c r="C2094" s="93"/>
      <c r="D2094" s="93"/>
      <c r="E2094" s="94" t="str">
        <f t="shared" si="32"/>
        <v/>
      </c>
      <c r="F2094" s="95"/>
      <c r="G2094" s="93"/>
    </row>
    <row r="2095" spans="2:7" x14ac:dyDescent="0.2">
      <c r="B2095" s="92"/>
      <c r="C2095" s="93"/>
      <c r="D2095" s="93"/>
      <c r="E2095" s="94" t="str">
        <f t="shared" si="32"/>
        <v/>
      </c>
      <c r="F2095" s="95"/>
      <c r="G2095" s="93"/>
    </row>
    <row r="2096" spans="2:7" x14ac:dyDescent="0.2">
      <c r="B2096" s="92"/>
      <c r="C2096" s="93"/>
      <c r="D2096" s="93"/>
      <c r="E2096" s="94" t="str">
        <f t="shared" si="32"/>
        <v/>
      </c>
      <c r="F2096" s="95"/>
      <c r="G2096" s="93"/>
    </row>
    <row r="2097" spans="2:7" x14ac:dyDescent="0.2">
      <c r="B2097" s="92"/>
      <c r="C2097" s="93"/>
      <c r="D2097" s="93"/>
      <c r="E2097" s="94" t="str">
        <f t="shared" si="32"/>
        <v/>
      </c>
      <c r="F2097" s="95"/>
      <c r="G2097" s="93"/>
    </row>
    <row r="2098" spans="2:7" x14ac:dyDescent="0.2">
      <c r="B2098" s="92"/>
      <c r="C2098" s="93"/>
      <c r="D2098" s="93"/>
      <c r="E2098" s="94" t="str">
        <f t="shared" si="32"/>
        <v/>
      </c>
      <c r="F2098" s="95"/>
      <c r="G2098" s="93"/>
    </row>
    <row r="2099" spans="2:7" x14ac:dyDescent="0.2">
      <c r="B2099" s="92"/>
      <c r="C2099" s="93"/>
      <c r="D2099" s="93"/>
      <c r="E2099" s="94" t="str">
        <f t="shared" si="32"/>
        <v/>
      </c>
      <c r="F2099" s="95"/>
      <c r="G2099" s="93"/>
    </row>
    <row r="2100" spans="2:7" x14ac:dyDescent="0.2">
      <c r="B2100" s="92"/>
      <c r="C2100" s="93"/>
      <c r="D2100" s="93"/>
      <c r="E2100" s="94" t="str">
        <f t="shared" si="32"/>
        <v/>
      </c>
      <c r="F2100" s="95"/>
      <c r="G2100" s="93"/>
    </row>
    <row r="2101" spans="2:7" x14ac:dyDescent="0.2">
      <c r="B2101" s="92"/>
      <c r="C2101" s="93"/>
      <c r="D2101" s="93"/>
      <c r="E2101" s="94" t="str">
        <f t="shared" si="32"/>
        <v/>
      </c>
      <c r="F2101" s="95"/>
      <c r="G2101" s="93"/>
    </row>
    <row r="2102" spans="2:7" x14ac:dyDescent="0.2">
      <c r="B2102" s="92"/>
      <c r="C2102" s="93"/>
      <c r="D2102" s="93"/>
      <c r="E2102" s="94" t="str">
        <f t="shared" si="32"/>
        <v/>
      </c>
      <c r="F2102" s="95"/>
      <c r="G2102" s="93"/>
    </row>
    <row r="2103" spans="2:7" x14ac:dyDescent="0.2">
      <c r="B2103" s="92"/>
      <c r="C2103" s="93"/>
      <c r="D2103" s="93"/>
      <c r="E2103" s="94" t="str">
        <f t="shared" si="32"/>
        <v/>
      </c>
      <c r="F2103" s="95"/>
      <c r="G2103" s="93"/>
    </row>
    <row r="2104" spans="2:7" x14ac:dyDescent="0.2">
      <c r="B2104" s="92"/>
      <c r="C2104" s="93"/>
      <c r="D2104" s="93"/>
      <c r="E2104" s="94" t="str">
        <f t="shared" si="32"/>
        <v/>
      </c>
      <c r="F2104" s="95"/>
      <c r="G2104" s="93"/>
    </row>
    <row r="2105" spans="2:7" x14ac:dyDescent="0.2">
      <c r="B2105" s="92"/>
      <c r="C2105" s="93"/>
      <c r="D2105" s="93"/>
      <c r="E2105" s="94" t="str">
        <f t="shared" si="32"/>
        <v/>
      </c>
      <c r="F2105" s="95"/>
      <c r="G2105" s="93"/>
    </row>
    <row r="2106" spans="2:7" x14ac:dyDescent="0.2">
      <c r="B2106" s="92"/>
      <c r="C2106" s="93"/>
      <c r="D2106" s="93"/>
      <c r="E2106" s="94" t="str">
        <f t="shared" si="32"/>
        <v/>
      </c>
      <c r="F2106" s="95"/>
      <c r="G2106" s="93"/>
    </row>
    <row r="2107" spans="2:7" x14ac:dyDescent="0.2">
      <c r="B2107" s="92"/>
      <c r="C2107" s="93"/>
      <c r="D2107" s="93"/>
      <c r="E2107" s="94" t="str">
        <f t="shared" si="32"/>
        <v/>
      </c>
      <c r="F2107" s="95"/>
      <c r="G2107" s="93"/>
    </row>
    <row r="2108" spans="2:7" x14ac:dyDescent="0.2">
      <c r="B2108" s="92"/>
      <c r="C2108" s="93"/>
      <c r="D2108" s="93"/>
      <c r="E2108" s="94" t="str">
        <f t="shared" si="32"/>
        <v/>
      </c>
      <c r="F2108" s="95"/>
      <c r="G2108" s="93"/>
    </row>
    <row r="2109" spans="2:7" x14ac:dyDescent="0.2">
      <c r="B2109" s="92"/>
      <c r="C2109" s="93"/>
      <c r="D2109" s="93"/>
      <c r="E2109" s="94" t="str">
        <f t="shared" si="32"/>
        <v/>
      </c>
      <c r="F2109" s="95"/>
      <c r="G2109" s="93"/>
    </row>
    <row r="2110" spans="2:7" x14ac:dyDescent="0.2">
      <c r="B2110" s="92"/>
      <c r="C2110" s="93"/>
      <c r="D2110" s="93"/>
      <c r="E2110" s="94" t="str">
        <f t="shared" si="32"/>
        <v/>
      </c>
      <c r="F2110" s="95"/>
      <c r="G2110" s="93"/>
    </row>
    <row r="2111" spans="2:7" x14ac:dyDescent="0.2">
      <c r="B2111" s="92"/>
      <c r="C2111" s="93"/>
      <c r="D2111" s="93"/>
      <c r="E2111" s="94" t="str">
        <f t="shared" si="32"/>
        <v/>
      </c>
      <c r="F2111" s="95"/>
      <c r="G2111" s="93"/>
    </row>
    <row r="2112" spans="2:7" x14ac:dyDescent="0.2">
      <c r="B2112" s="92"/>
      <c r="C2112" s="93"/>
      <c r="D2112" s="93"/>
      <c r="E2112" s="94" t="str">
        <f t="shared" si="32"/>
        <v/>
      </c>
      <c r="F2112" s="95"/>
      <c r="G2112" s="93"/>
    </row>
    <row r="2113" spans="2:7" x14ac:dyDescent="0.2">
      <c r="B2113" s="92"/>
      <c r="C2113" s="93"/>
      <c r="D2113" s="93"/>
      <c r="E2113" s="94" t="str">
        <f t="shared" si="32"/>
        <v/>
      </c>
      <c r="F2113" s="95"/>
      <c r="G2113" s="93"/>
    </row>
    <row r="2114" spans="2:7" x14ac:dyDescent="0.2">
      <c r="B2114" s="92"/>
      <c r="C2114" s="93"/>
      <c r="D2114" s="93"/>
      <c r="E2114" s="94" t="str">
        <f t="shared" si="32"/>
        <v/>
      </c>
      <c r="F2114" s="95"/>
      <c r="G2114" s="93"/>
    </row>
    <row r="2115" spans="2:7" x14ac:dyDescent="0.2">
      <c r="B2115" s="92"/>
      <c r="C2115" s="93"/>
      <c r="D2115" s="93"/>
      <c r="E2115" s="94" t="str">
        <f t="shared" si="32"/>
        <v/>
      </c>
      <c r="F2115" s="95"/>
      <c r="G2115" s="93"/>
    </row>
    <row r="2116" spans="2:7" x14ac:dyDescent="0.2">
      <c r="B2116" s="92"/>
      <c r="C2116" s="93"/>
      <c r="D2116" s="93"/>
      <c r="E2116" s="94" t="str">
        <f t="shared" si="32"/>
        <v/>
      </c>
      <c r="F2116" s="95"/>
      <c r="G2116" s="93"/>
    </row>
    <row r="2117" spans="2:7" x14ac:dyDescent="0.2">
      <c r="B2117" s="92"/>
      <c r="C2117" s="93"/>
      <c r="D2117" s="93"/>
      <c r="E2117" s="94" t="str">
        <f t="shared" si="32"/>
        <v/>
      </c>
      <c r="F2117" s="95"/>
      <c r="G2117" s="93"/>
    </row>
    <row r="2118" spans="2:7" x14ac:dyDescent="0.2">
      <c r="B2118" s="92"/>
      <c r="C2118" s="93"/>
      <c r="D2118" s="93"/>
      <c r="E2118" s="94" t="str">
        <f t="shared" ref="E2118:E2181" si="33">IF(C2118&lt;&gt;"",D2118-C2118,"")</f>
        <v/>
      </c>
      <c r="F2118" s="95"/>
      <c r="G2118" s="93"/>
    </row>
    <row r="2119" spans="2:7" x14ac:dyDescent="0.2">
      <c r="B2119" s="92"/>
      <c r="C2119" s="93"/>
      <c r="D2119" s="93"/>
      <c r="E2119" s="94" t="str">
        <f t="shared" si="33"/>
        <v/>
      </c>
      <c r="F2119" s="95"/>
      <c r="G2119" s="93"/>
    </row>
    <row r="2120" spans="2:7" x14ac:dyDescent="0.2">
      <c r="B2120" s="92"/>
      <c r="C2120" s="93"/>
      <c r="D2120" s="93"/>
      <c r="E2120" s="94" t="str">
        <f t="shared" si="33"/>
        <v/>
      </c>
      <c r="F2120" s="95"/>
      <c r="G2120" s="93"/>
    </row>
    <row r="2121" spans="2:7" x14ac:dyDescent="0.2">
      <c r="B2121" s="92"/>
      <c r="C2121" s="93"/>
      <c r="D2121" s="93"/>
      <c r="E2121" s="94" t="str">
        <f t="shared" si="33"/>
        <v/>
      </c>
      <c r="F2121" s="95"/>
      <c r="G2121" s="93"/>
    </row>
    <row r="2122" spans="2:7" x14ac:dyDescent="0.2">
      <c r="B2122" s="92"/>
      <c r="C2122" s="93"/>
      <c r="D2122" s="93"/>
      <c r="E2122" s="94" t="str">
        <f t="shared" si="33"/>
        <v/>
      </c>
      <c r="F2122" s="95"/>
      <c r="G2122" s="93"/>
    </row>
    <row r="2123" spans="2:7" x14ac:dyDescent="0.2">
      <c r="B2123" s="92"/>
      <c r="C2123" s="93"/>
      <c r="D2123" s="93"/>
      <c r="E2123" s="94" t="str">
        <f t="shared" si="33"/>
        <v/>
      </c>
      <c r="F2123" s="95"/>
      <c r="G2123" s="93"/>
    </row>
    <row r="2124" spans="2:7" x14ac:dyDescent="0.2">
      <c r="B2124" s="92"/>
      <c r="C2124" s="93"/>
      <c r="D2124" s="93"/>
      <c r="E2124" s="94" t="str">
        <f t="shared" si="33"/>
        <v/>
      </c>
      <c r="F2124" s="95"/>
      <c r="G2124" s="93"/>
    </row>
    <row r="2125" spans="2:7" x14ac:dyDescent="0.2">
      <c r="B2125" s="92"/>
      <c r="C2125" s="93"/>
      <c r="D2125" s="93"/>
      <c r="E2125" s="94" t="str">
        <f t="shared" si="33"/>
        <v/>
      </c>
      <c r="F2125" s="95"/>
      <c r="G2125" s="93"/>
    </row>
    <row r="2126" spans="2:7" x14ac:dyDescent="0.2">
      <c r="B2126" s="92"/>
      <c r="C2126" s="93"/>
      <c r="D2126" s="93"/>
      <c r="E2126" s="94" t="str">
        <f t="shared" si="33"/>
        <v/>
      </c>
      <c r="F2126" s="95"/>
      <c r="G2126" s="93"/>
    </row>
    <row r="2127" spans="2:7" x14ac:dyDescent="0.2">
      <c r="B2127" s="92"/>
      <c r="C2127" s="93"/>
      <c r="D2127" s="93"/>
      <c r="E2127" s="94" t="str">
        <f t="shared" si="33"/>
        <v/>
      </c>
      <c r="F2127" s="95"/>
      <c r="G2127" s="93"/>
    </row>
    <row r="2128" spans="2:7" x14ac:dyDescent="0.2">
      <c r="B2128" s="92"/>
      <c r="C2128" s="93"/>
      <c r="D2128" s="93"/>
      <c r="E2128" s="94" t="str">
        <f t="shared" si="33"/>
        <v/>
      </c>
      <c r="F2128" s="95"/>
      <c r="G2128" s="93"/>
    </row>
    <row r="2129" spans="2:7" x14ac:dyDescent="0.2">
      <c r="B2129" s="92"/>
      <c r="C2129" s="93"/>
      <c r="D2129" s="93"/>
      <c r="E2129" s="94" t="str">
        <f t="shared" si="33"/>
        <v/>
      </c>
      <c r="F2129" s="95"/>
      <c r="G2129" s="93"/>
    </row>
    <row r="2130" spans="2:7" x14ac:dyDescent="0.2">
      <c r="B2130" s="92"/>
      <c r="C2130" s="93"/>
      <c r="D2130" s="93"/>
      <c r="E2130" s="94" t="str">
        <f t="shared" si="33"/>
        <v/>
      </c>
      <c r="F2130" s="95"/>
      <c r="G2130" s="93"/>
    </row>
    <row r="2131" spans="2:7" x14ac:dyDescent="0.2">
      <c r="B2131" s="92"/>
      <c r="C2131" s="93"/>
      <c r="D2131" s="93"/>
      <c r="E2131" s="94" t="str">
        <f t="shared" si="33"/>
        <v/>
      </c>
      <c r="F2131" s="95"/>
      <c r="G2131" s="93"/>
    </row>
    <row r="2132" spans="2:7" x14ac:dyDescent="0.2">
      <c r="B2132" s="92"/>
      <c r="C2132" s="93"/>
      <c r="D2132" s="93"/>
      <c r="E2132" s="94" t="str">
        <f t="shared" si="33"/>
        <v/>
      </c>
      <c r="F2132" s="95"/>
      <c r="G2132" s="93"/>
    </row>
    <row r="2133" spans="2:7" x14ac:dyDescent="0.2">
      <c r="B2133" s="92"/>
      <c r="C2133" s="93"/>
      <c r="D2133" s="93"/>
      <c r="E2133" s="94" t="str">
        <f t="shared" si="33"/>
        <v/>
      </c>
      <c r="F2133" s="95"/>
      <c r="G2133" s="93"/>
    </row>
    <row r="2134" spans="2:7" x14ac:dyDescent="0.2">
      <c r="B2134" s="92"/>
      <c r="C2134" s="93"/>
      <c r="D2134" s="93"/>
      <c r="E2134" s="94" t="str">
        <f t="shared" si="33"/>
        <v/>
      </c>
      <c r="F2134" s="95"/>
      <c r="G2134" s="93"/>
    </row>
    <row r="2135" spans="2:7" x14ac:dyDescent="0.2">
      <c r="B2135" s="92"/>
      <c r="C2135" s="93"/>
      <c r="D2135" s="93"/>
      <c r="E2135" s="94" t="str">
        <f t="shared" si="33"/>
        <v/>
      </c>
      <c r="F2135" s="95"/>
      <c r="G2135" s="93"/>
    </row>
    <row r="2136" spans="2:7" x14ac:dyDescent="0.2">
      <c r="B2136" s="92"/>
      <c r="C2136" s="93"/>
      <c r="D2136" s="93"/>
      <c r="E2136" s="94" t="str">
        <f t="shared" si="33"/>
        <v/>
      </c>
      <c r="F2136" s="95"/>
      <c r="G2136" s="93"/>
    </row>
    <row r="2137" spans="2:7" x14ac:dyDescent="0.2">
      <c r="B2137" s="92"/>
      <c r="C2137" s="93"/>
      <c r="D2137" s="93"/>
      <c r="E2137" s="94" t="str">
        <f t="shared" si="33"/>
        <v/>
      </c>
      <c r="F2137" s="95"/>
      <c r="G2137" s="93"/>
    </row>
    <row r="2138" spans="2:7" x14ac:dyDescent="0.2">
      <c r="B2138" s="92"/>
      <c r="C2138" s="93"/>
      <c r="D2138" s="93"/>
      <c r="E2138" s="94" t="str">
        <f t="shared" si="33"/>
        <v/>
      </c>
      <c r="F2138" s="95"/>
      <c r="G2138" s="93"/>
    </row>
    <row r="2139" spans="2:7" x14ac:dyDescent="0.2">
      <c r="B2139" s="92"/>
      <c r="C2139" s="93"/>
      <c r="D2139" s="93"/>
      <c r="E2139" s="94" t="str">
        <f t="shared" si="33"/>
        <v/>
      </c>
      <c r="F2139" s="95"/>
      <c r="G2139" s="93"/>
    </row>
    <row r="2140" spans="2:7" x14ac:dyDescent="0.2">
      <c r="B2140" s="92"/>
      <c r="C2140" s="93"/>
      <c r="D2140" s="93"/>
      <c r="E2140" s="94" t="str">
        <f t="shared" si="33"/>
        <v/>
      </c>
      <c r="F2140" s="95"/>
      <c r="G2140" s="93"/>
    </row>
    <row r="2141" spans="2:7" x14ac:dyDescent="0.2">
      <c r="B2141" s="92"/>
      <c r="C2141" s="93"/>
      <c r="D2141" s="93"/>
      <c r="E2141" s="94" t="str">
        <f t="shared" si="33"/>
        <v/>
      </c>
      <c r="F2141" s="95"/>
      <c r="G2141" s="93"/>
    </row>
    <row r="2142" spans="2:7" x14ac:dyDescent="0.2">
      <c r="B2142" s="92"/>
      <c r="C2142" s="93"/>
      <c r="D2142" s="93"/>
      <c r="E2142" s="94" t="str">
        <f t="shared" si="33"/>
        <v/>
      </c>
      <c r="F2142" s="95"/>
      <c r="G2142" s="93"/>
    </row>
    <row r="2143" spans="2:7" x14ac:dyDescent="0.2">
      <c r="B2143" s="92"/>
      <c r="C2143" s="93"/>
      <c r="D2143" s="93"/>
      <c r="E2143" s="94" t="str">
        <f t="shared" si="33"/>
        <v/>
      </c>
      <c r="F2143" s="95"/>
      <c r="G2143" s="93"/>
    </row>
    <row r="2144" spans="2:7" x14ac:dyDescent="0.2">
      <c r="B2144" s="92"/>
      <c r="C2144" s="93"/>
      <c r="D2144" s="93"/>
      <c r="E2144" s="94" t="str">
        <f t="shared" si="33"/>
        <v/>
      </c>
      <c r="F2144" s="95"/>
      <c r="G2144" s="93"/>
    </row>
    <row r="2145" spans="2:7" x14ac:dyDescent="0.2">
      <c r="B2145" s="92"/>
      <c r="C2145" s="93"/>
      <c r="D2145" s="93"/>
      <c r="E2145" s="94" t="str">
        <f t="shared" si="33"/>
        <v/>
      </c>
      <c r="F2145" s="95"/>
      <c r="G2145" s="93"/>
    </row>
    <row r="2146" spans="2:7" x14ac:dyDescent="0.2">
      <c r="B2146" s="92"/>
      <c r="C2146" s="93"/>
      <c r="D2146" s="93"/>
      <c r="E2146" s="94" t="str">
        <f t="shared" si="33"/>
        <v/>
      </c>
      <c r="F2146" s="95"/>
      <c r="G2146" s="93"/>
    </row>
    <row r="2147" spans="2:7" x14ac:dyDescent="0.2">
      <c r="B2147" s="92"/>
      <c r="C2147" s="93"/>
      <c r="D2147" s="93"/>
      <c r="E2147" s="94" t="str">
        <f t="shared" si="33"/>
        <v/>
      </c>
      <c r="F2147" s="95"/>
      <c r="G2147" s="93"/>
    </row>
    <row r="2148" spans="2:7" x14ac:dyDescent="0.2">
      <c r="B2148" s="92"/>
      <c r="C2148" s="93"/>
      <c r="D2148" s="93"/>
      <c r="E2148" s="94" t="str">
        <f t="shared" si="33"/>
        <v/>
      </c>
      <c r="F2148" s="95"/>
      <c r="G2148" s="93"/>
    </row>
    <row r="2149" spans="2:7" x14ac:dyDescent="0.2">
      <c r="B2149" s="92"/>
      <c r="C2149" s="93"/>
      <c r="D2149" s="93"/>
      <c r="E2149" s="94" t="str">
        <f t="shared" si="33"/>
        <v/>
      </c>
      <c r="F2149" s="95"/>
      <c r="G2149" s="93"/>
    </row>
    <row r="2150" spans="2:7" x14ac:dyDescent="0.2">
      <c r="B2150" s="92"/>
      <c r="C2150" s="93"/>
      <c r="D2150" s="93"/>
      <c r="E2150" s="94" t="str">
        <f t="shared" si="33"/>
        <v/>
      </c>
      <c r="F2150" s="95"/>
      <c r="G2150" s="93"/>
    </row>
    <row r="2151" spans="2:7" x14ac:dyDescent="0.2">
      <c r="B2151" s="92"/>
      <c r="C2151" s="93"/>
      <c r="D2151" s="93"/>
      <c r="E2151" s="94" t="str">
        <f t="shared" si="33"/>
        <v/>
      </c>
      <c r="F2151" s="95"/>
      <c r="G2151" s="93"/>
    </row>
    <row r="2152" spans="2:7" x14ac:dyDescent="0.2">
      <c r="B2152" s="92"/>
      <c r="C2152" s="93"/>
      <c r="D2152" s="93"/>
      <c r="E2152" s="94" t="str">
        <f t="shared" si="33"/>
        <v/>
      </c>
      <c r="F2152" s="95"/>
      <c r="G2152" s="93"/>
    </row>
    <row r="2153" spans="2:7" x14ac:dyDescent="0.2">
      <c r="B2153" s="92"/>
      <c r="C2153" s="93"/>
      <c r="D2153" s="93"/>
      <c r="E2153" s="94" t="str">
        <f t="shared" si="33"/>
        <v/>
      </c>
      <c r="F2153" s="95"/>
      <c r="G2153" s="93"/>
    </row>
    <row r="2154" spans="2:7" x14ac:dyDescent="0.2">
      <c r="B2154" s="92"/>
      <c r="C2154" s="93"/>
      <c r="D2154" s="93"/>
      <c r="E2154" s="94" t="str">
        <f t="shared" si="33"/>
        <v/>
      </c>
      <c r="F2154" s="95"/>
      <c r="G2154" s="93"/>
    </row>
    <row r="2155" spans="2:7" x14ac:dyDescent="0.2">
      <c r="B2155" s="92"/>
      <c r="C2155" s="93"/>
      <c r="D2155" s="93"/>
      <c r="E2155" s="94" t="str">
        <f t="shared" si="33"/>
        <v/>
      </c>
      <c r="F2155" s="95"/>
      <c r="G2155" s="93"/>
    </row>
    <row r="2156" spans="2:7" x14ac:dyDescent="0.2">
      <c r="B2156" s="92"/>
      <c r="C2156" s="93"/>
      <c r="D2156" s="93"/>
      <c r="E2156" s="94" t="str">
        <f t="shared" si="33"/>
        <v/>
      </c>
      <c r="F2156" s="95"/>
      <c r="G2156" s="93"/>
    </row>
    <row r="2157" spans="2:7" x14ac:dyDescent="0.2">
      <c r="B2157" s="92"/>
      <c r="C2157" s="93"/>
      <c r="D2157" s="93"/>
      <c r="E2157" s="94" t="str">
        <f t="shared" si="33"/>
        <v/>
      </c>
      <c r="F2157" s="95"/>
      <c r="G2157" s="93"/>
    </row>
    <row r="2158" spans="2:7" x14ac:dyDescent="0.2">
      <c r="B2158" s="92"/>
      <c r="C2158" s="93"/>
      <c r="D2158" s="93"/>
      <c r="E2158" s="94" t="str">
        <f t="shared" si="33"/>
        <v/>
      </c>
      <c r="F2158" s="95"/>
      <c r="G2158" s="93"/>
    </row>
    <row r="2159" spans="2:7" x14ac:dyDescent="0.2">
      <c r="B2159" s="92"/>
      <c r="C2159" s="93"/>
      <c r="D2159" s="93"/>
      <c r="E2159" s="94" t="str">
        <f t="shared" si="33"/>
        <v/>
      </c>
      <c r="F2159" s="95"/>
      <c r="G2159" s="93"/>
    </row>
    <row r="2160" spans="2:7" x14ac:dyDescent="0.2">
      <c r="B2160" s="92"/>
      <c r="C2160" s="93"/>
      <c r="D2160" s="93"/>
      <c r="E2160" s="94" t="str">
        <f t="shared" si="33"/>
        <v/>
      </c>
      <c r="F2160" s="95"/>
      <c r="G2160" s="93"/>
    </row>
    <row r="2161" spans="2:7" x14ac:dyDescent="0.2">
      <c r="B2161" s="92"/>
      <c r="C2161" s="93"/>
      <c r="D2161" s="93"/>
      <c r="E2161" s="94" t="str">
        <f t="shared" si="33"/>
        <v/>
      </c>
      <c r="F2161" s="95"/>
      <c r="G2161" s="93"/>
    </row>
    <row r="2162" spans="2:7" x14ac:dyDescent="0.2">
      <c r="B2162" s="92"/>
      <c r="C2162" s="93"/>
      <c r="D2162" s="93"/>
      <c r="E2162" s="94" t="str">
        <f t="shared" si="33"/>
        <v/>
      </c>
      <c r="F2162" s="95"/>
      <c r="G2162" s="93"/>
    </row>
    <row r="2163" spans="2:7" x14ac:dyDescent="0.2">
      <c r="B2163" s="92"/>
      <c r="C2163" s="93"/>
      <c r="D2163" s="93"/>
      <c r="E2163" s="94" t="str">
        <f t="shared" si="33"/>
        <v/>
      </c>
      <c r="F2163" s="95"/>
      <c r="G2163" s="93"/>
    </row>
    <row r="2164" spans="2:7" x14ac:dyDescent="0.2">
      <c r="B2164" s="92"/>
      <c r="C2164" s="93"/>
      <c r="D2164" s="93"/>
      <c r="E2164" s="94" t="str">
        <f t="shared" si="33"/>
        <v/>
      </c>
      <c r="F2164" s="95"/>
      <c r="G2164" s="93"/>
    </row>
    <row r="2165" spans="2:7" x14ac:dyDescent="0.2">
      <c r="B2165" s="92"/>
      <c r="C2165" s="93"/>
      <c r="D2165" s="93"/>
      <c r="E2165" s="94" t="str">
        <f t="shared" si="33"/>
        <v/>
      </c>
      <c r="F2165" s="95"/>
      <c r="G2165" s="93"/>
    </row>
    <row r="2166" spans="2:7" x14ac:dyDescent="0.2">
      <c r="B2166" s="92"/>
      <c r="C2166" s="93"/>
      <c r="D2166" s="93"/>
      <c r="E2166" s="94" t="str">
        <f t="shared" si="33"/>
        <v/>
      </c>
      <c r="F2166" s="95"/>
      <c r="G2166" s="93"/>
    </row>
    <row r="2167" spans="2:7" x14ac:dyDescent="0.2">
      <c r="B2167" s="92"/>
      <c r="C2167" s="93"/>
      <c r="D2167" s="93"/>
      <c r="E2167" s="94" t="str">
        <f t="shared" si="33"/>
        <v/>
      </c>
      <c r="F2167" s="95"/>
      <c r="G2167" s="93"/>
    </row>
    <row r="2168" spans="2:7" x14ac:dyDescent="0.2">
      <c r="B2168" s="92"/>
      <c r="C2168" s="93"/>
      <c r="D2168" s="93"/>
      <c r="E2168" s="94" t="str">
        <f t="shared" si="33"/>
        <v/>
      </c>
      <c r="F2168" s="95"/>
      <c r="G2168" s="93"/>
    </row>
    <row r="2169" spans="2:7" x14ac:dyDescent="0.2">
      <c r="B2169" s="92"/>
      <c r="C2169" s="93"/>
      <c r="D2169" s="93"/>
      <c r="E2169" s="94" t="str">
        <f t="shared" si="33"/>
        <v/>
      </c>
      <c r="F2169" s="95"/>
      <c r="G2169" s="93"/>
    </row>
    <row r="2170" spans="2:7" x14ac:dyDescent="0.2">
      <c r="B2170" s="92"/>
      <c r="C2170" s="93"/>
      <c r="D2170" s="93"/>
      <c r="E2170" s="94" t="str">
        <f t="shared" si="33"/>
        <v/>
      </c>
      <c r="F2170" s="95"/>
      <c r="G2170" s="93"/>
    </row>
    <row r="2171" spans="2:7" x14ac:dyDescent="0.2">
      <c r="B2171" s="92"/>
      <c r="C2171" s="93"/>
      <c r="D2171" s="93"/>
      <c r="E2171" s="94" t="str">
        <f t="shared" si="33"/>
        <v/>
      </c>
      <c r="F2171" s="95"/>
      <c r="G2171" s="93"/>
    </row>
    <row r="2172" spans="2:7" x14ac:dyDescent="0.2">
      <c r="B2172" s="92"/>
      <c r="C2172" s="93"/>
      <c r="D2172" s="93"/>
      <c r="E2172" s="94" t="str">
        <f t="shared" si="33"/>
        <v/>
      </c>
      <c r="F2172" s="95"/>
      <c r="G2172" s="93"/>
    </row>
    <row r="2173" spans="2:7" x14ac:dyDescent="0.2">
      <c r="B2173" s="92"/>
      <c r="C2173" s="93"/>
      <c r="D2173" s="93"/>
      <c r="E2173" s="94" t="str">
        <f t="shared" si="33"/>
        <v/>
      </c>
      <c r="F2173" s="95"/>
      <c r="G2173" s="93"/>
    </row>
    <row r="2174" spans="2:7" x14ac:dyDescent="0.2">
      <c r="B2174" s="92"/>
      <c r="C2174" s="93"/>
      <c r="D2174" s="93"/>
      <c r="E2174" s="94" t="str">
        <f t="shared" si="33"/>
        <v/>
      </c>
      <c r="F2174" s="95"/>
      <c r="G2174" s="93"/>
    </row>
    <row r="2175" spans="2:7" x14ac:dyDescent="0.2">
      <c r="B2175" s="92"/>
      <c r="C2175" s="93"/>
      <c r="D2175" s="93"/>
      <c r="E2175" s="94" t="str">
        <f t="shared" si="33"/>
        <v/>
      </c>
      <c r="F2175" s="95"/>
      <c r="G2175" s="93"/>
    </row>
    <row r="2176" spans="2:7" x14ac:dyDescent="0.2">
      <c r="B2176" s="92"/>
      <c r="C2176" s="93"/>
      <c r="D2176" s="93"/>
      <c r="E2176" s="94" t="str">
        <f t="shared" si="33"/>
        <v/>
      </c>
      <c r="F2176" s="95"/>
      <c r="G2176" s="93"/>
    </row>
    <row r="2177" spans="2:7" x14ac:dyDescent="0.2">
      <c r="B2177" s="92"/>
      <c r="C2177" s="93"/>
      <c r="D2177" s="93"/>
      <c r="E2177" s="94" t="str">
        <f t="shared" si="33"/>
        <v/>
      </c>
      <c r="F2177" s="95"/>
      <c r="G2177" s="93"/>
    </row>
    <row r="2178" spans="2:7" x14ac:dyDescent="0.2">
      <c r="B2178" s="92"/>
      <c r="C2178" s="93"/>
      <c r="D2178" s="93"/>
      <c r="E2178" s="94" t="str">
        <f t="shared" si="33"/>
        <v/>
      </c>
      <c r="F2178" s="95"/>
      <c r="G2178" s="93"/>
    </row>
    <row r="2179" spans="2:7" x14ac:dyDescent="0.2">
      <c r="B2179" s="92"/>
      <c r="C2179" s="93"/>
      <c r="D2179" s="93"/>
      <c r="E2179" s="94" t="str">
        <f t="shared" si="33"/>
        <v/>
      </c>
      <c r="F2179" s="95"/>
      <c r="G2179" s="93"/>
    </row>
    <row r="2180" spans="2:7" x14ac:dyDescent="0.2">
      <c r="B2180" s="92"/>
      <c r="C2180" s="93"/>
      <c r="D2180" s="93"/>
      <c r="E2180" s="94" t="str">
        <f t="shared" si="33"/>
        <v/>
      </c>
      <c r="F2180" s="95"/>
      <c r="G2180" s="93"/>
    </row>
    <row r="2181" spans="2:7" x14ac:dyDescent="0.2">
      <c r="B2181" s="92"/>
      <c r="C2181" s="93"/>
      <c r="D2181" s="93"/>
      <c r="E2181" s="94" t="str">
        <f t="shared" si="33"/>
        <v/>
      </c>
      <c r="F2181" s="95"/>
      <c r="G2181" s="93"/>
    </row>
    <row r="2182" spans="2:7" x14ac:dyDescent="0.2">
      <c r="B2182" s="92"/>
      <c r="C2182" s="93"/>
      <c r="D2182" s="93"/>
      <c r="E2182" s="94" t="str">
        <f t="shared" ref="E2182:E2245" si="34">IF(C2182&lt;&gt;"",D2182-C2182,"")</f>
        <v/>
      </c>
      <c r="F2182" s="95"/>
      <c r="G2182" s="93"/>
    </row>
    <row r="2183" spans="2:7" x14ac:dyDescent="0.2">
      <c r="B2183" s="92"/>
      <c r="C2183" s="93"/>
      <c r="D2183" s="93"/>
      <c r="E2183" s="94" t="str">
        <f t="shared" si="34"/>
        <v/>
      </c>
      <c r="F2183" s="95"/>
      <c r="G2183" s="93"/>
    </row>
    <row r="2184" spans="2:7" x14ac:dyDescent="0.2">
      <c r="B2184" s="92"/>
      <c r="C2184" s="93"/>
      <c r="D2184" s="93"/>
      <c r="E2184" s="94" t="str">
        <f t="shared" si="34"/>
        <v/>
      </c>
      <c r="F2184" s="95"/>
      <c r="G2184" s="93"/>
    </row>
    <row r="2185" spans="2:7" x14ac:dyDescent="0.2">
      <c r="B2185" s="92"/>
      <c r="C2185" s="93"/>
      <c r="D2185" s="93"/>
      <c r="E2185" s="94" t="str">
        <f t="shared" si="34"/>
        <v/>
      </c>
      <c r="F2185" s="95"/>
      <c r="G2185" s="93"/>
    </row>
    <row r="2186" spans="2:7" x14ac:dyDescent="0.2">
      <c r="B2186" s="92"/>
      <c r="C2186" s="93"/>
      <c r="D2186" s="93"/>
      <c r="E2186" s="94" t="str">
        <f t="shared" si="34"/>
        <v/>
      </c>
      <c r="F2186" s="95"/>
      <c r="G2186" s="93"/>
    </row>
    <row r="2187" spans="2:7" x14ac:dyDescent="0.2">
      <c r="B2187" s="92"/>
      <c r="C2187" s="93"/>
      <c r="D2187" s="93"/>
      <c r="E2187" s="94" t="str">
        <f t="shared" si="34"/>
        <v/>
      </c>
      <c r="F2187" s="95"/>
      <c r="G2187" s="93"/>
    </row>
    <row r="2188" spans="2:7" x14ac:dyDescent="0.2">
      <c r="B2188" s="92"/>
      <c r="C2188" s="93"/>
      <c r="D2188" s="93"/>
      <c r="E2188" s="94" t="str">
        <f t="shared" si="34"/>
        <v/>
      </c>
      <c r="F2188" s="95"/>
      <c r="G2188" s="93"/>
    </row>
    <row r="2189" spans="2:7" x14ac:dyDescent="0.2">
      <c r="B2189" s="92"/>
      <c r="C2189" s="93"/>
      <c r="D2189" s="93"/>
      <c r="E2189" s="94" t="str">
        <f t="shared" si="34"/>
        <v/>
      </c>
      <c r="F2189" s="95"/>
      <c r="G2189" s="93"/>
    </row>
    <row r="2190" spans="2:7" x14ac:dyDescent="0.2">
      <c r="B2190" s="92"/>
      <c r="C2190" s="93"/>
      <c r="D2190" s="93"/>
      <c r="E2190" s="94" t="str">
        <f t="shared" si="34"/>
        <v/>
      </c>
      <c r="F2190" s="95"/>
      <c r="G2190" s="93"/>
    </row>
    <row r="2191" spans="2:7" x14ac:dyDescent="0.2">
      <c r="B2191" s="92"/>
      <c r="C2191" s="93"/>
      <c r="D2191" s="93"/>
      <c r="E2191" s="94" t="str">
        <f t="shared" si="34"/>
        <v/>
      </c>
      <c r="F2191" s="95"/>
      <c r="G2191" s="93"/>
    </row>
    <row r="2192" spans="2:7" x14ac:dyDescent="0.2">
      <c r="B2192" s="92"/>
      <c r="C2192" s="93"/>
      <c r="D2192" s="93"/>
      <c r="E2192" s="94" t="str">
        <f t="shared" si="34"/>
        <v/>
      </c>
      <c r="F2192" s="95"/>
      <c r="G2192" s="93"/>
    </row>
    <row r="2193" spans="2:7" x14ac:dyDescent="0.2">
      <c r="B2193" s="92"/>
      <c r="C2193" s="93"/>
      <c r="D2193" s="93"/>
      <c r="E2193" s="94" t="str">
        <f t="shared" si="34"/>
        <v/>
      </c>
      <c r="F2193" s="95"/>
      <c r="G2193" s="93"/>
    </row>
    <row r="2194" spans="2:7" x14ac:dyDescent="0.2">
      <c r="B2194" s="92"/>
      <c r="C2194" s="93"/>
      <c r="D2194" s="93"/>
      <c r="E2194" s="94" t="str">
        <f t="shared" si="34"/>
        <v/>
      </c>
      <c r="F2194" s="95"/>
      <c r="G2194" s="93"/>
    </row>
    <row r="2195" spans="2:7" x14ac:dyDescent="0.2">
      <c r="B2195" s="92"/>
      <c r="C2195" s="93"/>
      <c r="D2195" s="93"/>
      <c r="E2195" s="94" t="str">
        <f t="shared" si="34"/>
        <v/>
      </c>
      <c r="F2195" s="95"/>
      <c r="G2195" s="93"/>
    </row>
    <row r="2196" spans="2:7" x14ac:dyDescent="0.2">
      <c r="B2196" s="92"/>
      <c r="C2196" s="93"/>
      <c r="D2196" s="93"/>
      <c r="E2196" s="94" t="str">
        <f t="shared" si="34"/>
        <v/>
      </c>
      <c r="F2196" s="95"/>
      <c r="G2196" s="93"/>
    </row>
    <row r="2197" spans="2:7" x14ac:dyDescent="0.2">
      <c r="B2197" s="92"/>
      <c r="C2197" s="93"/>
      <c r="D2197" s="93"/>
      <c r="E2197" s="94" t="str">
        <f t="shared" si="34"/>
        <v/>
      </c>
      <c r="F2197" s="95"/>
      <c r="G2197" s="93"/>
    </row>
    <row r="2198" spans="2:7" x14ac:dyDescent="0.2">
      <c r="B2198" s="92"/>
      <c r="C2198" s="93"/>
      <c r="D2198" s="93"/>
      <c r="E2198" s="94" t="str">
        <f t="shared" si="34"/>
        <v/>
      </c>
      <c r="F2198" s="95"/>
      <c r="G2198" s="93"/>
    </row>
    <row r="2199" spans="2:7" x14ac:dyDescent="0.2">
      <c r="B2199" s="92"/>
      <c r="C2199" s="93"/>
      <c r="D2199" s="93"/>
      <c r="E2199" s="94" t="str">
        <f t="shared" si="34"/>
        <v/>
      </c>
      <c r="F2199" s="95"/>
      <c r="G2199" s="93"/>
    </row>
    <row r="2200" spans="2:7" x14ac:dyDescent="0.2">
      <c r="B2200" s="92"/>
      <c r="C2200" s="93"/>
      <c r="D2200" s="93"/>
      <c r="E2200" s="94" t="str">
        <f t="shared" si="34"/>
        <v/>
      </c>
      <c r="F2200" s="95"/>
      <c r="G2200" s="93"/>
    </row>
    <row r="2201" spans="2:7" x14ac:dyDescent="0.2">
      <c r="B2201" s="92"/>
      <c r="C2201" s="93"/>
      <c r="D2201" s="93"/>
      <c r="E2201" s="94" t="str">
        <f t="shared" si="34"/>
        <v/>
      </c>
      <c r="F2201" s="95"/>
      <c r="G2201" s="93"/>
    </row>
    <row r="2202" spans="2:7" x14ac:dyDescent="0.2">
      <c r="B2202" s="92"/>
      <c r="C2202" s="93"/>
      <c r="D2202" s="93"/>
      <c r="E2202" s="94" t="str">
        <f t="shared" si="34"/>
        <v/>
      </c>
      <c r="F2202" s="95"/>
      <c r="G2202" s="93"/>
    </row>
    <row r="2203" spans="2:7" x14ac:dyDescent="0.2">
      <c r="B2203" s="92"/>
      <c r="C2203" s="93"/>
      <c r="D2203" s="93"/>
      <c r="E2203" s="94" t="str">
        <f t="shared" si="34"/>
        <v/>
      </c>
      <c r="F2203" s="95"/>
      <c r="G2203" s="93"/>
    </row>
    <row r="2204" spans="2:7" x14ac:dyDescent="0.2">
      <c r="B2204" s="92"/>
      <c r="C2204" s="93"/>
      <c r="D2204" s="93"/>
      <c r="E2204" s="94" t="str">
        <f t="shared" si="34"/>
        <v/>
      </c>
      <c r="F2204" s="95"/>
      <c r="G2204" s="93"/>
    </row>
    <row r="2205" spans="2:7" x14ac:dyDescent="0.2">
      <c r="B2205" s="92"/>
      <c r="C2205" s="93"/>
      <c r="D2205" s="93"/>
      <c r="E2205" s="94" t="str">
        <f t="shared" si="34"/>
        <v/>
      </c>
      <c r="F2205" s="95"/>
      <c r="G2205" s="93"/>
    </row>
    <row r="2206" spans="2:7" x14ac:dyDescent="0.2">
      <c r="B2206" s="92"/>
      <c r="C2206" s="93"/>
      <c r="D2206" s="93"/>
      <c r="E2206" s="94" t="str">
        <f t="shared" si="34"/>
        <v/>
      </c>
      <c r="F2206" s="95"/>
      <c r="G2206" s="93"/>
    </row>
    <row r="2207" spans="2:7" x14ac:dyDescent="0.2">
      <c r="B2207" s="92"/>
      <c r="C2207" s="93"/>
      <c r="D2207" s="93"/>
      <c r="E2207" s="94" t="str">
        <f t="shared" si="34"/>
        <v/>
      </c>
      <c r="F2207" s="95"/>
      <c r="G2207" s="93"/>
    </row>
    <row r="2208" spans="2:7" x14ac:dyDescent="0.2">
      <c r="B2208" s="92"/>
      <c r="C2208" s="93"/>
      <c r="D2208" s="93"/>
      <c r="E2208" s="94" t="str">
        <f t="shared" si="34"/>
        <v/>
      </c>
      <c r="F2208" s="95"/>
      <c r="G2208" s="93"/>
    </row>
    <row r="2209" spans="2:7" x14ac:dyDescent="0.2">
      <c r="B2209" s="92"/>
      <c r="C2209" s="93"/>
      <c r="D2209" s="93"/>
      <c r="E2209" s="94" t="str">
        <f t="shared" si="34"/>
        <v/>
      </c>
      <c r="F2209" s="95"/>
      <c r="G2209" s="93"/>
    </row>
    <row r="2210" spans="2:7" x14ac:dyDescent="0.2">
      <c r="B2210" s="92"/>
      <c r="C2210" s="93"/>
      <c r="D2210" s="93"/>
      <c r="E2210" s="94" t="str">
        <f t="shared" si="34"/>
        <v/>
      </c>
      <c r="F2210" s="95"/>
      <c r="G2210" s="93"/>
    </row>
    <row r="2211" spans="2:7" x14ac:dyDescent="0.2">
      <c r="B2211" s="92"/>
      <c r="C2211" s="93"/>
      <c r="D2211" s="93"/>
      <c r="E2211" s="94" t="str">
        <f t="shared" si="34"/>
        <v/>
      </c>
      <c r="F2211" s="95"/>
      <c r="G2211" s="93"/>
    </row>
    <row r="2212" spans="2:7" x14ac:dyDescent="0.2">
      <c r="B2212" s="92"/>
      <c r="C2212" s="93"/>
      <c r="D2212" s="93"/>
      <c r="E2212" s="94" t="str">
        <f t="shared" si="34"/>
        <v/>
      </c>
      <c r="F2212" s="95"/>
      <c r="G2212" s="93"/>
    </row>
    <row r="2213" spans="2:7" x14ac:dyDescent="0.2">
      <c r="B2213" s="92"/>
      <c r="C2213" s="93"/>
      <c r="D2213" s="93"/>
      <c r="E2213" s="94" t="str">
        <f t="shared" si="34"/>
        <v/>
      </c>
      <c r="F2213" s="95"/>
      <c r="G2213" s="93"/>
    </row>
    <row r="2214" spans="2:7" x14ac:dyDescent="0.2">
      <c r="B2214" s="92"/>
      <c r="C2214" s="93"/>
      <c r="D2214" s="93"/>
      <c r="E2214" s="94" t="str">
        <f t="shared" si="34"/>
        <v/>
      </c>
      <c r="F2214" s="95"/>
      <c r="G2214" s="93"/>
    </row>
    <row r="2215" spans="2:7" x14ac:dyDescent="0.2">
      <c r="B2215" s="92"/>
      <c r="C2215" s="93"/>
      <c r="D2215" s="93"/>
      <c r="E2215" s="94" t="str">
        <f t="shared" si="34"/>
        <v/>
      </c>
      <c r="F2215" s="95"/>
      <c r="G2215" s="93"/>
    </row>
    <row r="2216" spans="2:7" x14ac:dyDescent="0.2">
      <c r="B2216" s="92"/>
      <c r="C2216" s="93"/>
      <c r="D2216" s="93"/>
      <c r="E2216" s="94" t="str">
        <f t="shared" si="34"/>
        <v/>
      </c>
      <c r="F2216" s="95"/>
      <c r="G2216" s="93"/>
    </row>
    <row r="2217" spans="2:7" x14ac:dyDescent="0.2">
      <c r="B2217" s="92"/>
      <c r="C2217" s="93"/>
      <c r="D2217" s="93"/>
      <c r="E2217" s="94" t="str">
        <f t="shared" si="34"/>
        <v/>
      </c>
      <c r="F2217" s="95"/>
      <c r="G2217" s="93"/>
    </row>
    <row r="2218" spans="2:7" x14ac:dyDescent="0.2">
      <c r="B2218" s="92"/>
      <c r="C2218" s="93"/>
      <c r="D2218" s="93"/>
      <c r="E2218" s="94" t="str">
        <f t="shared" si="34"/>
        <v/>
      </c>
      <c r="F2218" s="95"/>
      <c r="G2218" s="93"/>
    </row>
    <row r="2219" spans="2:7" x14ac:dyDescent="0.2">
      <c r="B2219" s="92"/>
      <c r="C2219" s="93"/>
      <c r="D2219" s="93"/>
      <c r="E2219" s="94" t="str">
        <f t="shared" si="34"/>
        <v/>
      </c>
      <c r="F2219" s="95"/>
      <c r="G2219" s="93"/>
    </row>
    <row r="2220" spans="2:7" x14ac:dyDescent="0.2">
      <c r="B2220" s="92"/>
      <c r="C2220" s="93"/>
      <c r="D2220" s="93"/>
      <c r="E2220" s="94" t="str">
        <f t="shared" si="34"/>
        <v/>
      </c>
      <c r="F2220" s="95"/>
      <c r="G2220" s="93"/>
    </row>
    <row r="2221" spans="2:7" x14ac:dyDescent="0.2">
      <c r="B2221" s="92"/>
      <c r="C2221" s="93"/>
      <c r="D2221" s="93"/>
      <c r="E2221" s="94" t="str">
        <f t="shared" si="34"/>
        <v/>
      </c>
      <c r="F2221" s="95"/>
      <c r="G2221" s="93"/>
    </row>
    <row r="2222" spans="2:7" x14ac:dyDescent="0.2">
      <c r="B2222" s="92"/>
      <c r="C2222" s="93"/>
      <c r="D2222" s="93"/>
      <c r="E2222" s="94" t="str">
        <f t="shared" si="34"/>
        <v/>
      </c>
      <c r="F2222" s="95"/>
      <c r="G2222" s="93"/>
    </row>
    <row r="2223" spans="2:7" x14ac:dyDescent="0.2">
      <c r="B2223" s="92"/>
      <c r="C2223" s="93"/>
      <c r="D2223" s="93"/>
      <c r="E2223" s="94" t="str">
        <f t="shared" si="34"/>
        <v/>
      </c>
      <c r="F2223" s="95"/>
      <c r="G2223" s="93"/>
    </row>
    <row r="2224" spans="2:7" x14ac:dyDescent="0.2">
      <c r="B2224" s="92"/>
      <c r="C2224" s="93"/>
      <c r="D2224" s="93"/>
      <c r="E2224" s="94" t="str">
        <f t="shared" si="34"/>
        <v/>
      </c>
      <c r="F2224" s="95"/>
      <c r="G2224" s="93"/>
    </row>
    <row r="2225" spans="2:7" x14ac:dyDescent="0.2">
      <c r="B2225" s="92"/>
      <c r="C2225" s="93"/>
      <c r="D2225" s="93"/>
      <c r="E2225" s="94" t="str">
        <f t="shared" si="34"/>
        <v/>
      </c>
      <c r="F2225" s="95"/>
      <c r="G2225" s="93"/>
    </row>
    <row r="2226" spans="2:7" x14ac:dyDescent="0.2">
      <c r="B2226" s="92"/>
      <c r="C2226" s="93"/>
      <c r="D2226" s="93"/>
      <c r="E2226" s="94" t="str">
        <f t="shared" si="34"/>
        <v/>
      </c>
      <c r="F2226" s="95"/>
      <c r="G2226" s="93"/>
    </row>
    <row r="2227" spans="2:7" x14ac:dyDescent="0.2">
      <c r="B2227" s="92"/>
      <c r="C2227" s="93"/>
      <c r="D2227" s="93"/>
      <c r="E2227" s="94" t="str">
        <f t="shared" si="34"/>
        <v/>
      </c>
      <c r="F2227" s="95"/>
      <c r="G2227" s="93"/>
    </row>
    <row r="2228" spans="2:7" x14ac:dyDescent="0.2">
      <c r="B2228" s="92"/>
      <c r="C2228" s="93"/>
      <c r="D2228" s="93"/>
      <c r="E2228" s="94" t="str">
        <f t="shared" si="34"/>
        <v/>
      </c>
      <c r="F2228" s="95"/>
      <c r="G2228" s="93"/>
    </row>
    <row r="2229" spans="2:7" x14ac:dyDescent="0.2">
      <c r="B2229" s="92"/>
      <c r="C2229" s="93"/>
      <c r="D2229" s="93"/>
      <c r="E2229" s="94" t="str">
        <f t="shared" si="34"/>
        <v/>
      </c>
      <c r="F2229" s="95"/>
      <c r="G2229" s="93"/>
    </row>
    <row r="2230" spans="2:7" x14ac:dyDescent="0.2">
      <c r="B2230" s="92"/>
      <c r="C2230" s="93"/>
      <c r="D2230" s="93"/>
      <c r="E2230" s="94" t="str">
        <f t="shared" si="34"/>
        <v/>
      </c>
      <c r="F2230" s="95"/>
      <c r="G2230" s="93"/>
    </row>
    <row r="2231" spans="2:7" x14ac:dyDescent="0.2">
      <c r="B2231" s="92"/>
      <c r="C2231" s="93"/>
      <c r="D2231" s="93"/>
      <c r="E2231" s="94" t="str">
        <f t="shared" si="34"/>
        <v/>
      </c>
      <c r="F2231" s="95"/>
      <c r="G2231" s="93"/>
    </row>
    <row r="2232" spans="2:7" x14ac:dyDescent="0.2">
      <c r="B2232" s="92"/>
      <c r="C2232" s="93"/>
      <c r="D2232" s="93"/>
      <c r="E2232" s="94" t="str">
        <f t="shared" si="34"/>
        <v/>
      </c>
      <c r="F2232" s="95"/>
      <c r="G2232" s="93"/>
    </row>
    <row r="2233" spans="2:7" x14ac:dyDescent="0.2">
      <c r="B2233" s="92"/>
      <c r="C2233" s="93"/>
      <c r="D2233" s="93"/>
      <c r="E2233" s="94" t="str">
        <f t="shared" si="34"/>
        <v/>
      </c>
      <c r="F2233" s="95"/>
      <c r="G2233" s="93"/>
    </row>
    <row r="2234" spans="2:7" x14ac:dyDescent="0.2">
      <c r="B2234" s="92"/>
      <c r="C2234" s="93"/>
      <c r="D2234" s="93"/>
      <c r="E2234" s="94" t="str">
        <f t="shared" si="34"/>
        <v/>
      </c>
      <c r="F2234" s="95"/>
      <c r="G2234" s="93"/>
    </row>
    <row r="2235" spans="2:7" x14ac:dyDescent="0.2">
      <c r="B2235" s="92"/>
      <c r="C2235" s="93"/>
      <c r="D2235" s="93"/>
      <c r="E2235" s="94" t="str">
        <f t="shared" si="34"/>
        <v/>
      </c>
      <c r="F2235" s="95"/>
      <c r="G2235" s="93"/>
    </row>
    <row r="2236" spans="2:7" x14ac:dyDescent="0.2">
      <c r="B2236" s="92"/>
      <c r="C2236" s="93"/>
      <c r="D2236" s="93"/>
      <c r="E2236" s="94" t="str">
        <f t="shared" si="34"/>
        <v/>
      </c>
      <c r="F2236" s="95"/>
      <c r="G2236" s="93"/>
    </row>
    <row r="2237" spans="2:7" x14ac:dyDescent="0.2">
      <c r="B2237" s="92"/>
      <c r="C2237" s="93"/>
      <c r="D2237" s="93"/>
      <c r="E2237" s="94" t="str">
        <f t="shared" si="34"/>
        <v/>
      </c>
      <c r="F2237" s="95"/>
      <c r="G2237" s="93"/>
    </row>
    <row r="2238" spans="2:7" x14ac:dyDescent="0.2">
      <c r="B2238" s="92"/>
      <c r="C2238" s="93"/>
      <c r="D2238" s="93"/>
      <c r="E2238" s="94" t="str">
        <f t="shared" si="34"/>
        <v/>
      </c>
      <c r="F2238" s="95"/>
      <c r="G2238" s="93"/>
    </row>
    <row r="2239" spans="2:7" x14ac:dyDescent="0.2">
      <c r="B2239" s="92"/>
      <c r="C2239" s="93"/>
      <c r="D2239" s="93"/>
      <c r="E2239" s="94" t="str">
        <f t="shared" si="34"/>
        <v/>
      </c>
      <c r="F2239" s="95"/>
      <c r="G2239" s="93"/>
    </row>
    <row r="2240" spans="2:7" x14ac:dyDescent="0.2">
      <c r="B2240" s="92"/>
      <c r="C2240" s="93"/>
      <c r="D2240" s="93"/>
      <c r="E2240" s="94" t="str">
        <f t="shared" si="34"/>
        <v/>
      </c>
      <c r="F2240" s="95"/>
      <c r="G2240" s="93"/>
    </row>
    <row r="2241" spans="2:7" x14ac:dyDescent="0.2">
      <c r="B2241" s="92"/>
      <c r="C2241" s="93"/>
      <c r="D2241" s="93"/>
      <c r="E2241" s="94" t="str">
        <f t="shared" si="34"/>
        <v/>
      </c>
      <c r="F2241" s="95"/>
      <c r="G2241" s="93"/>
    </row>
    <row r="2242" spans="2:7" x14ac:dyDescent="0.2">
      <c r="B2242" s="92"/>
      <c r="C2242" s="93"/>
      <c r="D2242" s="93"/>
      <c r="E2242" s="94" t="str">
        <f t="shared" si="34"/>
        <v/>
      </c>
      <c r="F2242" s="95"/>
      <c r="G2242" s="93"/>
    </row>
    <row r="2243" spans="2:7" x14ac:dyDescent="0.2">
      <c r="B2243" s="92"/>
      <c r="C2243" s="93"/>
      <c r="D2243" s="93"/>
      <c r="E2243" s="94" t="str">
        <f t="shared" si="34"/>
        <v/>
      </c>
      <c r="F2243" s="95"/>
      <c r="G2243" s="93"/>
    </row>
    <row r="2244" spans="2:7" x14ac:dyDescent="0.2">
      <c r="B2244" s="92"/>
      <c r="C2244" s="93"/>
      <c r="D2244" s="93"/>
      <c r="E2244" s="94" t="str">
        <f t="shared" si="34"/>
        <v/>
      </c>
      <c r="F2244" s="95"/>
      <c r="G2244" s="93"/>
    </row>
    <row r="2245" spans="2:7" x14ac:dyDescent="0.2">
      <c r="B2245" s="92"/>
      <c r="C2245" s="93"/>
      <c r="D2245" s="93"/>
      <c r="E2245" s="94" t="str">
        <f t="shared" si="34"/>
        <v/>
      </c>
      <c r="F2245" s="95"/>
      <c r="G2245" s="93"/>
    </row>
    <row r="2246" spans="2:7" x14ac:dyDescent="0.2">
      <c r="B2246" s="92"/>
      <c r="C2246" s="93"/>
      <c r="D2246" s="93"/>
      <c r="E2246" s="94" t="str">
        <f t="shared" ref="E2246:E2309" si="35">IF(C2246&lt;&gt;"",D2246-C2246,"")</f>
        <v/>
      </c>
      <c r="F2246" s="95"/>
      <c r="G2246" s="93"/>
    </row>
    <row r="2247" spans="2:7" x14ac:dyDescent="0.2">
      <c r="B2247" s="92"/>
      <c r="C2247" s="93"/>
      <c r="D2247" s="93"/>
      <c r="E2247" s="94" t="str">
        <f t="shared" si="35"/>
        <v/>
      </c>
      <c r="F2247" s="95"/>
      <c r="G2247" s="93"/>
    </row>
    <row r="2248" spans="2:7" x14ac:dyDescent="0.2">
      <c r="B2248" s="92"/>
      <c r="C2248" s="93"/>
      <c r="D2248" s="93"/>
      <c r="E2248" s="94" t="str">
        <f t="shared" si="35"/>
        <v/>
      </c>
      <c r="F2248" s="95"/>
      <c r="G2248" s="93"/>
    </row>
    <row r="2249" spans="2:7" x14ac:dyDescent="0.2">
      <c r="B2249" s="92"/>
      <c r="C2249" s="93"/>
      <c r="D2249" s="93"/>
      <c r="E2249" s="94" t="str">
        <f t="shared" si="35"/>
        <v/>
      </c>
      <c r="F2249" s="95"/>
      <c r="G2249" s="93"/>
    </row>
    <row r="2250" spans="2:7" x14ac:dyDescent="0.2">
      <c r="B2250" s="92"/>
      <c r="C2250" s="93"/>
      <c r="D2250" s="93"/>
      <c r="E2250" s="94" t="str">
        <f t="shared" si="35"/>
        <v/>
      </c>
      <c r="F2250" s="95"/>
      <c r="G2250" s="93"/>
    </row>
    <row r="2251" spans="2:7" x14ac:dyDescent="0.2">
      <c r="B2251" s="92"/>
      <c r="C2251" s="93"/>
      <c r="D2251" s="93"/>
      <c r="E2251" s="94" t="str">
        <f t="shared" si="35"/>
        <v/>
      </c>
      <c r="F2251" s="95"/>
      <c r="G2251" s="93"/>
    </row>
    <row r="2252" spans="2:7" x14ac:dyDescent="0.2">
      <c r="B2252" s="92"/>
      <c r="C2252" s="93"/>
      <c r="D2252" s="93"/>
      <c r="E2252" s="94" t="str">
        <f t="shared" si="35"/>
        <v/>
      </c>
      <c r="F2252" s="95"/>
      <c r="G2252" s="93"/>
    </row>
    <row r="2253" spans="2:7" x14ac:dyDescent="0.2">
      <c r="B2253" s="92"/>
      <c r="C2253" s="93"/>
      <c r="D2253" s="93"/>
      <c r="E2253" s="94" t="str">
        <f t="shared" si="35"/>
        <v/>
      </c>
      <c r="F2253" s="95"/>
      <c r="G2253" s="93"/>
    </row>
    <row r="2254" spans="2:7" x14ac:dyDescent="0.2">
      <c r="B2254" s="92"/>
      <c r="C2254" s="93"/>
      <c r="D2254" s="93"/>
      <c r="E2254" s="94" t="str">
        <f t="shared" si="35"/>
        <v/>
      </c>
      <c r="F2254" s="95"/>
      <c r="G2254" s="93"/>
    </row>
    <row r="2255" spans="2:7" x14ac:dyDescent="0.2">
      <c r="B2255" s="92"/>
      <c r="C2255" s="93"/>
      <c r="D2255" s="93"/>
      <c r="E2255" s="94" t="str">
        <f t="shared" si="35"/>
        <v/>
      </c>
      <c r="F2255" s="95"/>
      <c r="G2255" s="93"/>
    </row>
    <row r="2256" spans="2:7" x14ac:dyDescent="0.2">
      <c r="B2256" s="92"/>
      <c r="C2256" s="93"/>
      <c r="D2256" s="93"/>
      <c r="E2256" s="94" t="str">
        <f t="shared" si="35"/>
        <v/>
      </c>
      <c r="F2256" s="95"/>
      <c r="G2256" s="93"/>
    </row>
    <row r="2257" spans="2:7" x14ac:dyDescent="0.2">
      <c r="B2257" s="92"/>
      <c r="C2257" s="93"/>
      <c r="D2257" s="93"/>
      <c r="E2257" s="94" t="str">
        <f t="shared" si="35"/>
        <v/>
      </c>
      <c r="F2257" s="95"/>
      <c r="G2257" s="93"/>
    </row>
    <row r="2258" spans="2:7" x14ac:dyDescent="0.2">
      <c r="B2258" s="92"/>
      <c r="C2258" s="93"/>
      <c r="D2258" s="93"/>
      <c r="E2258" s="94" t="str">
        <f t="shared" si="35"/>
        <v/>
      </c>
      <c r="F2258" s="95"/>
      <c r="G2258" s="93"/>
    </row>
    <row r="2259" spans="2:7" x14ac:dyDescent="0.2">
      <c r="B2259" s="92"/>
      <c r="C2259" s="93"/>
      <c r="D2259" s="93"/>
      <c r="E2259" s="94" t="str">
        <f t="shared" si="35"/>
        <v/>
      </c>
      <c r="F2259" s="95"/>
      <c r="G2259" s="93"/>
    </row>
    <row r="2260" spans="2:7" x14ac:dyDescent="0.2">
      <c r="B2260" s="92"/>
      <c r="C2260" s="93"/>
      <c r="D2260" s="93"/>
      <c r="E2260" s="94" t="str">
        <f t="shared" si="35"/>
        <v/>
      </c>
      <c r="F2260" s="95"/>
      <c r="G2260" s="93"/>
    </row>
    <row r="2261" spans="2:7" x14ac:dyDescent="0.2">
      <c r="B2261" s="92"/>
      <c r="C2261" s="93"/>
      <c r="D2261" s="93"/>
      <c r="E2261" s="94" t="str">
        <f t="shared" si="35"/>
        <v/>
      </c>
      <c r="F2261" s="95"/>
      <c r="G2261" s="93"/>
    </row>
    <row r="2262" spans="2:7" x14ac:dyDescent="0.2">
      <c r="B2262" s="92"/>
      <c r="C2262" s="93"/>
      <c r="D2262" s="93"/>
      <c r="E2262" s="94" t="str">
        <f t="shared" si="35"/>
        <v/>
      </c>
      <c r="F2262" s="95"/>
      <c r="G2262" s="93"/>
    </row>
    <row r="2263" spans="2:7" x14ac:dyDescent="0.2">
      <c r="B2263" s="92"/>
      <c r="C2263" s="93"/>
      <c r="D2263" s="93"/>
      <c r="E2263" s="94" t="str">
        <f t="shared" si="35"/>
        <v/>
      </c>
      <c r="F2263" s="95"/>
      <c r="G2263" s="93"/>
    </row>
    <row r="2264" spans="2:7" x14ac:dyDescent="0.2">
      <c r="B2264" s="92"/>
      <c r="C2264" s="93"/>
      <c r="D2264" s="93"/>
      <c r="E2264" s="94" t="str">
        <f t="shared" si="35"/>
        <v/>
      </c>
      <c r="F2264" s="95"/>
      <c r="G2264" s="93"/>
    </row>
    <row r="2265" spans="2:7" x14ac:dyDescent="0.2">
      <c r="B2265" s="92"/>
      <c r="C2265" s="93"/>
      <c r="D2265" s="93"/>
      <c r="E2265" s="94" t="str">
        <f t="shared" si="35"/>
        <v/>
      </c>
      <c r="F2265" s="95"/>
      <c r="G2265" s="93"/>
    </row>
    <row r="2266" spans="2:7" x14ac:dyDescent="0.2">
      <c r="B2266" s="92"/>
      <c r="C2266" s="93"/>
      <c r="D2266" s="93"/>
      <c r="E2266" s="94" t="str">
        <f t="shared" si="35"/>
        <v/>
      </c>
      <c r="F2266" s="95"/>
      <c r="G2266" s="93"/>
    </row>
    <row r="2267" spans="2:7" x14ac:dyDescent="0.2">
      <c r="B2267" s="92"/>
      <c r="C2267" s="93"/>
      <c r="D2267" s="93"/>
      <c r="E2267" s="94" t="str">
        <f t="shared" si="35"/>
        <v/>
      </c>
      <c r="F2267" s="95"/>
      <c r="G2267" s="93"/>
    </row>
    <row r="2268" spans="2:7" x14ac:dyDescent="0.2">
      <c r="B2268" s="92"/>
      <c r="C2268" s="93"/>
      <c r="D2268" s="93"/>
      <c r="E2268" s="94" t="str">
        <f t="shared" si="35"/>
        <v/>
      </c>
      <c r="F2268" s="95"/>
      <c r="G2268" s="93"/>
    </row>
    <row r="2269" spans="2:7" x14ac:dyDescent="0.2">
      <c r="B2269" s="92"/>
      <c r="C2269" s="93"/>
      <c r="D2269" s="93"/>
      <c r="E2269" s="94" t="str">
        <f t="shared" si="35"/>
        <v/>
      </c>
      <c r="F2269" s="95"/>
      <c r="G2269" s="93"/>
    </row>
    <row r="2270" spans="2:7" x14ac:dyDescent="0.2">
      <c r="B2270" s="92"/>
      <c r="C2270" s="93"/>
      <c r="D2270" s="93"/>
      <c r="E2270" s="94" t="str">
        <f t="shared" si="35"/>
        <v/>
      </c>
      <c r="F2270" s="95"/>
      <c r="G2270" s="93"/>
    </row>
    <row r="2271" spans="2:7" x14ac:dyDescent="0.2">
      <c r="B2271" s="92"/>
      <c r="C2271" s="93"/>
      <c r="D2271" s="93"/>
      <c r="E2271" s="94" t="str">
        <f t="shared" si="35"/>
        <v/>
      </c>
      <c r="F2271" s="95"/>
      <c r="G2271" s="93"/>
    </row>
    <row r="2272" spans="2:7" x14ac:dyDescent="0.2">
      <c r="B2272" s="92"/>
      <c r="C2272" s="93"/>
      <c r="D2272" s="93"/>
      <c r="E2272" s="94" t="str">
        <f t="shared" si="35"/>
        <v/>
      </c>
      <c r="F2272" s="95"/>
      <c r="G2272" s="93"/>
    </row>
    <row r="2273" spans="2:7" x14ac:dyDescent="0.2">
      <c r="B2273" s="92"/>
      <c r="C2273" s="93"/>
      <c r="D2273" s="93"/>
      <c r="E2273" s="94" t="str">
        <f t="shared" si="35"/>
        <v/>
      </c>
      <c r="F2273" s="95"/>
      <c r="G2273" s="93"/>
    </row>
    <row r="2274" spans="2:7" x14ac:dyDescent="0.2">
      <c r="B2274" s="92"/>
      <c r="C2274" s="93"/>
      <c r="D2274" s="93"/>
      <c r="E2274" s="94" t="str">
        <f t="shared" si="35"/>
        <v/>
      </c>
      <c r="F2274" s="95"/>
      <c r="G2274" s="93"/>
    </row>
    <row r="2275" spans="2:7" x14ac:dyDescent="0.2">
      <c r="B2275" s="92"/>
      <c r="C2275" s="93"/>
      <c r="D2275" s="93"/>
      <c r="E2275" s="94" t="str">
        <f t="shared" si="35"/>
        <v/>
      </c>
      <c r="F2275" s="95"/>
      <c r="G2275" s="93"/>
    </row>
    <row r="2276" spans="2:7" x14ac:dyDescent="0.2">
      <c r="B2276" s="92"/>
      <c r="C2276" s="93"/>
      <c r="D2276" s="93"/>
      <c r="E2276" s="94" t="str">
        <f t="shared" si="35"/>
        <v/>
      </c>
      <c r="F2276" s="95"/>
      <c r="G2276" s="93"/>
    </row>
    <row r="2277" spans="2:7" x14ac:dyDescent="0.2">
      <c r="B2277" s="92"/>
      <c r="C2277" s="93"/>
      <c r="D2277" s="93"/>
      <c r="E2277" s="94" t="str">
        <f t="shared" si="35"/>
        <v/>
      </c>
      <c r="F2277" s="95"/>
      <c r="G2277" s="93"/>
    </row>
    <row r="2278" spans="2:7" x14ac:dyDescent="0.2">
      <c r="B2278" s="92"/>
      <c r="C2278" s="93"/>
      <c r="D2278" s="93"/>
      <c r="E2278" s="94" t="str">
        <f t="shared" si="35"/>
        <v/>
      </c>
      <c r="F2278" s="95"/>
      <c r="G2278" s="93"/>
    </row>
    <row r="2279" spans="2:7" x14ac:dyDescent="0.2">
      <c r="B2279" s="92"/>
      <c r="C2279" s="93"/>
      <c r="D2279" s="93"/>
      <c r="E2279" s="94" t="str">
        <f t="shared" si="35"/>
        <v/>
      </c>
      <c r="F2279" s="95"/>
      <c r="G2279" s="93"/>
    </row>
    <row r="2280" spans="2:7" x14ac:dyDescent="0.2">
      <c r="B2280" s="92"/>
      <c r="C2280" s="93"/>
      <c r="D2280" s="93"/>
      <c r="E2280" s="94" t="str">
        <f t="shared" si="35"/>
        <v/>
      </c>
      <c r="F2280" s="95"/>
      <c r="G2280" s="93"/>
    </row>
    <row r="2281" spans="2:7" x14ac:dyDescent="0.2">
      <c r="B2281" s="92"/>
      <c r="C2281" s="93"/>
      <c r="D2281" s="93"/>
      <c r="E2281" s="94" t="str">
        <f t="shared" si="35"/>
        <v/>
      </c>
      <c r="F2281" s="95"/>
      <c r="G2281" s="93"/>
    </row>
    <row r="2282" spans="2:7" x14ac:dyDescent="0.2">
      <c r="B2282" s="92"/>
      <c r="C2282" s="93"/>
      <c r="D2282" s="93"/>
      <c r="E2282" s="94" t="str">
        <f t="shared" si="35"/>
        <v/>
      </c>
      <c r="F2282" s="95"/>
      <c r="G2282" s="93"/>
    </row>
    <row r="2283" spans="2:7" x14ac:dyDescent="0.2">
      <c r="B2283" s="92"/>
      <c r="C2283" s="93"/>
      <c r="D2283" s="93"/>
      <c r="E2283" s="94" t="str">
        <f t="shared" si="35"/>
        <v/>
      </c>
      <c r="F2283" s="95"/>
      <c r="G2283" s="93"/>
    </row>
    <row r="2284" spans="2:7" x14ac:dyDescent="0.2">
      <c r="B2284" s="92"/>
      <c r="C2284" s="93"/>
      <c r="D2284" s="93"/>
      <c r="E2284" s="94" t="str">
        <f t="shared" si="35"/>
        <v/>
      </c>
      <c r="F2284" s="95"/>
      <c r="G2284" s="93"/>
    </row>
    <row r="2285" spans="2:7" x14ac:dyDescent="0.2">
      <c r="B2285" s="92"/>
      <c r="C2285" s="93"/>
      <c r="D2285" s="93"/>
      <c r="E2285" s="94" t="str">
        <f t="shared" si="35"/>
        <v/>
      </c>
      <c r="F2285" s="95"/>
      <c r="G2285" s="93"/>
    </row>
    <row r="2286" spans="2:7" x14ac:dyDescent="0.2">
      <c r="B2286" s="92"/>
      <c r="C2286" s="93"/>
      <c r="D2286" s="93"/>
      <c r="E2286" s="94" t="str">
        <f t="shared" si="35"/>
        <v/>
      </c>
      <c r="F2286" s="95"/>
      <c r="G2286" s="93"/>
    </row>
    <row r="2287" spans="2:7" x14ac:dyDescent="0.2">
      <c r="B2287" s="92"/>
      <c r="C2287" s="93"/>
      <c r="D2287" s="93"/>
      <c r="E2287" s="94" t="str">
        <f t="shared" si="35"/>
        <v/>
      </c>
      <c r="F2287" s="95"/>
      <c r="G2287" s="93"/>
    </row>
    <row r="2288" spans="2:7" x14ac:dyDescent="0.2">
      <c r="B2288" s="92"/>
      <c r="C2288" s="93"/>
      <c r="D2288" s="93"/>
      <c r="E2288" s="94" t="str">
        <f t="shared" si="35"/>
        <v/>
      </c>
      <c r="F2288" s="95"/>
      <c r="G2288" s="93"/>
    </row>
    <row r="2289" spans="2:7" x14ac:dyDescent="0.2">
      <c r="B2289" s="92"/>
      <c r="C2289" s="93"/>
      <c r="D2289" s="93"/>
      <c r="E2289" s="94" t="str">
        <f t="shared" si="35"/>
        <v/>
      </c>
      <c r="F2289" s="95"/>
      <c r="G2289" s="93"/>
    </row>
    <row r="2290" spans="2:7" x14ac:dyDescent="0.2">
      <c r="B2290" s="92"/>
      <c r="C2290" s="93"/>
      <c r="D2290" s="93"/>
      <c r="E2290" s="94" t="str">
        <f t="shared" si="35"/>
        <v/>
      </c>
      <c r="F2290" s="95"/>
      <c r="G2290" s="93"/>
    </row>
    <row r="2291" spans="2:7" x14ac:dyDescent="0.2">
      <c r="B2291" s="92"/>
      <c r="C2291" s="93"/>
      <c r="D2291" s="93"/>
      <c r="E2291" s="94" t="str">
        <f t="shared" si="35"/>
        <v/>
      </c>
      <c r="F2291" s="95"/>
      <c r="G2291" s="93"/>
    </row>
    <row r="2292" spans="2:7" x14ac:dyDescent="0.2">
      <c r="B2292" s="92"/>
      <c r="C2292" s="93"/>
      <c r="D2292" s="93"/>
      <c r="E2292" s="94" t="str">
        <f t="shared" si="35"/>
        <v/>
      </c>
      <c r="F2292" s="95"/>
      <c r="G2292" s="93"/>
    </row>
    <row r="2293" spans="2:7" x14ac:dyDescent="0.2">
      <c r="B2293" s="92"/>
      <c r="C2293" s="93"/>
      <c r="D2293" s="93"/>
      <c r="E2293" s="94" t="str">
        <f t="shared" si="35"/>
        <v/>
      </c>
      <c r="F2293" s="95"/>
      <c r="G2293" s="93"/>
    </row>
    <row r="2294" spans="2:7" x14ac:dyDescent="0.2">
      <c r="B2294" s="92"/>
      <c r="C2294" s="93"/>
      <c r="D2294" s="93"/>
      <c r="E2294" s="94" t="str">
        <f t="shared" si="35"/>
        <v/>
      </c>
      <c r="F2294" s="95"/>
      <c r="G2294" s="93"/>
    </row>
    <row r="2295" spans="2:7" x14ac:dyDescent="0.2">
      <c r="B2295" s="92"/>
      <c r="C2295" s="93"/>
      <c r="D2295" s="93"/>
      <c r="E2295" s="94" t="str">
        <f t="shared" si="35"/>
        <v/>
      </c>
      <c r="F2295" s="95"/>
      <c r="G2295" s="93"/>
    </row>
    <row r="2296" spans="2:7" x14ac:dyDescent="0.2">
      <c r="B2296" s="92"/>
      <c r="C2296" s="93"/>
      <c r="D2296" s="93"/>
      <c r="E2296" s="94" t="str">
        <f t="shared" si="35"/>
        <v/>
      </c>
      <c r="F2296" s="95"/>
      <c r="G2296" s="93"/>
    </row>
    <row r="2297" spans="2:7" x14ac:dyDescent="0.2">
      <c r="B2297" s="92"/>
      <c r="C2297" s="93"/>
      <c r="D2297" s="93"/>
      <c r="E2297" s="94" t="str">
        <f t="shared" si="35"/>
        <v/>
      </c>
      <c r="F2297" s="95"/>
      <c r="G2297" s="93"/>
    </row>
    <row r="2298" spans="2:7" x14ac:dyDescent="0.2">
      <c r="B2298" s="92"/>
      <c r="C2298" s="93"/>
      <c r="D2298" s="93"/>
      <c r="E2298" s="94" t="str">
        <f t="shared" si="35"/>
        <v/>
      </c>
      <c r="F2298" s="95"/>
      <c r="G2298" s="93"/>
    </row>
    <row r="2299" spans="2:7" x14ac:dyDescent="0.2">
      <c r="B2299" s="92"/>
      <c r="C2299" s="93"/>
      <c r="D2299" s="93"/>
      <c r="E2299" s="94" t="str">
        <f t="shared" si="35"/>
        <v/>
      </c>
      <c r="F2299" s="95"/>
      <c r="G2299" s="93"/>
    </row>
    <row r="2300" spans="2:7" x14ac:dyDescent="0.2">
      <c r="B2300" s="92"/>
      <c r="C2300" s="93"/>
      <c r="D2300" s="93"/>
      <c r="E2300" s="94" t="str">
        <f t="shared" si="35"/>
        <v/>
      </c>
      <c r="F2300" s="95"/>
      <c r="G2300" s="93"/>
    </row>
    <row r="2301" spans="2:7" x14ac:dyDescent="0.2">
      <c r="B2301" s="92"/>
      <c r="C2301" s="93"/>
      <c r="D2301" s="93"/>
      <c r="E2301" s="94" t="str">
        <f t="shared" si="35"/>
        <v/>
      </c>
      <c r="F2301" s="95"/>
      <c r="G2301" s="93"/>
    </row>
    <row r="2302" spans="2:7" x14ac:dyDescent="0.2">
      <c r="B2302" s="92"/>
      <c r="C2302" s="93"/>
      <c r="D2302" s="93"/>
      <c r="E2302" s="94" t="str">
        <f t="shared" si="35"/>
        <v/>
      </c>
      <c r="F2302" s="95"/>
      <c r="G2302" s="93"/>
    </row>
    <row r="2303" spans="2:7" x14ac:dyDescent="0.2">
      <c r="B2303" s="92"/>
      <c r="C2303" s="93"/>
      <c r="D2303" s="93"/>
      <c r="E2303" s="94" t="str">
        <f t="shared" si="35"/>
        <v/>
      </c>
      <c r="F2303" s="95"/>
      <c r="G2303" s="93"/>
    </row>
    <row r="2304" spans="2:7" x14ac:dyDescent="0.2">
      <c r="B2304" s="92"/>
      <c r="C2304" s="93"/>
      <c r="D2304" s="93"/>
      <c r="E2304" s="94" t="str">
        <f t="shared" si="35"/>
        <v/>
      </c>
      <c r="F2304" s="95"/>
      <c r="G2304" s="93"/>
    </row>
    <row r="2305" spans="2:7" x14ac:dyDescent="0.2">
      <c r="B2305" s="92"/>
      <c r="C2305" s="93"/>
      <c r="D2305" s="93"/>
      <c r="E2305" s="94" t="str">
        <f t="shared" si="35"/>
        <v/>
      </c>
      <c r="F2305" s="95"/>
      <c r="G2305" s="93"/>
    </row>
    <row r="2306" spans="2:7" x14ac:dyDescent="0.2">
      <c r="B2306" s="92"/>
      <c r="C2306" s="93"/>
      <c r="D2306" s="93"/>
      <c r="E2306" s="94" t="str">
        <f t="shared" si="35"/>
        <v/>
      </c>
      <c r="F2306" s="95"/>
      <c r="G2306" s="93"/>
    </row>
    <row r="2307" spans="2:7" x14ac:dyDescent="0.2">
      <c r="B2307" s="92"/>
      <c r="C2307" s="93"/>
      <c r="D2307" s="93"/>
      <c r="E2307" s="94" t="str">
        <f t="shared" si="35"/>
        <v/>
      </c>
      <c r="F2307" s="95"/>
      <c r="G2307" s="93"/>
    </row>
    <row r="2308" spans="2:7" x14ac:dyDescent="0.2">
      <c r="B2308" s="92"/>
      <c r="C2308" s="93"/>
      <c r="D2308" s="93"/>
      <c r="E2308" s="94" t="str">
        <f t="shared" si="35"/>
        <v/>
      </c>
      <c r="F2308" s="95"/>
      <c r="G2308" s="93"/>
    </row>
    <row r="2309" spans="2:7" x14ac:dyDescent="0.2">
      <c r="B2309" s="92"/>
      <c r="C2309" s="93"/>
      <c r="D2309" s="93"/>
      <c r="E2309" s="94" t="str">
        <f t="shared" si="35"/>
        <v/>
      </c>
      <c r="F2309" s="95"/>
      <c r="G2309" s="93"/>
    </row>
    <row r="2310" spans="2:7" x14ac:dyDescent="0.2">
      <c r="B2310" s="92"/>
      <c r="C2310" s="93"/>
      <c r="D2310" s="93"/>
      <c r="E2310" s="94" t="str">
        <f t="shared" ref="E2310:E2373" si="36">IF(C2310&lt;&gt;"",D2310-C2310,"")</f>
        <v/>
      </c>
      <c r="F2310" s="95"/>
      <c r="G2310" s="93"/>
    </row>
    <row r="2311" spans="2:7" x14ac:dyDescent="0.2">
      <c r="B2311" s="92"/>
      <c r="C2311" s="93"/>
      <c r="D2311" s="93"/>
      <c r="E2311" s="94" t="str">
        <f t="shared" si="36"/>
        <v/>
      </c>
      <c r="F2311" s="95"/>
      <c r="G2311" s="93"/>
    </row>
    <row r="2312" spans="2:7" x14ac:dyDescent="0.2">
      <c r="B2312" s="92"/>
      <c r="C2312" s="93"/>
      <c r="D2312" s="93"/>
      <c r="E2312" s="94" t="str">
        <f t="shared" si="36"/>
        <v/>
      </c>
      <c r="F2312" s="95"/>
      <c r="G2312" s="93"/>
    </row>
    <row r="2313" spans="2:7" x14ac:dyDescent="0.2">
      <c r="B2313" s="92"/>
      <c r="C2313" s="93"/>
      <c r="D2313" s="93"/>
      <c r="E2313" s="94" t="str">
        <f t="shared" si="36"/>
        <v/>
      </c>
      <c r="F2313" s="95"/>
      <c r="G2313" s="93"/>
    </row>
    <row r="2314" spans="2:7" x14ac:dyDescent="0.2">
      <c r="B2314" s="92"/>
      <c r="C2314" s="93"/>
      <c r="D2314" s="93"/>
      <c r="E2314" s="94" t="str">
        <f t="shared" si="36"/>
        <v/>
      </c>
      <c r="F2314" s="95"/>
      <c r="G2314" s="93"/>
    </row>
    <row r="2315" spans="2:7" x14ac:dyDescent="0.2">
      <c r="B2315" s="92"/>
      <c r="C2315" s="93"/>
      <c r="D2315" s="93"/>
      <c r="E2315" s="94" t="str">
        <f t="shared" si="36"/>
        <v/>
      </c>
      <c r="F2315" s="95"/>
      <c r="G2315" s="93"/>
    </row>
    <row r="2316" spans="2:7" x14ac:dyDescent="0.2">
      <c r="B2316" s="92"/>
      <c r="C2316" s="93"/>
      <c r="D2316" s="93"/>
      <c r="E2316" s="94" t="str">
        <f t="shared" si="36"/>
        <v/>
      </c>
      <c r="F2316" s="95"/>
      <c r="G2316" s="93"/>
    </row>
    <row r="2317" spans="2:7" x14ac:dyDescent="0.2">
      <c r="B2317" s="92"/>
      <c r="C2317" s="93"/>
      <c r="D2317" s="93"/>
      <c r="E2317" s="94" t="str">
        <f t="shared" si="36"/>
        <v/>
      </c>
      <c r="F2317" s="95"/>
      <c r="G2317" s="93"/>
    </row>
    <row r="2318" spans="2:7" x14ac:dyDescent="0.2">
      <c r="B2318" s="92"/>
      <c r="C2318" s="93"/>
      <c r="D2318" s="93"/>
      <c r="E2318" s="94" t="str">
        <f t="shared" si="36"/>
        <v/>
      </c>
      <c r="F2318" s="95"/>
      <c r="G2318" s="93"/>
    </row>
    <row r="2319" spans="2:7" x14ac:dyDescent="0.2">
      <c r="B2319" s="92"/>
      <c r="C2319" s="93"/>
      <c r="D2319" s="93"/>
      <c r="E2319" s="94" t="str">
        <f t="shared" si="36"/>
        <v/>
      </c>
      <c r="F2319" s="95"/>
      <c r="G2319" s="93"/>
    </row>
    <row r="2320" spans="2:7" x14ac:dyDescent="0.2">
      <c r="B2320" s="92"/>
      <c r="C2320" s="93"/>
      <c r="D2320" s="93"/>
      <c r="E2320" s="94" t="str">
        <f t="shared" si="36"/>
        <v/>
      </c>
      <c r="F2320" s="95"/>
      <c r="G2320" s="93"/>
    </row>
    <row r="2321" spans="2:7" x14ac:dyDescent="0.2">
      <c r="B2321" s="92"/>
      <c r="C2321" s="93"/>
      <c r="D2321" s="93"/>
      <c r="E2321" s="94" t="str">
        <f t="shared" si="36"/>
        <v/>
      </c>
      <c r="F2321" s="95"/>
      <c r="G2321" s="93"/>
    </row>
    <row r="2322" spans="2:7" x14ac:dyDescent="0.2">
      <c r="B2322" s="92"/>
      <c r="C2322" s="93"/>
      <c r="D2322" s="93"/>
      <c r="E2322" s="94" t="str">
        <f t="shared" si="36"/>
        <v/>
      </c>
      <c r="F2322" s="95"/>
      <c r="G2322" s="93"/>
    </row>
    <row r="2323" spans="2:7" x14ac:dyDescent="0.2">
      <c r="B2323" s="92"/>
      <c r="C2323" s="93"/>
      <c r="D2323" s="93"/>
      <c r="E2323" s="94" t="str">
        <f t="shared" si="36"/>
        <v/>
      </c>
      <c r="F2323" s="95"/>
      <c r="G2323" s="93"/>
    </row>
    <row r="2324" spans="2:7" x14ac:dyDescent="0.2">
      <c r="B2324" s="92"/>
      <c r="C2324" s="93"/>
      <c r="D2324" s="93"/>
      <c r="E2324" s="94" t="str">
        <f t="shared" si="36"/>
        <v/>
      </c>
      <c r="F2324" s="95"/>
      <c r="G2324" s="93"/>
    </row>
    <row r="2325" spans="2:7" x14ac:dyDescent="0.2">
      <c r="B2325" s="92"/>
      <c r="C2325" s="93"/>
      <c r="D2325" s="93"/>
      <c r="E2325" s="94" t="str">
        <f t="shared" si="36"/>
        <v/>
      </c>
      <c r="F2325" s="95"/>
      <c r="G2325" s="93"/>
    </row>
    <row r="2326" spans="2:7" x14ac:dyDescent="0.2">
      <c r="B2326" s="92"/>
      <c r="C2326" s="93"/>
      <c r="D2326" s="93"/>
      <c r="E2326" s="94" t="str">
        <f t="shared" si="36"/>
        <v/>
      </c>
      <c r="F2326" s="95"/>
      <c r="G2326" s="93"/>
    </row>
    <row r="2327" spans="2:7" x14ac:dyDescent="0.2">
      <c r="B2327" s="92"/>
      <c r="C2327" s="93"/>
      <c r="D2327" s="93"/>
      <c r="E2327" s="94" t="str">
        <f t="shared" si="36"/>
        <v/>
      </c>
      <c r="F2327" s="95"/>
      <c r="G2327" s="93"/>
    </row>
    <row r="2328" spans="2:7" x14ac:dyDescent="0.2">
      <c r="B2328" s="92"/>
      <c r="C2328" s="93"/>
      <c r="D2328" s="93"/>
      <c r="E2328" s="94" t="str">
        <f t="shared" si="36"/>
        <v/>
      </c>
      <c r="F2328" s="95"/>
      <c r="G2328" s="93"/>
    </row>
    <row r="2329" spans="2:7" x14ac:dyDescent="0.2">
      <c r="B2329" s="92"/>
      <c r="C2329" s="93"/>
      <c r="D2329" s="93"/>
      <c r="E2329" s="94" t="str">
        <f t="shared" si="36"/>
        <v/>
      </c>
      <c r="F2329" s="95"/>
      <c r="G2329" s="93"/>
    </row>
    <row r="2330" spans="2:7" x14ac:dyDescent="0.2">
      <c r="B2330" s="92"/>
      <c r="C2330" s="93"/>
      <c r="D2330" s="93"/>
      <c r="E2330" s="94" t="str">
        <f t="shared" si="36"/>
        <v/>
      </c>
      <c r="F2330" s="95"/>
      <c r="G2330" s="93"/>
    </row>
    <row r="2331" spans="2:7" x14ac:dyDescent="0.2">
      <c r="B2331" s="92"/>
      <c r="C2331" s="93"/>
      <c r="D2331" s="93"/>
      <c r="E2331" s="94" t="str">
        <f t="shared" si="36"/>
        <v/>
      </c>
      <c r="F2331" s="95"/>
      <c r="G2331" s="93"/>
    </row>
    <row r="2332" spans="2:7" x14ac:dyDescent="0.2">
      <c r="B2332" s="92"/>
      <c r="C2332" s="93"/>
      <c r="D2332" s="93"/>
      <c r="E2332" s="94" t="str">
        <f t="shared" si="36"/>
        <v/>
      </c>
      <c r="F2332" s="95"/>
      <c r="G2332" s="93"/>
    </row>
    <row r="2333" spans="2:7" x14ac:dyDescent="0.2">
      <c r="B2333" s="92"/>
      <c r="C2333" s="93"/>
      <c r="D2333" s="93"/>
      <c r="E2333" s="94" t="str">
        <f t="shared" si="36"/>
        <v/>
      </c>
      <c r="F2333" s="95"/>
      <c r="G2333" s="93"/>
    </row>
    <row r="2334" spans="2:7" x14ac:dyDescent="0.2">
      <c r="B2334" s="92"/>
      <c r="C2334" s="93"/>
      <c r="D2334" s="93"/>
      <c r="E2334" s="94" t="str">
        <f t="shared" si="36"/>
        <v/>
      </c>
      <c r="F2334" s="95"/>
      <c r="G2334" s="93"/>
    </row>
    <row r="2335" spans="2:7" x14ac:dyDescent="0.2">
      <c r="B2335" s="92"/>
      <c r="C2335" s="93"/>
      <c r="D2335" s="93"/>
      <c r="E2335" s="94" t="str">
        <f t="shared" si="36"/>
        <v/>
      </c>
      <c r="F2335" s="95"/>
      <c r="G2335" s="93"/>
    </row>
    <row r="2336" spans="2:7" x14ac:dyDescent="0.2">
      <c r="B2336" s="92"/>
      <c r="C2336" s="93"/>
      <c r="D2336" s="93"/>
      <c r="E2336" s="94" t="str">
        <f t="shared" si="36"/>
        <v/>
      </c>
      <c r="F2336" s="95"/>
      <c r="G2336" s="93"/>
    </row>
    <row r="2337" spans="2:7" x14ac:dyDescent="0.2">
      <c r="B2337" s="92"/>
      <c r="C2337" s="93"/>
      <c r="D2337" s="93"/>
      <c r="E2337" s="94" t="str">
        <f t="shared" si="36"/>
        <v/>
      </c>
      <c r="F2337" s="95"/>
      <c r="G2337" s="93"/>
    </row>
    <row r="2338" spans="2:7" x14ac:dyDescent="0.2">
      <c r="B2338" s="92"/>
      <c r="C2338" s="93"/>
      <c r="D2338" s="93"/>
      <c r="E2338" s="94" t="str">
        <f t="shared" si="36"/>
        <v/>
      </c>
      <c r="F2338" s="95"/>
      <c r="G2338" s="93"/>
    </row>
    <row r="2339" spans="2:7" x14ac:dyDescent="0.2">
      <c r="B2339" s="92"/>
      <c r="C2339" s="93"/>
      <c r="D2339" s="93"/>
      <c r="E2339" s="94" t="str">
        <f t="shared" si="36"/>
        <v/>
      </c>
      <c r="F2339" s="95"/>
      <c r="G2339" s="93"/>
    </row>
    <row r="2340" spans="2:7" x14ac:dyDescent="0.2">
      <c r="B2340" s="92"/>
      <c r="C2340" s="93"/>
      <c r="D2340" s="93"/>
      <c r="E2340" s="94" t="str">
        <f t="shared" si="36"/>
        <v/>
      </c>
      <c r="F2340" s="95"/>
      <c r="G2340" s="93"/>
    </row>
    <row r="2341" spans="2:7" x14ac:dyDescent="0.2">
      <c r="B2341" s="92"/>
      <c r="C2341" s="93"/>
      <c r="D2341" s="93"/>
      <c r="E2341" s="94" t="str">
        <f t="shared" si="36"/>
        <v/>
      </c>
      <c r="F2341" s="95"/>
      <c r="G2341" s="93"/>
    </row>
    <row r="2342" spans="2:7" x14ac:dyDescent="0.2">
      <c r="B2342" s="92"/>
      <c r="C2342" s="93"/>
      <c r="D2342" s="93"/>
      <c r="E2342" s="94" t="str">
        <f t="shared" si="36"/>
        <v/>
      </c>
      <c r="F2342" s="95"/>
      <c r="G2342" s="93"/>
    </row>
    <row r="2343" spans="2:7" x14ac:dyDescent="0.2">
      <c r="B2343" s="92"/>
      <c r="C2343" s="93"/>
      <c r="D2343" s="93"/>
      <c r="E2343" s="94" t="str">
        <f t="shared" si="36"/>
        <v/>
      </c>
      <c r="F2343" s="95"/>
      <c r="G2343" s="93"/>
    </row>
    <row r="2344" spans="2:7" x14ac:dyDescent="0.2">
      <c r="B2344" s="92"/>
      <c r="C2344" s="93"/>
      <c r="D2344" s="93"/>
      <c r="E2344" s="94" t="str">
        <f t="shared" si="36"/>
        <v/>
      </c>
      <c r="F2344" s="95"/>
      <c r="G2344" s="93"/>
    </row>
    <row r="2345" spans="2:7" x14ac:dyDescent="0.2">
      <c r="B2345" s="92"/>
      <c r="C2345" s="93"/>
      <c r="D2345" s="93"/>
      <c r="E2345" s="94" t="str">
        <f t="shared" si="36"/>
        <v/>
      </c>
      <c r="F2345" s="95"/>
      <c r="G2345" s="93"/>
    </row>
    <row r="2346" spans="2:7" x14ac:dyDescent="0.2">
      <c r="B2346" s="92"/>
      <c r="C2346" s="93"/>
      <c r="D2346" s="93"/>
      <c r="E2346" s="94" t="str">
        <f t="shared" si="36"/>
        <v/>
      </c>
      <c r="F2346" s="95"/>
      <c r="G2346" s="93"/>
    </row>
    <row r="2347" spans="2:7" x14ac:dyDescent="0.2">
      <c r="B2347" s="92"/>
      <c r="C2347" s="93"/>
      <c r="D2347" s="93"/>
      <c r="E2347" s="94" t="str">
        <f t="shared" si="36"/>
        <v/>
      </c>
      <c r="F2347" s="95"/>
      <c r="G2347" s="93"/>
    </row>
    <row r="2348" spans="2:7" x14ac:dyDescent="0.2">
      <c r="B2348" s="92"/>
      <c r="C2348" s="93"/>
      <c r="D2348" s="93"/>
      <c r="E2348" s="94" t="str">
        <f t="shared" si="36"/>
        <v/>
      </c>
      <c r="F2348" s="95"/>
      <c r="G2348" s="93"/>
    </row>
    <row r="2349" spans="2:7" x14ac:dyDescent="0.2">
      <c r="B2349" s="92"/>
      <c r="C2349" s="93"/>
      <c r="D2349" s="93"/>
      <c r="E2349" s="94" t="str">
        <f t="shared" si="36"/>
        <v/>
      </c>
      <c r="F2349" s="95"/>
      <c r="G2349" s="93"/>
    </row>
    <row r="2350" spans="2:7" x14ac:dyDescent="0.2">
      <c r="B2350" s="92"/>
      <c r="C2350" s="93"/>
      <c r="D2350" s="93"/>
      <c r="E2350" s="94" t="str">
        <f t="shared" si="36"/>
        <v/>
      </c>
      <c r="F2350" s="95"/>
      <c r="G2350" s="93"/>
    </row>
    <row r="2351" spans="2:7" x14ac:dyDescent="0.2">
      <c r="B2351" s="92"/>
      <c r="C2351" s="93"/>
      <c r="D2351" s="93"/>
      <c r="E2351" s="94" t="str">
        <f t="shared" si="36"/>
        <v/>
      </c>
      <c r="F2351" s="95"/>
      <c r="G2351" s="93"/>
    </row>
    <row r="2352" spans="2:7" x14ac:dyDescent="0.2">
      <c r="B2352" s="92"/>
      <c r="C2352" s="93"/>
      <c r="D2352" s="93"/>
      <c r="E2352" s="94" t="str">
        <f t="shared" si="36"/>
        <v/>
      </c>
      <c r="F2352" s="95"/>
      <c r="G2352" s="93"/>
    </row>
    <row r="2353" spans="2:7" x14ac:dyDescent="0.2">
      <c r="B2353" s="92"/>
      <c r="C2353" s="93"/>
      <c r="D2353" s="93"/>
      <c r="E2353" s="94" t="str">
        <f t="shared" si="36"/>
        <v/>
      </c>
      <c r="F2353" s="95"/>
      <c r="G2353" s="93"/>
    </row>
    <row r="2354" spans="2:7" x14ac:dyDescent="0.2">
      <c r="B2354" s="92"/>
      <c r="C2354" s="93"/>
      <c r="D2354" s="93"/>
      <c r="E2354" s="94" t="str">
        <f t="shared" si="36"/>
        <v/>
      </c>
      <c r="F2354" s="95"/>
      <c r="G2354" s="93"/>
    </row>
    <row r="2355" spans="2:7" x14ac:dyDescent="0.2">
      <c r="B2355" s="92"/>
      <c r="C2355" s="93"/>
      <c r="D2355" s="93"/>
      <c r="E2355" s="94" t="str">
        <f t="shared" si="36"/>
        <v/>
      </c>
      <c r="F2355" s="95"/>
      <c r="G2355" s="93"/>
    </row>
    <row r="2356" spans="2:7" x14ac:dyDescent="0.2">
      <c r="B2356" s="92"/>
      <c r="C2356" s="93"/>
      <c r="D2356" s="93"/>
      <c r="E2356" s="94" t="str">
        <f t="shared" si="36"/>
        <v/>
      </c>
      <c r="F2356" s="95"/>
      <c r="G2356" s="93"/>
    </row>
    <row r="2357" spans="2:7" x14ac:dyDescent="0.2">
      <c r="B2357" s="92"/>
      <c r="C2357" s="93"/>
      <c r="D2357" s="93"/>
      <c r="E2357" s="94" t="str">
        <f t="shared" si="36"/>
        <v/>
      </c>
      <c r="F2357" s="95"/>
      <c r="G2357" s="93"/>
    </row>
    <row r="2358" spans="2:7" x14ac:dyDescent="0.2">
      <c r="B2358" s="92"/>
      <c r="C2358" s="93"/>
      <c r="D2358" s="93"/>
      <c r="E2358" s="94" t="str">
        <f t="shared" si="36"/>
        <v/>
      </c>
      <c r="F2358" s="95"/>
      <c r="G2358" s="93"/>
    </row>
    <row r="2359" spans="2:7" x14ac:dyDescent="0.2">
      <c r="B2359" s="92"/>
      <c r="C2359" s="93"/>
      <c r="D2359" s="93"/>
      <c r="E2359" s="94" t="str">
        <f t="shared" si="36"/>
        <v/>
      </c>
      <c r="F2359" s="95"/>
      <c r="G2359" s="93"/>
    </row>
    <row r="2360" spans="2:7" x14ac:dyDescent="0.2">
      <c r="B2360" s="92"/>
      <c r="C2360" s="93"/>
      <c r="D2360" s="93"/>
      <c r="E2360" s="94" t="str">
        <f t="shared" si="36"/>
        <v/>
      </c>
      <c r="F2360" s="95"/>
      <c r="G2360" s="93"/>
    </row>
    <row r="2361" spans="2:7" x14ac:dyDescent="0.2">
      <c r="B2361" s="92"/>
      <c r="C2361" s="93"/>
      <c r="D2361" s="93"/>
      <c r="E2361" s="94" t="str">
        <f t="shared" si="36"/>
        <v/>
      </c>
      <c r="F2361" s="95"/>
      <c r="G2361" s="93"/>
    </row>
    <row r="2362" spans="2:7" x14ac:dyDescent="0.2">
      <c r="B2362" s="92"/>
      <c r="C2362" s="93"/>
      <c r="D2362" s="93"/>
      <c r="E2362" s="94" t="str">
        <f t="shared" si="36"/>
        <v/>
      </c>
      <c r="F2362" s="95"/>
      <c r="G2362" s="93"/>
    </row>
    <row r="2363" spans="2:7" x14ac:dyDescent="0.2">
      <c r="B2363" s="92"/>
      <c r="C2363" s="93"/>
      <c r="D2363" s="93"/>
      <c r="E2363" s="94" t="str">
        <f t="shared" si="36"/>
        <v/>
      </c>
      <c r="F2363" s="95"/>
      <c r="G2363" s="93"/>
    </row>
    <row r="2364" spans="2:7" x14ac:dyDescent="0.2">
      <c r="B2364" s="92"/>
      <c r="C2364" s="93"/>
      <c r="D2364" s="93"/>
      <c r="E2364" s="94" t="str">
        <f t="shared" si="36"/>
        <v/>
      </c>
      <c r="F2364" s="95"/>
      <c r="G2364" s="93"/>
    </row>
    <row r="2365" spans="2:7" x14ac:dyDescent="0.2">
      <c r="B2365" s="92"/>
      <c r="C2365" s="93"/>
      <c r="D2365" s="93"/>
      <c r="E2365" s="94" t="str">
        <f t="shared" si="36"/>
        <v/>
      </c>
      <c r="F2365" s="95"/>
      <c r="G2365" s="93"/>
    </row>
    <row r="2366" spans="2:7" x14ac:dyDescent="0.2">
      <c r="B2366" s="92"/>
      <c r="C2366" s="93"/>
      <c r="D2366" s="93"/>
      <c r="E2366" s="94" t="str">
        <f t="shared" si="36"/>
        <v/>
      </c>
      <c r="F2366" s="95"/>
      <c r="G2366" s="93"/>
    </row>
    <row r="2367" spans="2:7" x14ac:dyDescent="0.2">
      <c r="B2367" s="92"/>
      <c r="C2367" s="93"/>
      <c r="D2367" s="93"/>
      <c r="E2367" s="94" t="str">
        <f t="shared" si="36"/>
        <v/>
      </c>
      <c r="F2367" s="95"/>
      <c r="G2367" s="93"/>
    </row>
    <row r="2368" spans="2:7" x14ac:dyDescent="0.2">
      <c r="B2368" s="92"/>
      <c r="C2368" s="93"/>
      <c r="D2368" s="93"/>
      <c r="E2368" s="94" t="str">
        <f t="shared" si="36"/>
        <v/>
      </c>
      <c r="F2368" s="95"/>
      <c r="G2368" s="93"/>
    </row>
    <row r="2369" spans="2:7" x14ac:dyDescent="0.2">
      <c r="B2369" s="92"/>
      <c r="C2369" s="93"/>
      <c r="D2369" s="93"/>
      <c r="E2369" s="94" t="str">
        <f t="shared" si="36"/>
        <v/>
      </c>
      <c r="F2369" s="95"/>
      <c r="G2369" s="93"/>
    </row>
    <row r="2370" spans="2:7" x14ac:dyDescent="0.2">
      <c r="B2370" s="92"/>
      <c r="C2370" s="93"/>
      <c r="D2370" s="93"/>
      <c r="E2370" s="94" t="str">
        <f t="shared" si="36"/>
        <v/>
      </c>
      <c r="F2370" s="95"/>
      <c r="G2370" s="93"/>
    </row>
    <row r="2371" spans="2:7" x14ac:dyDescent="0.2">
      <c r="B2371" s="92"/>
      <c r="C2371" s="93"/>
      <c r="D2371" s="93"/>
      <c r="E2371" s="94" t="str">
        <f t="shared" si="36"/>
        <v/>
      </c>
      <c r="F2371" s="95"/>
      <c r="G2371" s="93"/>
    </row>
    <row r="2372" spans="2:7" x14ac:dyDescent="0.2">
      <c r="B2372" s="92"/>
      <c r="C2372" s="93"/>
      <c r="D2372" s="93"/>
      <c r="E2372" s="94" t="str">
        <f t="shared" si="36"/>
        <v/>
      </c>
      <c r="F2372" s="95"/>
      <c r="G2372" s="93"/>
    </row>
    <row r="2373" spans="2:7" x14ac:dyDescent="0.2">
      <c r="B2373" s="92"/>
      <c r="C2373" s="93"/>
      <c r="D2373" s="93"/>
      <c r="E2373" s="94" t="str">
        <f t="shared" si="36"/>
        <v/>
      </c>
      <c r="F2373" s="95"/>
      <c r="G2373" s="93"/>
    </row>
    <row r="2374" spans="2:7" x14ac:dyDescent="0.2">
      <c r="B2374" s="92"/>
      <c r="C2374" s="93"/>
      <c r="D2374" s="93"/>
      <c r="E2374" s="94" t="str">
        <f t="shared" ref="E2374:E2437" si="37">IF(C2374&lt;&gt;"",D2374-C2374,"")</f>
        <v/>
      </c>
      <c r="F2374" s="95"/>
      <c r="G2374" s="93"/>
    </row>
    <row r="2375" spans="2:7" x14ac:dyDescent="0.2">
      <c r="B2375" s="92"/>
      <c r="C2375" s="93"/>
      <c r="D2375" s="93"/>
      <c r="E2375" s="94" t="str">
        <f t="shared" si="37"/>
        <v/>
      </c>
      <c r="F2375" s="95"/>
      <c r="G2375" s="93"/>
    </row>
    <row r="2376" spans="2:7" x14ac:dyDescent="0.2">
      <c r="B2376" s="92"/>
      <c r="C2376" s="93"/>
      <c r="D2376" s="93"/>
      <c r="E2376" s="94" t="str">
        <f t="shared" si="37"/>
        <v/>
      </c>
      <c r="F2376" s="95"/>
      <c r="G2376" s="93"/>
    </row>
    <row r="2377" spans="2:7" x14ac:dyDescent="0.2">
      <c r="B2377" s="92"/>
      <c r="C2377" s="93"/>
      <c r="D2377" s="93"/>
      <c r="E2377" s="94" t="str">
        <f t="shared" si="37"/>
        <v/>
      </c>
      <c r="F2377" s="95"/>
      <c r="G2377" s="93"/>
    </row>
    <row r="2378" spans="2:7" x14ac:dyDescent="0.2">
      <c r="B2378" s="92"/>
      <c r="C2378" s="93"/>
      <c r="D2378" s="93"/>
      <c r="E2378" s="94" t="str">
        <f t="shared" si="37"/>
        <v/>
      </c>
      <c r="F2378" s="95"/>
      <c r="G2378" s="93"/>
    </row>
    <row r="2379" spans="2:7" x14ac:dyDescent="0.2">
      <c r="B2379" s="92"/>
      <c r="C2379" s="93"/>
      <c r="D2379" s="93"/>
      <c r="E2379" s="94" t="str">
        <f t="shared" si="37"/>
        <v/>
      </c>
      <c r="F2379" s="95"/>
      <c r="G2379" s="93"/>
    </row>
    <row r="2380" spans="2:7" x14ac:dyDescent="0.2">
      <c r="B2380" s="92"/>
      <c r="C2380" s="93"/>
      <c r="D2380" s="93"/>
      <c r="E2380" s="94" t="str">
        <f t="shared" si="37"/>
        <v/>
      </c>
      <c r="F2380" s="95"/>
      <c r="G2380" s="93"/>
    </row>
    <row r="2381" spans="2:7" x14ac:dyDescent="0.2">
      <c r="B2381" s="92"/>
      <c r="C2381" s="93"/>
      <c r="D2381" s="93"/>
      <c r="E2381" s="94" t="str">
        <f t="shared" si="37"/>
        <v/>
      </c>
      <c r="F2381" s="95"/>
      <c r="G2381" s="93"/>
    </row>
    <row r="2382" spans="2:7" x14ac:dyDescent="0.2">
      <c r="B2382" s="92"/>
      <c r="C2382" s="93"/>
      <c r="D2382" s="93"/>
      <c r="E2382" s="94" t="str">
        <f t="shared" si="37"/>
        <v/>
      </c>
      <c r="F2382" s="95"/>
      <c r="G2382" s="93"/>
    </row>
    <row r="2383" spans="2:7" x14ac:dyDescent="0.2">
      <c r="B2383" s="92"/>
      <c r="C2383" s="93"/>
      <c r="D2383" s="93"/>
      <c r="E2383" s="94" t="str">
        <f t="shared" si="37"/>
        <v/>
      </c>
      <c r="F2383" s="95"/>
      <c r="G2383" s="93"/>
    </row>
    <row r="2384" spans="2:7" x14ac:dyDescent="0.2">
      <c r="B2384" s="92"/>
      <c r="C2384" s="93"/>
      <c r="D2384" s="93"/>
      <c r="E2384" s="94" t="str">
        <f t="shared" si="37"/>
        <v/>
      </c>
      <c r="F2384" s="95"/>
      <c r="G2384" s="93"/>
    </row>
    <row r="2385" spans="2:7" x14ac:dyDescent="0.2">
      <c r="B2385" s="92"/>
      <c r="C2385" s="93"/>
      <c r="D2385" s="93"/>
      <c r="E2385" s="94" t="str">
        <f t="shared" si="37"/>
        <v/>
      </c>
      <c r="F2385" s="95"/>
      <c r="G2385" s="93"/>
    </row>
    <row r="2386" spans="2:7" x14ac:dyDescent="0.2">
      <c r="B2386" s="92"/>
      <c r="C2386" s="93"/>
      <c r="D2386" s="93"/>
      <c r="E2386" s="94" t="str">
        <f t="shared" si="37"/>
        <v/>
      </c>
      <c r="F2386" s="95"/>
      <c r="G2386" s="93"/>
    </row>
    <row r="2387" spans="2:7" x14ac:dyDescent="0.2">
      <c r="B2387" s="92"/>
      <c r="C2387" s="93"/>
      <c r="D2387" s="93"/>
      <c r="E2387" s="94" t="str">
        <f t="shared" si="37"/>
        <v/>
      </c>
      <c r="F2387" s="95"/>
      <c r="G2387" s="93"/>
    </row>
    <row r="2388" spans="2:7" x14ac:dyDescent="0.2">
      <c r="B2388" s="92"/>
      <c r="C2388" s="93"/>
      <c r="D2388" s="93"/>
      <c r="E2388" s="94" t="str">
        <f t="shared" si="37"/>
        <v/>
      </c>
      <c r="F2388" s="95"/>
      <c r="G2388" s="93"/>
    </row>
    <row r="2389" spans="2:7" x14ac:dyDescent="0.2">
      <c r="B2389" s="92"/>
      <c r="C2389" s="93"/>
      <c r="D2389" s="93"/>
      <c r="E2389" s="94" t="str">
        <f t="shared" si="37"/>
        <v/>
      </c>
      <c r="F2389" s="95"/>
      <c r="G2389" s="93"/>
    </row>
    <row r="2390" spans="2:7" x14ac:dyDescent="0.2">
      <c r="B2390" s="92"/>
      <c r="C2390" s="93"/>
      <c r="D2390" s="93"/>
      <c r="E2390" s="94" t="str">
        <f t="shared" si="37"/>
        <v/>
      </c>
      <c r="F2390" s="95"/>
      <c r="G2390" s="93"/>
    </row>
    <row r="2391" spans="2:7" x14ac:dyDescent="0.2">
      <c r="B2391" s="92"/>
      <c r="C2391" s="93"/>
      <c r="D2391" s="93"/>
      <c r="E2391" s="94" t="str">
        <f t="shared" si="37"/>
        <v/>
      </c>
      <c r="F2391" s="95"/>
      <c r="G2391" s="93"/>
    </row>
    <row r="2392" spans="2:7" x14ac:dyDescent="0.2">
      <c r="B2392" s="92"/>
      <c r="C2392" s="93"/>
      <c r="D2392" s="93"/>
      <c r="E2392" s="94" t="str">
        <f t="shared" si="37"/>
        <v/>
      </c>
      <c r="F2392" s="95"/>
      <c r="G2392" s="93"/>
    </row>
    <row r="2393" spans="2:7" x14ac:dyDescent="0.2">
      <c r="B2393" s="92"/>
      <c r="C2393" s="93"/>
      <c r="D2393" s="93"/>
      <c r="E2393" s="94" t="str">
        <f t="shared" si="37"/>
        <v/>
      </c>
      <c r="F2393" s="95"/>
      <c r="G2393" s="93"/>
    </row>
    <row r="2394" spans="2:7" x14ac:dyDescent="0.2">
      <c r="B2394" s="92"/>
      <c r="C2394" s="93"/>
      <c r="D2394" s="93"/>
      <c r="E2394" s="94" t="str">
        <f t="shared" si="37"/>
        <v/>
      </c>
      <c r="F2394" s="95"/>
      <c r="G2394" s="93"/>
    </row>
    <row r="2395" spans="2:7" x14ac:dyDescent="0.2">
      <c r="B2395" s="92"/>
      <c r="C2395" s="93"/>
      <c r="D2395" s="93"/>
      <c r="E2395" s="94" t="str">
        <f t="shared" si="37"/>
        <v/>
      </c>
      <c r="F2395" s="95"/>
      <c r="G2395" s="93"/>
    </row>
    <row r="2396" spans="2:7" x14ac:dyDescent="0.2">
      <c r="B2396" s="92"/>
      <c r="C2396" s="93"/>
      <c r="D2396" s="93"/>
      <c r="E2396" s="94" t="str">
        <f t="shared" si="37"/>
        <v/>
      </c>
      <c r="F2396" s="95"/>
      <c r="G2396" s="93"/>
    </row>
    <row r="2397" spans="2:7" x14ac:dyDescent="0.2">
      <c r="B2397" s="92"/>
      <c r="C2397" s="93"/>
      <c r="D2397" s="93"/>
      <c r="E2397" s="94" t="str">
        <f t="shared" si="37"/>
        <v/>
      </c>
      <c r="F2397" s="95"/>
      <c r="G2397" s="93"/>
    </row>
    <row r="2398" spans="2:7" x14ac:dyDescent="0.2">
      <c r="B2398" s="92"/>
      <c r="C2398" s="93"/>
      <c r="D2398" s="93"/>
      <c r="E2398" s="94" t="str">
        <f t="shared" si="37"/>
        <v/>
      </c>
      <c r="F2398" s="95"/>
      <c r="G2398" s="93"/>
    </row>
    <row r="2399" spans="2:7" x14ac:dyDescent="0.2">
      <c r="B2399" s="92"/>
      <c r="C2399" s="93"/>
      <c r="D2399" s="93"/>
      <c r="E2399" s="94" t="str">
        <f t="shared" si="37"/>
        <v/>
      </c>
      <c r="F2399" s="95"/>
      <c r="G2399" s="93"/>
    </row>
    <row r="2400" spans="2:7" x14ac:dyDescent="0.2">
      <c r="B2400" s="92"/>
      <c r="C2400" s="93"/>
      <c r="D2400" s="93"/>
      <c r="E2400" s="94" t="str">
        <f t="shared" si="37"/>
        <v/>
      </c>
      <c r="F2400" s="95"/>
      <c r="G2400" s="93"/>
    </row>
    <row r="2401" spans="2:7" x14ac:dyDescent="0.2">
      <c r="B2401" s="92"/>
      <c r="C2401" s="93"/>
      <c r="D2401" s="93"/>
      <c r="E2401" s="94" t="str">
        <f t="shared" si="37"/>
        <v/>
      </c>
      <c r="F2401" s="95"/>
      <c r="G2401" s="93"/>
    </row>
    <row r="2402" spans="2:7" x14ac:dyDescent="0.2">
      <c r="B2402" s="92"/>
      <c r="C2402" s="93"/>
      <c r="D2402" s="93"/>
      <c r="E2402" s="94" t="str">
        <f t="shared" si="37"/>
        <v/>
      </c>
      <c r="F2402" s="95"/>
      <c r="G2402" s="93"/>
    </row>
    <row r="2403" spans="2:7" x14ac:dyDescent="0.2">
      <c r="B2403" s="92"/>
      <c r="C2403" s="93"/>
      <c r="D2403" s="93"/>
      <c r="E2403" s="94" t="str">
        <f t="shared" si="37"/>
        <v/>
      </c>
      <c r="F2403" s="95"/>
      <c r="G2403" s="93"/>
    </row>
    <row r="2404" spans="2:7" x14ac:dyDescent="0.2">
      <c r="B2404" s="92"/>
      <c r="C2404" s="93"/>
      <c r="D2404" s="93"/>
      <c r="E2404" s="94" t="str">
        <f t="shared" si="37"/>
        <v/>
      </c>
      <c r="F2404" s="95"/>
      <c r="G2404" s="93"/>
    </row>
    <row r="2405" spans="2:7" x14ac:dyDescent="0.2">
      <c r="B2405" s="92"/>
      <c r="C2405" s="93"/>
      <c r="D2405" s="93"/>
      <c r="E2405" s="94" t="str">
        <f t="shared" si="37"/>
        <v/>
      </c>
      <c r="F2405" s="95"/>
      <c r="G2405" s="93"/>
    </row>
    <row r="2406" spans="2:7" x14ac:dyDescent="0.2">
      <c r="B2406" s="92"/>
      <c r="C2406" s="93"/>
      <c r="D2406" s="93"/>
      <c r="E2406" s="94" t="str">
        <f t="shared" si="37"/>
        <v/>
      </c>
      <c r="F2406" s="95"/>
      <c r="G2406" s="93"/>
    </row>
    <row r="2407" spans="2:7" x14ac:dyDescent="0.2">
      <c r="B2407" s="92"/>
      <c r="C2407" s="93"/>
      <c r="D2407" s="93"/>
      <c r="E2407" s="94" t="str">
        <f t="shared" si="37"/>
        <v/>
      </c>
      <c r="F2407" s="95"/>
      <c r="G2407" s="93"/>
    </row>
    <row r="2408" spans="2:7" x14ac:dyDescent="0.2">
      <c r="B2408" s="92"/>
      <c r="C2408" s="93"/>
      <c r="D2408" s="93"/>
      <c r="E2408" s="94" t="str">
        <f t="shared" si="37"/>
        <v/>
      </c>
      <c r="F2408" s="95"/>
      <c r="G2408" s="93"/>
    </row>
    <row r="2409" spans="2:7" x14ac:dyDescent="0.2">
      <c r="B2409" s="92"/>
      <c r="C2409" s="93"/>
      <c r="D2409" s="93"/>
      <c r="E2409" s="94" t="str">
        <f t="shared" si="37"/>
        <v/>
      </c>
      <c r="F2409" s="95"/>
      <c r="G2409" s="93"/>
    </row>
    <row r="2410" spans="2:7" x14ac:dyDescent="0.2">
      <c r="B2410" s="92"/>
      <c r="C2410" s="93"/>
      <c r="D2410" s="93"/>
      <c r="E2410" s="94" t="str">
        <f t="shared" si="37"/>
        <v/>
      </c>
      <c r="F2410" s="95"/>
      <c r="G2410" s="93"/>
    </row>
    <row r="2411" spans="2:7" x14ac:dyDescent="0.2">
      <c r="B2411" s="92"/>
      <c r="C2411" s="93"/>
      <c r="D2411" s="93"/>
      <c r="E2411" s="94" t="str">
        <f t="shared" si="37"/>
        <v/>
      </c>
      <c r="F2411" s="95"/>
      <c r="G2411" s="93"/>
    </row>
    <row r="2412" spans="2:7" x14ac:dyDescent="0.2">
      <c r="B2412" s="92"/>
      <c r="C2412" s="93"/>
      <c r="D2412" s="93"/>
      <c r="E2412" s="94" t="str">
        <f t="shared" si="37"/>
        <v/>
      </c>
      <c r="F2412" s="95"/>
      <c r="G2412" s="93"/>
    </row>
    <row r="2413" spans="2:7" x14ac:dyDescent="0.2">
      <c r="B2413" s="92"/>
      <c r="C2413" s="93"/>
      <c r="D2413" s="93"/>
      <c r="E2413" s="94" t="str">
        <f t="shared" si="37"/>
        <v/>
      </c>
      <c r="F2413" s="95"/>
      <c r="G2413" s="93"/>
    </row>
    <row r="2414" spans="2:7" x14ac:dyDescent="0.2">
      <c r="B2414" s="92"/>
      <c r="C2414" s="93"/>
      <c r="D2414" s="93"/>
      <c r="E2414" s="94" t="str">
        <f t="shared" si="37"/>
        <v/>
      </c>
      <c r="F2414" s="95"/>
      <c r="G2414" s="93"/>
    </row>
    <row r="2415" spans="2:7" x14ac:dyDescent="0.2">
      <c r="B2415" s="92"/>
      <c r="C2415" s="93"/>
      <c r="D2415" s="93"/>
      <c r="E2415" s="94" t="str">
        <f t="shared" si="37"/>
        <v/>
      </c>
      <c r="F2415" s="95"/>
      <c r="G2415" s="93"/>
    </row>
    <row r="2416" spans="2:7" x14ac:dyDescent="0.2">
      <c r="B2416" s="92"/>
      <c r="C2416" s="93"/>
      <c r="D2416" s="93"/>
      <c r="E2416" s="94" t="str">
        <f t="shared" si="37"/>
        <v/>
      </c>
      <c r="F2416" s="95"/>
      <c r="G2416" s="93"/>
    </row>
    <row r="2417" spans="2:7" x14ac:dyDescent="0.2">
      <c r="B2417" s="92"/>
      <c r="C2417" s="93"/>
      <c r="D2417" s="93"/>
      <c r="E2417" s="94" t="str">
        <f t="shared" si="37"/>
        <v/>
      </c>
      <c r="F2417" s="95"/>
      <c r="G2417" s="93"/>
    </row>
    <row r="2418" spans="2:7" x14ac:dyDescent="0.2">
      <c r="B2418" s="92"/>
      <c r="C2418" s="93"/>
      <c r="D2418" s="93"/>
      <c r="E2418" s="94" t="str">
        <f t="shared" si="37"/>
        <v/>
      </c>
      <c r="F2418" s="95"/>
      <c r="G2418" s="93"/>
    </row>
    <row r="2419" spans="2:7" x14ac:dyDescent="0.2">
      <c r="B2419" s="92"/>
      <c r="C2419" s="93"/>
      <c r="D2419" s="93"/>
      <c r="E2419" s="94" t="str">
        <f t="shared" si="37"/>
        <v/>
      </c>
      <c r="F2419" s="95"/>
      <c r="G2419" s="93"/>
    </row>
    <row r="2420" spans="2:7" x14ac:dyDescent="0.2">
      <c r="B2420" s="92"/>
      <c r="C2420" s="93"/>
      <c r="D2420" s="93"/>
      <c r="E2420" s="94" t="str">
        <f t="shared" si="37"/>
        <v/>
      </c>
      <c r="F2420" s="95"/>
      <c r="G2420" s="93"/>
    </row>
    <row r="2421" spans="2:7" x14ac:dyDescent="0.2">
      <c r="B2421" s="92"/>
      <c r="C2421" s="93"/>
      <c r="D2421" s="93"/>
      <c r="E2421" s="94" t="str">
        <f t="shared" si="37"/>
        <v/>
      </c>
      <c r="F2421" s="95"/>
      <c r="G2421" s="93"/>
    </row>
    <row r="2422" spans="2:7" x14ac:dyDescent="0.2">
      <c r="B2422" s="92"/>
      <c r="C2422" s="93"/>
      <c r="D2422" s="93"/>
      <c r="E2422" s="94" t="str">
        <f t="shared" si="37"/>
        <v/>
      </c>
      <c r="F2422" s="95"/>
      <c r="G2422" s="93"/>
    </row>
    <row r="2423" spans="2:7" x14ac:dyDescent="0.2">
      <c r="B2423" s="92"/>
      <c r="C2423" s="93"/>
      <c r="D2423" s="93"/>
      <c r="E2423" s="94" t="str">
        <f t="shared" si="37"/>
        <v/>
      </c>
      <c r="F2423" s="95"/>
      <c r="G2423" s="93"/>
    </row>
    <row r="2424" spans="2:7" x14ac:dyDescent="0.2">
      <c r="B2424" s="92"/>
      <c r="C2424" s="93"/>
      <c r="D2424" s="93"/>
      <c r="E2424" s="94" t="str">
        <f t="shared" si="37"/>
        <v/>
      </c>
      <c r="F2424" s="95"/>
      <c r="G2424" s="93"/>
    </row>
    <row r="2425" spans="2:7" x14ac:dyDescent="0.2">
      <c r="B2425" s="92"/>
      <c r="C2425" s="93"/>
      <c r="D2425" s="93"/>
      <c r="E2425" s="94" t="str">
        <f t="shared" si="37"/>
        <v/>
      </c>
      <c r="F2425" s="95"/>
      <c r="G2425" s="93"/>
    </row>
    <row r="2426" spans="2:7" x14ac:dyDescent="0.2">
      <c r="B2426" s="92"/>
      <c r="C2426" s="93"/>
      <c r="D2426" s="93"/>
      <c r="E2426" s="94" t="str">
        <f t="shared" si="37"/>
        <v/>
      </c>
      <c r="F2426" s="95"/>
      <c r="G2426" s="93"/>
    </row>
    <row r="2427" spans="2:7" x14ac:dyDescent="0.2">
      <c r="B2427" s="92"/>
      <c r="C2427" s="93"/>
      <c r="D2427" s="93"/>
      <c r="E2427" s="94" t="str">
        <f t="shared" si="37"/>
        <v/>
      </c>
      <c r="F2427" s="95"/>
      <c r="G2427" s="93"/>
    </row>
    <row r="2428" spans="2:7" x14ac:dyDescent="0.2">
      <c r="B2428" s="92"/>
      <c r="C2428" s="93"/>
      <c r="D2428" s="93"/>
      <c r="E2428" s="94" t="str">
        <f t="shared" si="37"/>
        <v/>
      </c>
      <c r="F2428" s="95"/>
      <c r="G2428" s="93"/>
    </row>
    <row r="2429" spans="2:7" x14ac:dyDescent="0.2">
      <c r="B2429" s="92"/>
      <c r="C2429" s="93"/>
      <c r="D2429" s="93"/>
      <c r="E2429" s="94" t="str">
        <f t="shared" si="37"/>
        <v/>
      </c>
      <c r="F2429" s="95"/>
      <c r="G2429" s="93"/>
    </row>
    <row r="2430" spans="2:7" x14ac:dyDescent="0.2">
      <c r="B2430" s="92"/>
      <c r="C2430" s="93"/>
      <c r="D2430" s="93"/>
      <c r="E2430" s="94" t="str">
        <f t="shared" si="37"/>
        <v/>
      </c>
      <c r="F2430" s="95"/>
      <c r="G2430" s="93"/>
    </row>
    <row r="2431" spans="2:7" x14ac:dyDescent="0.2">
      <c r="B2431" s="92"/>
      <c r="C2431" s="93"/>
      <c r="D2431" s="93"/>
      <c r="E2431" s="94" t="str">
        <f t="shared" si="37"/>
        <v/>
      </c>
      <c r="F2431" s="95"/>
      <c r="G2431" s="93"/>
    </row>
    <row r="2432" spans="2:7" x14ac:dyDescent="0.2">
      <c r="B2432" s="92"/>
      <c r="C2432" s="93"/>
      <c r="D2432" s="93"/>
      <c r="E2432" s="94" t="str">
        <f t="shared" si="37"/>
        <v/>
      </c>
      <c r="F2432" s="95"/>
      <c r="G2432" s="93"/>
    </row>
    <row r="2433" spans="2:7" x14ac:dyDescent="0.2">
      <c r="B2433" s="92"/>
      <c r="C2433" s="93"/>
      <c r="D2433" s="93"/>
      <c r="E2433" s="94" t="str">
        <f t="shared" si="37"/>
        <v/>
      </c>
      <c r="F2433" s="95"/>
      <c r="G2433" s="93"/>
    </row>
    <row r="2434" spans="2:7" x14ac:dyDescent="0.2">
      <c r="B2434" s="92"/>
      <c r="C2434" s="93"/>
      <c r="D2434" s="93"/>
      <c r="E2434" s="94" t="str">
        <f t="shared" si="37"/>
        <v/>
      </c>
      <c r="F2434" s="95"/>
      <c r="G2434" s="93"/>
    </row>
    <row r="2435" spans="2:7" x14ac:dyDescent="0.2">
      <c r="B2435" s="92"/>
      <c r="C2435" s="93"/>
      <c r="D2435" s="93"/>
      <c r="E2435" s="94" t="str">
        <f t="shared" si="37"/>
        <v/>
      </c>
      <c r="F2435" s="95"/>
      <c r="G2435" s="93"/>
    </row>
    <row r="2436" spans="2:7" x14ac:dyDescent="0.2">
      <c r="B2436" s="92"/>
      <c r="C2436" s="93"/>
      <c r="D2436" s="93"/>
      <c r="E2436" s="94" t="str">
        <f t="shared" si="37"/>
        <v/>
      </c>
      <c r="F2436" s="95"/>
      <c r="G2436" s="93"/>
    </row>
    <row r="2437" spans="2:7" x14ac:dyDescent="0.2">
      <c r="B2437" s="92"/>
      <c r="C2437" s="93"/>
      <c r="D2437" s="93"/>
      <c r="E2437" s="94" t="str">
        <f t="shared" si="37"/>
        <v/>
      </c>
      <c r="F2437" s="95"/>
      <c r="G2437" s="93"/>
    </row>
    <row r="2438" spans="2:7" x14ac:dyDescent="0.2">
      <c r="B2438" s="92"/>
      <c r="C2438" s="93"/>
      <c r="D2438" s="93"/>
      <c r="E2438" s="94" t="str">
        <f t="shared" ref="E2438:E2472" si="38">IF(C2438&lt;&gt;"",D2438-C2438,"")</f>
        <v/>
      </c>
      <c r="F2438" s="95"/>
      <c r="G2438" s="93"/>
    </row>
    <row r="2439" spans="2:7" x14ac:dyDescent="0.2">
      <c r="B2439" s="92"/>
      <c r="C2439" s="93"/>
      <c r="D2439" s="93"/>
      <c r="E2439" s="94" t="str">
        <f t="shared" si="38"/>
        <v/>
      </c>
      <c r="F2439" s="95"/>
      <c r="G2439" s="93"/>
    </row>
    <row r="2440" spans="2:7" x14ac:dyDescent="0.2">
      <c r="B2440" s="92"/>
      <c r="C2440" s="93"/>
      <c r="D2440" s="93"/>
      <c r="E2440" s="94" t="str">
        <f t="shared" si="38"/>
        <v/>
      </c>
      <c r="F2440" s="95"/>
      <c r="G2440" s="93"/>
    </row>
    <row r="2441" spans="2:7" x14ac:dyDescent="0.2">
      <c r="B2441" s="92"/>
      <c r="C2441" s="93"/>
      <c r="D2441" s="93"/>
      <c r="E2441" s="94" t="str">
        <f t="shared" si="38"/>
        <v/>
      </c>
      <c r="F2441" s="95"/>
      <c r="G2441" s="93"/>
    </row>
    <row r="2442" spans="2:7" x14ac:dyDescent="0.2">
      <c r="B2442" s="92"/>
      <c r="C2442" s="93"/>
      <c r="D2442" s="93"/>
      <c r="E2442" s="94" t="str">
        <f t="shared" si="38"/>
        <v/>
      </c>
      <c r="F2442" s="95"/>
      <c r="G2442" s="93"/>
    </row>
    <row r="2443" spans="2:7" x14ac:dyDescent="0.2">
      <c r="B2443" s="92"/>
      <c r="C2443" s="93"/>
      <c r="D2443" s="93"/>
      <c r="E2443" s="94" t="str">
        <f t="shared" si="38"/>
        <v/>
      </c>
      <c r="F2443" s="95"/>
      <c r="G2443" s="93"/>
    </row>
    <row r="2444" spans="2:7" x14ac:dyDescent="0.2">
      <c r="B2444" s="92"/>
      <c r="C2444" s="93"/>
      <c r="D2444" s="93"/>
      <c r="E2444" s="94" t="str">
        <f t="shared" si="38"/>
        <v/>
      </c>
      <c r="F2444" s="95"/>
      <c r="G2444" s="93"/>
    </row>
    <row r="2445" spans="2:7" x14ac:dyDescent="0.2">
      <c r="B2445" s="92"/>
      <c r="C2445" s="93"/>
      <c r="D2445" s="93"/>
      <c r="E2445" s="94" t="str">
        <f t="shared" si="38"/>
        <v/>
      </c>
      <c r="F2445" s="95"/>
      <c r="G2445" s="93"/>
    </row>
    <row r="2446" spans="2:7" x14ac:dyDescent="0.2">
      <c r="B2446" s="92"/>
      <c r="C2446" s="93"/>
      <c r="D2446" s="93"/>
      <c r="E2446" s="94" t="str">
        <f t="shared" si="38"/>
        <v/>
      </c>
      <c r="F2446" s="95"/>
      <c r="G2446" s="93"/>
    </row>
    <row r="2447" spans="2:7" x14ac:dyDescent="0.2">
      <c r="B2447" s="92"/>
      <c r="C2447" s="93"/>
      <c r="D2447" s="93"/>
      <c r="E2447" s="94" t="str">
        <f t="shared" si="38"/>
        <v/>
      </c>
      <c r="F2447" s="95"/>
      <c r="G2447" s="93"/>
    </row>
    <row r="2448" spans="2:7" x14ac:dyDescent="0.2">
      <c r="B2448" s="92"/>
      <c r="C2448" s="93"/>
      <c r="D2448" s="93"/>
      <c r="E2448" s="94" t="str">
        <f t="shared" si="38"/>
        <v/>
      </c>
      <c r="F2448" s="95"/>
      <c r="G2448" s="93"/>
    </row>
    <row r="2449" spans="2:7" x14ac:dyDescent="0.2">
      <c r="B2449" s="92"/>
      <c r="C2449" s="93"/>
      <c r="D2449" s="93"/>
      <c r="E2449" s="94" t="str">
        <f t="shared" si="38"/>
        <v/>
      </c>
      <c r="F2449" s="95"/>
      <c r="G2449" s="93"/>
    </row>
    <row r="2450" spans="2:7" x14ac:dyDescent="0.2">
      <c r="B2450" s="92"/>
      <c r="C2450" s="93"/>
      <c r="D2450" s="93"/>
      <c r="E2450" s="94" t="str">
        <f t="shared" si="38"/>
        <v/>
      </c>
      <c r="F2450" s="95"/>
      <c r="G2450" s="93"/>
    </row>
    <row r="2451" spans="2:7" x14ac:dyDescent="0.2">
      <c r="B2451" s="92"/>
      <c r="C2451" s="93"/>
      <c r="D2451" s="93"/>
      <c r="E2451" s="94" t="str">
        <f t="shared" si="38"/>
        <v/>
      </c>
      <c r="F2451" s="95"/>
      <c r="G2451" s="93"/>
    </row>
    <row r="2452" spans="2:7" x14ac:dyDescent="0.2">
      <c r="B2452" s="92"/>
      <c r="C2452" s="93"/>
      <c r="D2452" s="93"/>
      <c r="E2452" s="94" t="str">
        <f t="shared" si="38"/>
        <v/>
      </c>
      <c r="F2452" s="95"/>
      <c r="G2452" s="93"/>
    </row>
    <row r="2453" spans="2:7" x14ac:dyDescent="0.2">
      <c r="B2453" s="92"/>
      <c r="C2453" s="93"/>
      <c r="D2453" s="93"/>
      <c r="E2453" s="94" t="str">
        <f t="shared" si="38"/>
        <v/>
      </c>
      <c r="F2453" s="95"/>
      <c r="G2453" s="93"/>
    </row>
    <row r="2454" spans="2:7" x14ac:dyDescent="0.2">
      <c r="B2454" s="92"/>
      <c r="C2454" s="93"/>
      <c r="D2454" s="93"/>
      <c r="E2454" s="94" t="str">
        <f t="shared" si="38"/>
        <v/>
      </c>
      <c r="F2454" s="95"/>
      <c r="G2454" s="93"/>
    </row>
    <row r="2455" spans="2:7" x14ac:dyDescent="0.2">
      <c r="B2455" s="92"/>
      <c r="C2455" s="93"/>
      <c r="D2455" s="93"/>
      <c r="E2455" s="94" t="str">
        <f t="shared" si="38"/>
        <v/>
      </c>
      <c r="F2455" s="95"/>
      <c r="G2455" s="93"/>
    </row>
    <row r="2456" spans="2:7" x14ac:dyDescent="0.2">
      <c r="B2456" s="92"/>
      <c r="C2456" s="93"/>
      <c r="D2456" s="93"/>
      <c r="E2456" s="94" t="str">
        <f t="shared" si="38"/>
        <v/>
      </c>
      <c r="F2456" s="95"/>
      <c r="G2456" s="93"/>
    </row>
    <row r="2457" spans="2:7" x14ac:dyDescent="0.2">
      <c r="B2457" s="92"/>
      <c r="C2457" s="93"/>
      <c r="D2457" s="93"/>
      <c r="E2457" s="94" t="str">
        <f t="shared" si="38"/>
        <v/>
      </c>
      <c r="F2457" s="95"/>
      <c r="G2457" s="93"/>
    </row>
    <row r="2458" spans="2:7" x14ac:dyDescent="0.2">
      <c r="B2458" s="92"/>
      <c r="C2458" s="93"/>
      <c r="D2458" s="93"/>
      <c r="E2458" s="94" t="str">
        <f t="shared" si="38"/>
        <v/>
      </c>
      <c r="F2458" s="95"/>
      <c r="G2458" s="93"/>
    </row>
    <row r="2459" spans="2:7" x14ac:dyDescent="0.2">
      <c r="B2459" s="92"/>
      <c r="C2459" s="93"/>
      <c r="D2459" s="93"/>
      <c r="E2459" s="94" t="str">
        <f t="shared" si="38"/>
        <v/>
      </c>
      <c r="F2459" s="95"/>
      <c r="G2459" s="93"/>
    </row>
    <row r="2460" spans="2:7" x14ac:dyDescent="0.2">
      <c r="B2460" s="92"/>
      <c r="C2460" s="93"/>
      <c r="D2460" s="93"/>
      <c r="E2460" s="94" t="str">
        <f t="shared" si="38"/>
        <v/>
      </c>
      <c r="F2460" s="95"/>
      <c r="G2460" s="93"/>
    </row>
    <row r="2461" spans="2:7" x14ac:dyDescent="0.2">
      <c r="B2461" s="92"/>
      <c r="C2461" s="93"/>
      <c r="D2461" s="93"/>
      <c r="E2461" s="94" t="str">
        <f t="shared" si="38"/>
        <v/>
      </c>
      <c r="F2461" s="95"/>
      <c r="G2461" s="93"/>
    </row>
    <row r="2462" spans="2:7" x14ac:dyDescent="0.2">
      <c r="B2462" s="92"/>
      <c r="C2462" s="93"/>
      <c r="D2462" s="93"/>
      <c r="E2462" s="94" t="str">
        <f t="shared" si="38"/>
        <v/>
      </c>
      <c r="F2462" s="95"/>
      <c r="G2462" s="93"/>
    </row>
    <row r="2463" spans="2:7" x14ac:dyDescent="0.2">
      <c r="B2463" s="92"/>
      <c r="C2463" s="93"/>
      <c r="D2463" s="93"/>
      <c r="E2463" s="94" t="str">
        <f t="shared" si="38"/>
        <v/>
      </c>
      <c r="F2463" s="95"/>
      <c r="G2463" s="93"/>
    </row>
    <row r="2464" spans="2:7" x14ac:dyDescent="0.2">
      <c r="B2464" s="92"/>
      <c r="C2464" s="93"/>
      <c r="D2464" s="93"/>
      <c r="E2464" s="94" t="str">
        <f t="shared" si="38"/>
        <v/>
      </c>
      <c r="F2464" s="95"/>
      <c r="G2464" s="93"/>
    </row>
    <row r="2465" spans="2:7" x14ac:dyDescent="0.2">
      <c r="B2465" s="92"/>
      <c r="C2465" s="93"/>
      <c r="D2465" s="93"/>
      <c r="E2465" s="94" t="str">
        <f t="shared" si="38"/>
        <v/>
      </c>
      <c r="F2465" s="95"/>
      <c r="G2465" s="93"/>
    </row>
    <row r="2466" spans="2:7" x14ac:dyDescent="0.2">
      <c r="B2466" s="92"/>
      <c r="C2466" s="93"/>
      <c r="D2466" s="93"/>
      <c r="E2466" s="94" t="str">
        <f t="shared" si="38"/>
        <v/>
      </c>
      <c r="F2466" s="95"/>
      <c r="G2466" s="93"/>
    </row>
    <row r="2467" spans="2:7" x14ac:dyDescent="0.2">
      <c r="B2467" s="92"/>
      <c r="C2467" s="93"/>
      <c r="D2467" s="93"/>
      <c r="E2467" s="94" t="str">
        <f t="shared" si="38"/>
        <v/>
      </c>
      <c r="F2467" s="95"/>
      <c r="G2467" s="93"/>
    </row>
    <row r="2468" spans="2:7" x14ac:dyDescent="0.2">
      <c r="B2468" s="92"/>
      <c r="C2468" s="93"/>
      <c r="D2468" s="93"/>
      <c r="E2468" s="94" t="str">
        <f t="shared" si="38"/>
        <v/>
      </c>
      <c r="F2468" s="95"/>
      <c r="G2468" s="93"/>
    </row>
    <row r="2469" spans="2:7" x14ac:dyDescent="0.2">
      <c r="B2469" s="92"/>
      <c r="C2469" s="93"/>
      <c r="D2469" s="93"/>
      <c r="E2469" s="94" t="str">
        <f t="shared" si="38"/>
        <v/>
      </c>
      <c r="F2469" s="95"/>
      <c r="G2469" s="93"/>
    </row>
    <row r="2470" spans="2:7" x14ac:dyDescent="0.2">
      <c r="B2470" s="92"/>
      <c r="C2470" s="93"/>
      <c r="D2470" s="93"/>
      <c r="E2470" s="94" t="str">
        <f t="shared" si="38"/>
        <v/>
      </c>
      <c r="F2470" s="95"/>
      <c r="G2470" s="93"/>
    </row>
    <row r="2471" spans="2:7" x14ac:dyDescent="0.2">
      <c r="B2471" s="92"/>
      <c r="C2471" s="93"/>
      <c r="D2471" s="93"/>
      <c r="E2471" s="94" t="str">
        <f t="shared" si="38"/>
        <v/>
      </c>
      <c r="F2471" s="95"/>
      <c r="G2471" s="93"/>
    </row>
    <row r="2472" spans="2:7" x14ac:dyDescent="0.2">
      <c r="B2472" s="92"/>
      <c r="C2472" s="93"/>
      <c r="D2472" s="93"/>
      <c r="E2472" s="94" t="str">
        <f t="shared" si="38"/>
        <v/>
      </c>
      <c r="F2472" s="95"/>
      <c r="G2472" s="93"/>
    </row>
  </sheetData>
  <autoFilter ref="B3:G3"/>
  <mergeCells count="2">
    <mergeCell ref="B1:B2"/>
    <mergeCell ref="A4:A3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2472"/>
  <sheetViews>
    <sheetView showGridLines="0" showRowColHeaders="0" workbookViewId="0">
      <selection activeCell="C9" sqref="C9"/>
    </sheetView>
  </sheetViews>
  <sheetFormatPr defaultRowHeight="12.75" x14ac:dyDescent="0.2"/>
  <cols>
    <col min="2" max="2" width="36.42578125" customWidth="1"/>
    <col min="3" max="3" width="52.7109375" customWidth="1"/>
    <col min="4" max="4" width="27.7109375" bestFit="1" customWidth="1"/>
    <col min="5" max="5" width="62.5703125" customWidth="1"/>
    <col min="6" max="6" width="30.42578125" hidden="1" customWidth="1"/>
    <col min="7" max="7" width="30.5703125" hidden="1" customWidth="1"/>
    <col min="8" max="10" width="25.28515625" hidden="1" customWidth="1"/>
    <col min="11" max="11" width="28.5703125" bestFit="1" customWidth="1"/>
  </cols>
  <sheetData>
    <row r="1" spans="1:11" ht="12.75" customHeight="1" x14ac:dyDescent="0.2">
      <c r="B1" s="140" t="s">
        <v>129</v>
      </c>
      <c r="C1" s="140"/>
      <c r="D1" s="89"/>
      <c r="E1" s="89"/>
      <c r="F1" s="89"/>
    </row>
    <row r="2" spans="1:11" ht="46.5" customHeight="1" x14ac:dyDescent="0.2">
      <c r="B2" s="140"/>
      <c r="C2" s="140"/>
      <c r="D2" s="89"/>
      <c r="E2" s="89"/>
      <c r="F2" s="89"/>
    </row>
    <row r="3" spans="1:11" ht="15.75" x14ac:dyDescent="0.25">
      <c r="B3" s="90" t="s">
        <v>0</v>
      </c>
      <c r="C3" s="90" t="s">
        <v>134</v>
      </c>
      <c r="D3" s="90" t="s">
        <v>131</v>
      </c>
      <c r="E3" s="90" t="s">
        <v>126</v>
      </c>
      <c r="F3" s="90" t="s">
        <v>127</v>
      </c>
      <c r="G3" s="90" t="s">
        <v>0</v>
      </c>
      <c r="H3" s="90" t="s">
        <v>130</v>
      </c>
      <c r="I3" s="90" t="s">
        <v>131</v>
      </c>
      <c r="J3" s="90" t="s">
        <v>126</v>
      </c>
    </row>
    <row r="4" spans="1:11" ht="3.75" customHeight="1" x14ac:dyDescent="0.25">
      <c r="A4" s="139" t="s">
        <v>128</v>
      </c>
      <c r="B4" s="116">
        <v>43641</v>
      </c>
      <c r="C4" s="91" t="s">
        <v>137</v>
      </c>
      <c r="D4" s="91" t="s">
        <v>132</v>
      </c>
      <c r="E4" s="91"/>
      <c r="F4" s="91" t="s">
        <v>135</v>
      </c>
      <c r="G4" s="119">
        <v>43481.636064814818</v>
      </c>
    </row>
    <row r="5" spans="1:11" x14ac:dyDescent="0.2">
      <c r="A5" s="139"/>
      <c r="B5" s="93"/>
      <c r="C5" s="97"/>
      <c r="D5" s="118"/>
      <c r="E5" s="98"/>
      <c r="F5" s="100">
        <v>1</v>
      </c>
      <c r="G5" s="101">
        <f>B5</f>
        <v>0</v>
      </c>
      <c r="H5" s="101">
        <f t="shared" ref="H5:J5" si="0">C5</f>
        <v>0</v>
      </c>
      <c r="I5" s="101">
        <f t="shared" si="0"/>
        <v>0</v>
      </c>
      <c r="J5" s="101">
        <f t="shared" si="0"/>
        <v>0</v>
      </c>
      <c r="K5" s="99"/>
    </row>
    <row r="6" spans="1:11" x14ac:dyDescent="0.2">
      <c r="A6" s="139"/>
      <c r="B6" s="93"/>
      <c r="C6" s="97"/>
      <c r="D6" s="93"/>
      <c r="E6" s="98"/>
      <c r="F6" s="100">
        <v>2</v>
      </c>
      <c r="G6" s="101">
        <f t="shared" ref="G6:G69" si="1">B6</f>
        <v>0</v>
      </c>
      <c r="H6" s="101">
        <f t="shared" ref="H6:H69" si="2">C6</f>
        <v>0</v>
      </c>
      <c r="I6" s="101">
        <f t="shared" ref="I6:I69" si="3">D6</f>
        <v>0</v>
      </c>
      <c r="J6" s="101">
        <f t="shared" ref="J6:J69" si="4">E6</f>
        <v>0</v>
      </c>
      <c r="K6" s="99"/>
    </row>
    <row r="7" spans="1:11" x14ac:dyDescent="0.2">
      <c r="A7" s="139"/>
      <c r="B7" s="93"/>
      <c r="C7" s="97"/>
      <c r="D7" s="93"/>
      <c r="E7" s="98"/>
      <c r="F7" s="100">
        <v>3</v>
      </c>
      <c r="G7" s="101">
        <f t="shared" si="1"/>
        <v>0</v>
      </c>
      <c r="H7" s="101">
        <f t="shared" si="2"/>
        <v>0</v>
      </c>
      <c r="I7" s="101">
        <f t="shared" si="3"/>
        <v>0</v>
      </c>
      <c r="J7" s="101">
        <f t="shared" si="4"/>
        <v>0</v>
      </c>
      <c r="K7" s="102"/>
    </row>
    <row r="8" spans="1:11" x14ac:dyDescent="0.2">
      <c r="A8" s="139"/>
      <c r="B8" s="93"/>
      <c r="C8" s="97"/>
      <c r="D8" s="93"/>
      <c r="E8" s="98"/>
      <c r="F8" s="100">
        <v>4</v>
      </c>
      <c r="G8" s="101">
        <f t="shared" si="1"/>
        <v>0</v>
      </c>
      <c r="H8" s="101">
        <f t="shared" si="2"/>
        <v>0</v>
      </c>
      <c r="I8" s="101">
        <f t="shared" si="3"/>
        <v>0</v>
      </c>
      <c r="J8" s="101">
        <f t="shared" si="4"/>
        <v>0</v>
      </c>
      <c r="K8" s="99"/>
    </row>
    <row r="9" spans="1:11" x14ac:dyDescent="0.2">
      <c r="A9" s="139"/>
      <c r="B9" s="93"/>
      <c r="C9" s="97"/>
      <c r="D9" s="93"/>
      <c r="E9" s="98"/>
      <c r="F9" s="100">
        <v>5</v>
      </c>
      <c r="G9" s="101">
        <f t="shared" si="1"/>
        <v>0</v>
      </c>
      <c r="H9" s="101">
        <f t="shared" si="2"/>
        <v>0</v>
      </c>
      <c r="I9" s="101">
        <f t="shared" si="3"/>
        <v>0</v>
      </c>
      <c r="J9" s="101">
        <f t="shared" si="4"/>
        <v>0</v>
      </c>
      <c r="K9" s="99"/>
    </row>
    <row r="10" spans="1:11" x14ac:dyDescent="0.2">
      <c r="A10" s="139"/>
      <c r="B10" s="93"/>
      <c r="C10" s="97"/>
      <c r="D10" s="93"/>
      <c r="E10" s="98"/>
      <c r="F10" s="100">
        <v>6</v>
      </c>
      <c r="G10" s="101">
        <f t="shared" si="1"/>
        <v>0</v>
      </c>
      <c r="H10" s="101">
        <f t="shared" si="2"/>
        <v>0</v>
      </c>
      <c r="I10" s="101">
        <f t="shared" si="3"/>
        <v>0</v>
      </c>
      <c r="J10" s="101">
        <f t="shared" si="4"/>
        <v>0</v>
      </c>
      <c r="K10" s="99"/>
    </row>
    <row r="11" spans="1:11" x14ac:dyDescent="0.2">
      <c r="A11" s="139"/>
      <c r="B11" s="93"/>
      <c r="C11" s="97"/>
      <c r="D11" s="93"/>
      <c r="E11" s="98"/>
      <c r="F11" s="100">
        <v>7</v>
      </c>
      <c r="G11" s="101">
        <f t="shared" si="1"/>
        <v>0</v>
      </c>
      <c r="H11" s="101">
        <f t="shared" si="2"/>
        <v>0</v>
      </c>
      <c r="I11" s="101">
        <f t="shared" si="3"/>
        <v>0</v>
      </c>
      <c r="J11" s="101">
        <f t="shared" si="4"/>
        <v>0</v>
      </c>
      <c r="K11" s="99"/>
    </row>
    <row r="12" spans="1:11" x14ac:dyDescent="0.2">
      <c r="A12" s="139"/>
      <c r="B12" s="93"/>
      <c r="C12" s="97"/>
      <c r="D12" s="93"/>
      <c r="E12" s="98"/>
      <c r="F12" s="100">
        <v>8</v>
      </c>
      <c r="G12" s="101">
        <f t="shared" si="1"/>
        <v>0</v>
      </c>
      <c r="H12" s="101">
        <f t="shared" si="2"/>
        <v>0</v>
      </c>
      <c r="I12" s="101">
        <f t="shared" si="3"/>
        <v>0</v>
      </c>
      <c r="J12" s="101">
        <f t="shared" si="4"/>
        <v>0</v>
      </c>
      <c r="K12" s="99"/>
    </row>
    <row r="13" spans="1:11" x14ac:dyDescent="0.2">
      <c r="A13" s="139"/>
      <c r="B13" s="93"/>
      <c r="C13" s="97"/>
      <c r="D13" s="93"/>
      <c r="E13" s="98"/>
      <c r="F13" s="100">
        <v>9</v>
      </c>
      <c r="G13" s="101">
        <f t="shared" si="1"/>
        <v>0</v>
      </c>
      <c r="H13" s="101">
        <f t="shared" si="2"/>
        <v>0</v>
      </c>
      <c r="I13" s="101">
        <f t="shared" si="3"/>
        <v>0</v>
      </c>
      <c r="J13" s="101">
        <f t="shared" si="4"/>
        <v>0</v>
      </c>
      <c r="K13" s="99"/>
    </row>
    <row r="14" spans="1:11" x14ac:dyDescent="0.2">
      <c r="A14" s="139"/>
      <c r="B14" s="93"/>
      <c r="C14" s="97"/>
      <c r="D14" s="93"/>
      <c r="E14" s="98"/>
      <c r="F14" s="100">
        <v>10</v>
      </c>
      <c r="G14" s="101">
        <f t="shared" si="1"/>
        <v>0</v>
      </c>
      <c r="H14" s="101">
        <f t="shared" si="2"/>
        <v>0</v>
      </c>
      <c r="I14" s="101">
        <f t="shared" si="3"/>
        <v>0</v>
      </c>
      <c r="J14" s="101">
        <f t="shared" si="4"/>
        <v>0</v>
      </c>
      <c r="K14" s="99"/>
    </row>
    <row r="15" spans="1:11" x14ac:dyDescent="0.2">
      <c r="A15" s="139"/>
      <c r="B15" s="93"/>
      <c r="C15" s="97"/>
      <c r="D15" s="93"/>
      <c r="E15" s="98"/>
      <c r="F15" s="100">
        <v>11</v>
      </c>
      <c r="G15" s="101">
        <f t="shared" si="1"/>
        <v>0</v>
      </c>
      <c r="H15" s="101">
        <f t="shared" si="2"/>
        <v>0</v>
      </c>
      <c r="I15" s="101">
        <f t="shared" si="3"/>
        <v>0</v>
      </c>
      <c r="J15" s="101">
        <f t="shared" si="4"/>
        <v>0</v>
      </c>
      <c r="K15" s="99"/>
    </row>
    <row r="16" spans="1:11" x14ac:dyDescent="0.2">
      <c r="A16" s="139"/>
      <c r="B16" s="93"/>
      <c r="C16" s="97"/>
      <c r="D16" s="93"/>
      <c r="E16" s="98"/>
      <c r="F16" s="100">
        <v>12</v>
      </c>
      <c r="G16" s="101">
        <f t="shared" si="1"/>
        <v>0</v>
      </c>
      <c r="H16" s="101">
        <f t="shared" si="2"/>
        <v>0</v>
      </c>
      <c r="I16" s="101">
        <f t="shared" si="3"/>
        <v>0</v>
      </c>
      <c r="J16" s="101">
        <f t="shared" si="4"/>
        <v>0</v>
      </c>
      <c r="K16" s="99"/>
    </row>
    <row r="17" spans="1:11" x14ac:dyDescent="0.2">
      <c r="A17" s="139"/>
      <c r="B17" s="93"/>
      <c r="C17" s="97"/>
      <c r="D17" s="93"/>
      <c r="E17" s="98"/>
      <c r="F17" s="100">
        <v>13</v>
      </c>
      <c r="G17" s="101">
        <f t="shared" si="1"/>
        <v>0</v>
      </c>
      <c r="H17" s="101">
        <f t="shared" si="2"/>
        <v>0</v>
      </c>
      <c r="I17" s="101">
        <f t="shared" si="3"/>
        <v>0</v>
      </c>
      <c r="J17" s="101">
        <f t="shared" si="4"/>
        <v>0</v>
      </c>
      <c r="K17" s="99"/>
    </row>
    <row r="18" spans="1:11" x14ac:dyDescent="0.2">
      <c r="A18" s="139"/>
      <c r="B18" s="93"/>
      <c r="C18" s="97"/>
      <c r="D18" s="93"/>
      <c r="E18" s="98"/>
      <c r="F18" s="100">
        <v>14</v>
      </c>
      <c r="G18" s="101">
        <f t="shared" si="1"/>
        <v>0</v>
      </c>
      <c r="H18" s="101">
        <f t="shared" si="2"/>
        <v>0</v>
      </c>
      <c r="I18" s="101">
        <f t="shared" si="3"/>
        <v>0</v>
      </c>
      <c r="J18" s="101">
        <f t="shared" si="4"/>
        <v>0</v>
      </c>
      <c r="K18" s="99"/>
    </row>
    <row r="19" spans="1:11" x14ac:dyDescent="0.2">
      <c r="A19" s="139"/>
      <c r="B19" s="93"/>
      <c r="C19" s="97"/>
      <c r="D19" s="93"/>
      <c r="E19" s="98"/>
      <c r="F19" s="100">
        <v>15</v>
      </c>
      <c r="G19" s="101">
        <f t="shared" si="1"/>
        <v>0</v>
      </c>
      <c r="H19" s="101">
        <f t="shared" si="2"/>
        <v>0</v>
      </c>
      <c r="I19" s="101">
        <f t="shared" si="3"/>
        <v>0</v>
      </c>
      <c r="J19" s="101">
        <f t="shared" si="4"/>
        <v>0</v>
      </c>
      <c r="K19" s="99"/>
    </row>
    <row r="20" spans="1:11" x14ac:dyDescent="0.2">
      <c r="A20" s="139"/>
      <c r="B20" s="93"/>
      <c r="C20" s="97"/>
      <c r="D20" s="93"/>
      <c r="E20" s="98"/>
      <c r="F20" s="100">
        <v>16</v>
      </c>
      <c r="G20" s="101">
        <f t="shared" si="1"/>
        <v>0</v>
      </c>
      <c r="H20" s="101">
        <f t="shared" si="2"/>
        <v>0</v>
      </c>
      <c r="I20" s="101">
        <f t="shared" si="3"/>
        <v>0</v>
      </c>
      <c r="J20" s="101">
        <f t="shared" si="4"/>
        <v>0</v>
      </c>
      <c r="K20" s="99"/>
    </row>
    <row r="21" spans="1:11" x14ac:dyDescent="0.2">
      <c r="A21" s="139"/>
      <c r="B21" s="93"/>
      <c r="C21" s="97"/>
      <c r="D21" s="93"/>
      <c r="E21" s="98"/>
      <c r="F21" s="100">
        <v>17</v>
      </c>
      <c r="G21" s="101">
        <f t="shared" si="1"/>
        <v>0</v>
      </c>
      <c r="H21" s="101">
        <f t="shared" si="2"/>
        <v>0</v>
      </c>
      <c r="I21" s="101">
        <f t="shared" si="3"/>
        <v>0</v>
      </c>
      <c r="J21" s="101">
        <f t="shared" si="4"/>
        <v>0</v>
      </c>
      <c r="K21" s="99"/>
    </row>
    <row r="22" spans="1:11" x14ac:dyDescent="0.2">
      <c r="A22" s="139"/>
      <c r="B22" s="93"/>
      <c r="C22" s="97"/>
      <c r="D22" s="93"/>
      <c r="E22" s="98"/>
      <c r="F22" s="100">
        <v>18</v>
      </c>
      <c r="G22" s="101">
        <f t="shared" si="1"/>
        <v>0</v>
      </c>
      <c r="H22" s="101">
        <f t="shared" si="2"/>
        <v>0</v>
      </c>
      <c r="I22" s="101">
        <f t="shared" si="3"/>
        <v>0</v>
      </c>
      <c r="J22" s="101">
        <f t="shared" si="4"/>
        <v>0</v>
      </c>
      <c r="K22" s="99"/>
    </row>
    <row r="23" spans="1:11" x14ac:dyDescent="0.2">
      <c r="A23" s="139"/>
      <c r="B23" s="93"/>
      <c r="C23" s="97"/>
      <c r="D23" s="93"/>
      <c r="E23" s="98"/>
      <c r="F23" s="100">
        <v>19</v>
      </c>
      <c r="G23" s="101">
        <f t="shared" si="1"/>
        <v>0</v>
      </c>
      <c r="H23" s="101">
        <f t="shared" si="2"/>
        <v>0</v>
      </c>
      <c r="I23" s="101">
        <f t="shared" si="3"/>
        <v>0</v>
      </c>
      <c r="J23" s="101">
        <f t="shared" si="4"/>
        <v>0</v>
      </c>
      <c r="K23" s="99"/>
    </row>
    <row r="24" spans="1:11" x14ac:dyDescent="0.2">
      <c r="A24" s="139"/>
      <c r="B24" s="93"/>
      <c r="C24" s="97"/>
      <c r="D24" s="93"/>
      <c r="E24" s="98"/>
      <c r="F24" s="100">
        <v>20</v>
      </c>
      <c r="G24" s="101">
        <f t="shared" si="1"/>
        <v>0</v>
      </c>
      <c r="H24" s="101">
        <f t="shared" si="2"/>
        <v>0</v>
      </c>
      <c r="I24" s="101">
        <f t="shared" si="3"/>
        <v>0</v>
      </c>
      <c r="J24" s="101">
        <f t="shared" si="4"/>
        <v>0</v>
      </c>
      <c r="K24" s="99"/>
    </row>
    <row r="25" spans="1:11" x14ac:dyDescent="0.2">
      <c r="A25" s="139"/>
      <c r="B25" s="93"/>
      <c r="C25" s="97"/>
      <c r="D25" s="93"/>
      <c r="E25" s="98"/>
      <c r="F25" s="100">
        <v>21</v>
      </c>
      <c r="G25" s="101">
        <f t="shared" si="1"/>
        <v>0</v>
      </c>
      <c r="H25" s="101">
        <f t="shared" si="2"/>
        <v>0</v>
      </c>
      <c r="I25" s="101">
        <f t="shared" si="3"/>
        <v>0</v>
      </c>
      <c r="J25" s="101">
        <f t="shared" si="4"/>
        <v>0</v>
      </c>
      <c r="K25" s="99"/>
    </row>
    <row r="26" spans="1:11" x14ac:dyDescent="0.2">
      <c r="A26" s="139"/>
      <c r="B26" s="93"/>
      <c r="C26" s="97"/>
      <c r="D26" s="93"/>
      <c r="E26" s="98"/>
      <c r="F26" s="100">
        <v>22</v>
      </c>
      <c r="G26" s="101">
        <f t="shared" si="1"/>
        <v>0</v>
      </c>
      <c r="H26" s="101">
        <f t="shared" si="2"/>
        <v>0</v>
      </c>
      <c r="I26" s="101">
        <f t="shared" si="3"/>
        <v>0</v>
      </c>
      <c r="J26" s="101">
        <f t="shared" si="4"/>
        <v>0</v>
      </c>
      <c r="K26" s="99"/>
    </row>
    <row r="27" spans="1:11" x14ac:dyDescent="0.2">
      <c r="A27" s="139"/>
      <c r="B27" s="93"/>
      <c r="C27" s="97"/>
      <c r="D27" s="93"/>
      <c r="E27" s="98"/>
      <c r="F27" s="100">
        <v>23</v>
      </c>
      <c r="G27" s="101">
        <f t="shared" si="1"/>
        <v>0</v>
      </c>
      <c r="H27" s="101">
        <f t="shared" si="2"/>
        <v>0</v>
      </c>
      <c r="I27" s="101">
        <f t="shared" si="3"/>
        <v>0</v>
      </c>
      <c r="J27" s="101">
        <f t="shared" si="4"/>
        <v>0</v>
      </c>
      <c r="K27" s="99"/>
    </row>
    <row r="28" spans="1:11" x14ac:dyDescent="0.2">
      <c r="A28" s="139"/>
      <c r="B28" s="93"/>
      <c r="C28" s="97"/>
      <c r="D28" s="93"/>
      <c r="E28" s="98"/>
      <c r="F28" s="100">
        <v>24</v>
      </c>
      <c r="G28" s="101">
        <f t="shared" si="1"/>
        <v>0</v>
      </c>
      <c r="H28" s="101">
        <f t="shared" si="2"/>
        <v>0</v>
      </c>
      <c r="I28" s="101">
        <f t="shared" si="3"/>
        <v>0</v>
      </c>
      <c r="J28" s="101">
        <f t="shared" si="4"/>
        <v>0</v>
      </c>
    </row>
    <row r="29" spans="1:11" x14ac:dyDescent="0.2">
      <c r="A29" s="139"/>
      <c r="B29" s="93"/>
      <c r="C29" s="97"/>
      <c r="D29" s="93"/>
      <c r="E29" s="98"/>
      <c r="F29" s="100">
        <v>25</v>
      </c>
      <c r="G29" s="101">
        <f t="shared" si="1"/>
        <v>0</v>
      </c>
      <c r="H29" s="101">
        <f t="shared" si="2"/>
        <v>0</v>
      </c>
      <c r="I29" s="101">
        <f t="shared" si="3"/>
        <v>0</v>
      </c>
      <c r="J29" s="101">
        <f t="shared" si="4"/>
        <v>0</v>
      </c>
    </row>
    <row r="30" spans="1:11" x14ac:dyDescent="0.2">
      <c r="A30" s="139"/>
      <c r="B30" s="93"/>
      <c r="C30" s="97"/>
      <c r="D30" s="93"/>
      <c r="E30" s="98"/>
      <c r="F30" s="100">
        <v>26</v>
      </c>
      <c r="G30" s="101">
        <f t="shared" si="1"/>
        <v>0</v>
      </c>
      <c r="H30" s="101">
        <f t="shared" si="2"/>
        <v>0</v>
      </c>
      <c r="I30" s="101">
        <f t="shared" si="3"/>
        <v>0</v>
      </c>
      <c r="J30" s="101">
        <f t="shared" si="4"/>
        <v>0</v>
      </c>
    </row>
    <row r="31" spans="1:11" x14ac:dyDescent="0.2">
      <c r="A31" s="139"/>
      <c r="B31" s="93"/>
      <c r="C31" s="97"/>
      <c r="D31" s="93"/>
      <c r="E31" s="98"/>
      <c r="F31" s="100">
        <v>27</v>
      </c>
      <c r="G31" s="101">
        <f t="shared" si="1"/>
        <v>0</v>
      </c>
      <c r="H31" s="101">
        <f t="shared" si="2"/>
        <v>0</v>
      </c>
      <c r="I31" s="101">
        <f t="shared" si="3"/>
        <v>0</v>
      </c>
      <c r="J31" s="101">
        <f t="shared" si="4"/>
        <v>0</v>
      </c>
    </row>
    <row r="32" spans="1:11" x14ac:dyDescent="0.2">
      <c r="A32" s="139"/>
      <c r="B32" s="93"/>
      <c r="C32" s="97"/>
      <c r="D32" s="93"/>
      <c r="E32" s="98"/>
      <c r="F32" s="100">
        <v>28</v>
      </c>
      <c r="G32" s="101">
        <f t="shared" si="1"/>
        <v>0</v>
      </c>
      <c r="H32" s="101">
        <f t="shared" si="2"/>
        <v>0</v>
      </c>
      <c r="I32" s="101">
        <f t="shared" si="3"/>
        <v>0</v>
      </c>
      <c r="J32" s="101">
        <f t="shared" si="4"/>
        <v>0</v>
      </c>
    </row>
    <row r="33" spans="1:10" x14ac:dyDescent="0.2">
      <c r="A33" s="139"/>
      <c r="B33" s="93"/>
      <c r="C33" s="97"/>
      <c r="D33" s="93"/>
      <c r="E33" s="98"/>
      <c r="F33" s="100">
        <v>29</v>
      </c>
      <c r="G33" s="101">
        <f t="shared" si="1"/>
        <v>0</v>
      </c>
      <c r="H33" s="101">
        <f t="shared" si="2"/>
        <v>0</v>
      </c>
      <c r="I33" s="101">
        <f t="shared" si="3"/>
        <v>0</v>
      </c>
      <c r="J33" s="101">
        <f t="shared" si="4"/>
        <v>0</v>
      </c>
    </row>
    <row r="34" spans="1:10" x14ac:dyDescent="0.2">
      <c r="A34" s="139"/>
      <c r="B34" s="93"/>
      <c r="C34" s="97"/>
      <c r="D34" s="93"/>
      <c r="E34" s="98"/>
      <c r="F34" s="100">
        <v>30</v>
      </c>
      <c r="G34" s="101">
        <f t="shared" si="1"/>
        <v>0</v>
      </c>
      <c r="H34" s="101">
        <f t="shared" si="2"/>
        <v>0</v>
      </c>
      <c r="I34" s="101">
        <f t="shared" si="3"/>
        <v>0</v>
      </c>
      <c r="J34" s="101">
        <f t="shared" si="4"/>
        <v>0</v>
      </c>
    </row>
    <row r="35" spans="1:10" x14ac:dyDescent="0.2">
      <c r="A35" s="139"/>
      <c r="B35" s="93"/>
      <c r="C35" s="97"/>
      <c r="D35" s="93"/>
      <c r="E35" s="98"/>
      <c r="F35" s="100">
        <v>31</v>
      </c>
      <c r="G35" s="101">
        <f t="shared" si="1"/>
        <v>0</v>
      </c>
      <c r="H35" s="101">
        <f t="shared" si="2"/>
        <v>0</v>
      </c>
      <c r="I35" s="101">
        <f t="shared" si="3"/>
        <v>0</v>
      </c>
      <c r="J35" s="101">
        <f t="shared" si="4"/>
        <v>0</v>
      </c>
    </row>
    <row r="36" spans="1:10" x14ac:dyDescent="0.2">
      <c r="B36" s="93"/>
      <c r="C36" s="97"/>
      <c r="D36" s="93"/>
      <c r="E36" s="98"/>
      <c r="F36" s="100">
        <v>32</v>
      </c>
      <c r="G36" s="101">
        <f t="shared" si="1"/>
        <v>0</v>
      </c>
      <c r="H36" s="101">
        <f t="shared" si="2"/>
        <v>0</v>
      </c>
      <c r="I36" s="101">
        <f t="shared" si="3"/>
        <v>0</v>
      </c>
      <c r="J36" s="101">
        <f t="shared" si="4"/>
        <v>0</v>
      </c>
    </row>
    <row r="37" spans="1:10" x14ac:dyDescent="0.2">
      <c r="B37" s="93"/>
      <c r="C37" s="97"/>
      <c r="D37" s="93"/>
      <c r="E37" s="98"/>
      <c r="F37" s="100">
        <v>33</v>
      </c>
      <c r="G37" s="101">
        <f t="shared" si="1"/>
        <v>0</v>
      </c>
      <c r="H37" s="101">
        <f t="shared" si="2"/>
        <v>0</v>
      </c>
      <c r="I37" s="101">
        <f t="shared" si="3"/>
        <v>0</v>
      </c>
      <c r="J37" s="101">
        <f t="shared" si="4"/>
        <v>0</v>
      </c>
    </row>
    <row r="38" spans="1:10" x14ac:dyDescent="0.2">
      <c r="B38" s="93"/>
      <c r="C38" s="97"/>
      <c r="D38" s="93"/>
      <c r="E38" s="98"/>
      <c r="F38" s="100">
        <v>34</v>
      </c>
      <c r="G38" s="101">
        <f t="shared" si="1"/>
        <v>0</v>
      </c>
      <c r="H38" s="101">
        <f t="shared" si="2"/>
        <v>0</v>
      </c>
      <c r="I38" s="101">
        <f t="shared" si="3"/>
        <v>0</v>
      </c>
      <c r="J38" s="101">
        <f t="shared" si="4"/>
        <v>0</v>
      </c>
    </row>
    <row r="39" spans="1:10" x14ac:dyDescent="0.2">
      <c r="B39" s="93"/>
      <c r="C39" s="97"/>
      <c r="D39" s="93"/>
      <c r="E39" s="98"/>
      <c r="F39" s="100">
        <v>35</v>
      </c>
      <c r="G39" s="101">
        <f t="shared" si="1"/>
        <v>0</v>
      </c>
      <c r="H39" s="101">
        <f t="shared" si="2"/>
        <v>0</v>
      </c>
      <c r="I39" s="101">
        <f t="shared" si="3"/>
        <v>0</v>
      </c>
      <c r="J39" s="101">
        <f t="shared" si="4"/>
        <v>0</v>
      </c>
    </row>
    <row r="40" spans="1:10" x14ac:dyDescent="0.2">
      <c r="B40" s="93"/>
      <c r="C40" s="97"/>
      <c r="D40" s="93"/>
      <c r="E40" s="98"/>
      <c r="F40" s="100">
        <v>36</v>
      </c>
      <c r="G40" s="101">
        <f t="shared" si="1"/>
        <v>0</v>
      </c>
      <c r="H40" s="101">
        <f t="shared" si="2"/>
        <v>0</v>
      </c>
      <c r="I40" s="101">
        <f t="shared" si="3"/>
        <v>0</v>
      </c>
      <c r="J40" s="101">
        <f t="shared" si="4"/>
        <v>0</v>
      </c>
    </row>
    <row r="41" spans="1:10" x14ac:dyDescent="0.2">
      <c r="B41" s="93"/>
      <c r="C41" s="97"/>
      <c r="D41" s="93"/>
      <c r="E41" s="98"/>
      <c r="F41" s="100">
        <v>37</v>
      </c>
      <c r="G41" s="101">
        <f t="shared" si="1"/>
        <v>0</v>
      </c>
      <c r="H41" s="101">
        <f t="shared" si="2"/>
        <v>0</v>
      </c>
      <c r="I41" s="101">
        <f t="shared" si="3"/>
        <v>0</v>
      </c>
      <c r="J41" s="101">
        <f t="shared" si="4"/>
        <v>0</v>
      </c>
    </row>
    <row r="42" spans="1:10" x14ac:dyDescent="0.2">
      <c r="B42" s="93"/>
      <c r="C42" s="97"/>
      <c r="D42" s="93"/>
      <c r="E42" s="98"/>
      <c r="F42" s="100">
        <v>38</v>
      </c>
      <c r="G42" s="101">
        <f t="shared" si="1"/>
        <v>0</v>
      </c>
      <c r="H42" s="101">
        <f t="shared" si="2"/>
        <v>0</v>
      </c>
      <c r="I42" s="101">
        <f t="shared" si="3"/>
        <v>0</v>
      </c>
      <c r="J42" s="101">
        <f t="shared" si="4"/>
        <v>0</v>
      </c>
    </row>
    <row r="43" spans="1:10" x14ac:dyDescent="0.2">
      <c r="B43" s="93"/>
      <c r="C43" s="97"/>
      <c r="D43" s="93"/>
      <c r="E43" s="98"/>
      <c r="F43" s="100">
        <v>39</v>
      </c>
      <c r="G43" s="101">
        <f t="shared" si="1"/>
        <v>0</v>
      </c>
      <c r="H43" s="101">
        <f t="shared" si="2"/>
        <v>0</v>
      </c>
      <c r="I43" s="101">
        <f t="shared" si="3"/>
        <v>0</v>
      </c>
      <c r="J43" s="101">
        <f t="shared" si="4"/>
        <v>0</v>
      </c>
    </row>
    <row r="44" spans="1:10" x14ac:dyDescent="0.2">
      <c r="B44" s="93"/>
      <c r="C44" s="97"/>
      <c r="D44" s="93"/>
      <c r="E44" s="98"/>
      <c r="F44" s="100">
        <v>40</v>
      </c>
      <c r="G44" s="101">
        <f t="shared" si="1"/>
        <v>0</v>
      </c>
      <c r="H44" s="101">
        <f t="shared" si="2"/>
        <v>0</v>
      </c>
      <c r="I44" s="101">
        <f t="shared" si="3"/>
        <v>0</v>
      </c>
      <c r="J44" s="101">
        <f t="shared" si="4"/>
        <v>0</v>
      </c>
    </row>
    <row r="45" spans="1:10" x14ac:dyDescent="0.2">
      <c r="B45" s="93"/>
      <c r="C45" s="97"/>
      <c r="D45" s="93"/>
      <c r="E45" s="98"/>
      <c r="F45" s="100">
        <v>41</v>
      </c>
      <c r="G45" s="101">
        <f t="shared" si="1"/>
        <v>0</v>
      </c>
      <c r="H45" s="101">
        <f t="shared" si="2"/>
        <v>0</v>
      </c>
      <c r="I45" s="101">
        <f t="shared" si="3"/>
        <v>0</v>
      </c>
      <c r="J45" s="101">
        <f t="shared" si="4"/>
        <v>0</v>
      </c>
    </row>
    <row r="46" spans="1:10" x14ac:dyDescent="0.2">
      <c r="B46" s="93"/>
      <c r="C46" s="97"/>
      <c r="D46" s="93"/>
      <c r="E46" s="98"/>
      <c r="F46" s="100">
        <v>42</v>
      </c>
      <c r="G46" s="101">
        <f t="shared" si="1"/>
        <v>0</v>
      </c>
      <c r="H46" s="101">
        <f t="shared" si="2"/>
        <v>0</v>
      </c>
      <c r="I46" s="101">
        <f t="shared" si="3"/>
        <v>0</v>
      </c>
      <c r="J46" s="101">
        <f t="shared" si="4"/>
        <v>0</v>
      </c>
    </row>
    <row r="47" spans="1:10" x14ac:dyDescent="0.2">
      <c r="B47" s="93"/>
      <c r="C47" s="97"/>
      <c r="D47" s="93"/>
      <c r="E47" s="98"/>
      <c r="F47" s="100">
        <v>43</v>
      </c>
      <c r="G47" s="101">
        <f t="shared" si="1"/>
        <v>0</v>
      </c>
      <c r="H47" s="101">
        <f t="shared" si="2"/>
        <v>0</v>
      </c>
      <c r="I47" s="101">
        <f t="shared" si="3"/>
        <v>0</v>
      </c>
      <c r="J47" s="101">
        <f t="shared" si="4"/>
        <v>0</v>
      </c>
    </row>
    <row r="48" spans="1:10" x14ac:dyDescent="0.2">
      <c r="B48" s="93"/>
      <c r="C48" s="97"/>
      <c r="D48" s="93"/>
      <c r="E48" s="98"/>
      <c r="F48" s="100">
        <v>44</v>
      </c>
      <c r="G48" s="101">
        <f t="shared" si="1"/>
        <v>0</v>
      </c>
      <c r="H48" s="101">
        <f t="shared" si="2"/>
        <v>0</v>
      </c>
      <c r="I48" s="101">
        <f t="shared" si="3"/>
        <v>0</v>
      </c>
      <c r="J48" s="101">
        <f t="shared" si="4"/>
        <v>0</v>
      </c>
    </row>
    <row r="49" spans="2:10" x14ac:dyDescent="0.2">
      <c r="B49" s="93"/>
      <c r="C49" s="97"/>
      <c r="D49" s="93"/>
      <c r="E49" s="98"/>
      <c r="F49" s="100">
        <v>45</v>
      </c>
      <c r="G49" s="101">
        <f t="shared" si="1"/>
        <v>0</v>
      </c>
      <c r="H49" s="101">
        <f t="shared" si="2"/>
        <v>0</v>
      </c>
      <c r="I49" s="101">
        <f t="shared" si="3"/>
        <v>0</v>
      </c>
      <c r="J49" s="101">
        <f t="shared" si="4"/>
        <v>0</v>
      </c>
    </row>
    <row r="50" spans="2:10" x14ac:dyDescent="0.2">
      <c r="B50" s="93"/>
      <c r="C50" s="97"/>
      <c r="D50" s="93"/>
      <c r="E50" s="98"/>
      <c r="F50" s="100">
        <v>46</v>
      </c>
      <c r="G50" s="101">
        <f t="shared" si="1"/>
        <v>0</v>
      </c>
      <c r="H50" s="101">
        <f t="shared" si="2"/>
        <v>0</v>
      </c>
      <c r="I50" s="101">
        <f t="shared" si="3"/>
        <v>0</v>
      </c>
      <c r="J50" s="101">
        <f t="shared" si="4"/>
        <v>0</v>
      </c>
    </row>
    <row r="51" spans="2:10" x14ac:dyDescent="0.2">
      <c r="B51" s="93"/>
      <c r="C51" s="97"/>
      <c r="D51" s="93"/>
      <c r="E51" s="98"/>
      <c r="F51" s="100">
        <v>47</v>
      </c>
      <c r="G51" s="101">
        <f t="shared" si="1"/>
        <v>0</v>
      </c>
      <c r="H51" s="101">
        <f t="shared" si="2"/>
        <v>0</v>
      </c>
      <c r="I51" s="101">
        <f t="shared" si="3"/>
        <v>0</v>
      </c>
      <c r="J51" s="101">
        <f t="shared" si="4"/>
        <v>0</v>
      </c>
    </row>
    <row r="52" spans="2:10" x14ac:dyDescent="0.2">
      <c r="B52" s="93"/>
      <c r="C52" s="97"/>
      <c r="D52" s="93"/>
      <c r="E52" s="98"/>
      <c r="F52" s="100">
        <v>48</v>
      </c>
      <c r="G52" s="101">
        <f t="shared" si="1"/>
        <v>0</v>
      </c>
      <c r="H52" s="101">
        <f t="shared" si="2"/>
        <v>0</v>
      </c>
      <c r="I52" s="101">
        <f t="shared" si="3"/>
        <v>0</v>
      </c>
      <c r="J52" s="101">
        <f t="shared" si="4"/>
        <v>0</v>
      </c>
    </row>
    <row r="53" spans="2:10" x14ac:dyDescent="0.2">
      <c r="B53" s="93"/>
      <c r="C53" s="97"/>
      <c r="D53" s="93"/>
      <c r="E53" s="98"/>
      <c r="F53" s="100">
        <v>49</v>
      </c>
      <c r="G53" s="101">
        <f t="shared" si="1"/>
        <v>0</v>
      </c>
      <c r="H53" s="101">
        <f t="shared" si="2"/>
        <v>0</v>
      </c>
      <c r="I53" s="101">
        <f t="shared" si="3"/>
        <v>0</v>
      </c>
      <c r="J53" s="101">
        <f t="shared" si="4"/>
        <v>0</v>
      </c>
    </row>
    <row r="54" spans="2:10" x14ac:dyDescent="0.2">
      <c r="B54" s="93"/>
      <c r="C54" s="97"/>
      <c r="D54" s="93"/>
      <c r="E54" s="98"/>
      <c r="F54" s="100">
        <v>50</v>
      </c>
      <c r="G54" s="101">
        <f t="shared" si="1"/>
        <v>0</v>
      </c>
      <c r="H54" s="101">
        <f t="shared" si="2"/>
        <v>0</v>
      </c>
      <c r="I54" s="101">
        <f t="shared" si="3"/>
        <v>0</v>
      </c>
      <c r="J54" s="101">
        <f t="shared" si="4"/>
        <v>0</v>
      </c>
    </row>
    <row r="55" spans="2:10" x14ac:dyDescent="0.2">
      <c r="B55" s="93"/>
      <c r="C55" s="97"/>
      <c r="D55" s="93"/>
      <c r="E55" s="98"/>
      <c r="F55" s="100">
        <v>51</v>
      </c>
      <c r="G55" s="101">
        <f t="shared" si="1"/>
        <v>0</v>
      </c>
      <c r="H55" s="101">
        <f t="shared" si="2"/>
        <v>0</v>
      </c>
      <c r="I55" s="101">
        <f t="shared" si="3"/>
        <v>0</v>
      </c>
      <c r="J55" s="101">
        <f t="shared" si="4"/>
        <v>0</v>
      </c>
    </row>
    <row r="56" spans="2:10" x14ac:dyDescent="0.2">
      <c r="B56" s="93"/>
      <c r="C56" s="97"/>
      <c r="D56" s="93"/>
      <c r="E56" s="98"/>
      <c r="F56" s="100">
        <v>52</v>
      </c>
      <c r="G56" s="101">
        <f t="shared" si="1"/>
        <v>0</v>
      </c>
      <c r="H56" s="101">
        <f t="shared" si="2"/>
        <v>0</v>
      </c>
      <c r="I56" s="101">
        <f t="shared" si="3"/>
        <v>0</v>
      </c>
      <c r="J56" s="101">
        <f t="shared" si="4"/>
        <v>0</v>
      </c>
    </row>
    <row r="57" spans="2:10" x14ac:dyDescent="0.2">
      <c r="B57" s="93"/>
      <c r="C57" s="97"/>
      <c r="D57" s="93"/>
      <c r="E57" s="98"/>
      <c r="F57" s="100">
        <v>53</v>
      </c>
      <c r="G57" s="101">
        <f t="shared" si="1"/>
        <v>0</v>
      </c>
      <c r="H57" s="101">
        <f t="shared" si="2"/>
        <v>0</v>
      </c>
      <c r="I57" s="101">
        <f t="shared" si="3"/>
        <v>0</v>
      </c>
      <c r="J57" s="101">
        <f t="shared" si="4"/>
        <v>0</v>
      </c>
    </row>
    <row r="58" spans="2:10" x14ac:dyDescent="0.2">
      <c r="B58" s="93"/>
      <c r="C58" s="97"/>
      <c r="D58" s="93"/>
      <c r="E58" s="98"/>
      <c r="F58" s="100">
        <v>54</v>
      </c>
      <c r="G58" s="101">
        <f t="shared" si="1"/>
        <v>0</v>
      </c>
      <c r="H58" s="101">
        <f t="shared" si="2"/>
        <v>0</v>
      </c>
      <c r="I58" s="101">
        <f t="shared" si="3"/>
        <v>0</v>
      </c>
      <c r="J58" s="101">
        <f t="shared" si="4"/>
        <v>0</v>
      </c>
    </row>
    <row r="59" spans="2:10" x14ac:dyDescent="0.2">
      <c r="B59" s="93"/>
      <c r="C59" s="97"/>
      <c r="D59" s="93"/>
      <c r="E59" s="98"/>
      <c r="F59" s="100">
        <v>55</v>
      </c>
      <c r="G59" s="101">
        <f t="shared" si="1"/>
        <v>0</v>
      </c>
      <c r="H59" s="101">
        <f t="shared" si="2"/>
        <v>0</v>
      </c>
      <c r="I59" s="101">
        <f t="shared" si="3"/>
        <v>0</v>
      </c>
      <c r="J59" s="101">
        <f t="shared" si="4"/>
        <v>0</v>
      </c>
    </row>
    <row r="60" spans="2:10" x14ac:dyDescent="0.2">
      <c r="B60" s="93"/>
      <c r="C60" s="97"/>
      <c r="D60" s="93"/>
      <c r="E60" s="98"/>
      <c r="F60" s="100">
        <v>56</v>
      </c>
      <c r="G60" s="101">
        <f t="shared" si="1"/>
        <v>0</v>
      </c>
      <c r="H60" s="101">
        <f t="shared" si="2"/>
        <v>0</v>
      </c>
      <c r="I60" s="101">
        <f t="shared" si="3"/>
        <v>0</v>
      </c>
      <c r="J60" s="101">
        <f t="shared" si="4"/>
        <v>0</v>
      </c>
    </row>
    <row r="61" spans="2:10" x14ac:dyDescent="0.2">
      <c r="B61" s="93"/>
      <c r="C61" s="97"/>
      <c r="D61" s="93"/>
      <c r="E61" s="98"/>
      <c r="F61" s="100">
        <v>57</v>
      </c>
      <c r="G61" s="101">
        <f t="shared" si="1"/>
        <v>0</v>
      </c>
      <c r="H61" s="101">
        <f t="shared" si="2"/>
        <v>0</v>
      </c>
      <c r="I61" s="101">
        <f t="shared" si="3"/>
        <v>0</v>
      </c>
      <c r="J61" s="101">
        <f t="shared" si="4"/>
        <v>0</v>
      </c>
    </row>
    <row r="62" spans="2:10" x14ac:dyDescent="0.2">
      <c r="B62" s="93"/>
      <c r="C62" s="97"/>
      <c r="D62" s="93"/>
      <c r="E62" s="98"/>
      <c r="F62" s="100">
        <v>58</v>
      </c>
      <c r="G62" s="101">
        <f t="shared" si="1"/>
        <v>0</v>
      </c>
      <c r="H62" s="101">
        <f t="shared" si="2"/>
        <v>0</v>
      </c>
      <c r="I62" s="101">
        <f t="shared" si="3"/>
        <v>0</v>
      </c>
      <c r="J62" s="101">
        <f t="shared" si="4"/>
        <v>0</v>
      </c>
    </row>
    <row r="63" spans="2:10" x14ac:dyDescent="0.2">
      <c r="B63" s="93"/>
      <c r="C63" s="97"/>
      <c r="D63" s="93"/>
      <c r="E63" s="98"/>
      <c r="F63" s="100">
        <v>59</v>
      </c>
      <c r="G63" s="101">
        <f t="shared" si="1"/>
        <v>0</v>
      </c>
      <c r="H63" s="101">
        <f t="shared" si="2"/>
        <v>0</v>
      </c>
      <c r="I63" s="101">
        <f t="shared" si="3"/>
        <v>0</v>
      </c>
      <c r="J63" s="101">
        <f t="shared" si="4"/>
        <v>0</v>
      </c>
    </row>
    <row r="64" spans="2:10" x14ac:dyDescent="0.2">
      <c r="B64" s="93"/>
      <c r="C64" s="97"/>
      <c r="D64" s="93"/>
      <c r="E64" s="98"/>
      <c r="F64" s="100">
        <v>60</v>
      </c>
      <c r="G64" s="101">
        <f t="shared" si="1"/>
        <v>0</v>
      </c>
      <c r="H64" s="101">
        <f t="shared" si="2"/>
        <v>0</v>
      </c>
      <c r="I64" s="101">
        <f t="shared" si="3"/>
        <v>0</v>
      </c>
      <c r="J64" s="101">
        <f t="shared" si="4"/>
        <v>0</v>
      </c>
    </row>
    <row r="65" spans="2:10" x14ac:dyDescent="0.2">
      <c r="B65" s="93"/>
      <c r="C65" s="97"/>
      <c r="D65" s="93"/>
      <c r="E65" s="98"/>
      <c r="F65" s="100">
        <v>61</v>
      </c>
      <c r="G65" s="101">
        <f t="shared" si="1"/>
        <v>0</v>
      </c>
      <c r="H65" s="101">
        <f t="shared" si="2"/>
        <v>0</v>
      </c>
      <c r="I65" s="101">
        <f t="shared" si="3"/>
        <v>0</v>
      </c>
      <c r="J65" s="101">
        <f t="shared" si="4"/>
        <v>0</v>
      </c>
    </row>
    <row r="66" spans="2:10" x14ac:dyDescent="0.2">
      <c r="B66" s="93"/>
      <c r="C66" s="97"/>
      <c r="D66" s="93"/>
      <c r="E66" s="98"/>
      <c r="F66" s="100">
        <v>62</v>
      </c>
      <c r="G66" s="101">
        <f t="shared" si="1"/>
        <v>0</v>
      </c>
      <c r="H66" s="101">
        <f t="shared" si="2"/>
        <v>0</v>
      </c>
      <c r="I66" s="101">
        <f t="shared" si="3"/>
        <v>0</v>
      </c>
      <c r="J66" s="101">
        <f t="shared" si="4"/>
        <v>0</v>
      </c>
    </row>
    <row r="67" spans="2:10" x14ac:dyDescent="0.2">
      <c r="B67" s="93"/>
      <c r="C67" s="97"/>
      <c r="D67" s="93"/>
      <c r="E67" s="98"/>
      <c r="F67" s="100">
        <v>63</v>
      </c>
      <c r="G67" s="101">
        <f t="shared" si="1"/>
        <v>0</v>
      </c>
      <c r="H67" s="101">
        <f t="shared" si="2"/>
        <v>0</v>
      </c>
      <c r="I67" s="101">
        <f t="shared" si="3"/>
        <v>0</v>
      </c>
      <c r="J67" s="101">
        <f t="shared" si="4"/>
        <v>0</v>
      </c>
    </row>
    <row r="68" spans="2:10" x14ac:dyDescent="0.2">
      <c r="B68" s="93"/>
      <c r="C68" s="97"/>
      <c r="D68" s="93"/>
      <c r="E68" s="98"/>
      <c r="F68" s="100">
        <v>64</v>
      </c>
      <c r="G68" s="101">
        <f t="shared" si="1"/>
        <v>0</v>
      </c>
      <c r="H68" s="101">
        <f t="shared" si="2"/>
        <v>0</v>
      </c>
      <c r="I68" s="101">
        <f t="shared" si="3"/>
        <v>0</v>
      </c>
      <c r="J68" s="101">
        <f t="shared" si="4"/>
        <v>0</v>
      </c>
    </row>
    <row r="69" spans="2:10" x14ac:dyDescent="0.2">
      <c r="B69" s="93"/>
      <c r="C69" s="97"/>
      <c r="D69" s="93"/>
      <c r="E69" s="98"/>
      <c r="F69" s="100">
        <v>65</v>
      </c>
      <c r="G69" s="101">
        <f t="shared" si="1"/>
        <v>0</v>
      </c>
      <c r="H69" s="101">
        <f t="shared" si="2"/>
        <v>0</v>
      </c>
      <c r="I69" s="101">
        <f t="shared" si="3"/>
        <v>0</v>
      </c>
      <c r="J69" s="101">
        <f t="shared" si="4"/>
        <v>0</v>
      </c>
    </row>
    <row r="70" spans="2:10" x14ac:dyDescent="0.2">
      <c r="B70" s="93"/>
      <c r="C70" s="97"/>
      <c r="D70" s="93"/>
      <c r="E70" s="98"/>
      <c r="F70" s="100">
        <v>66</v>
      </c>
      <c r="G70" s="101">
        <f t="shared" ref="G70:G133" si="5">B70</f>
        <v>0</v>
      </c>
      <c r="H70" s="101">
        <f t="shared" ref="H70:H133" si="6">C70</f>
        <v>0</v>
      </c>
      <c r="I70" s="101">
        <f t="shared" ref="I70:I133" si="7">D70</f>
        <v>0</v>
      </c>
      <c r="J70" s="101">
        <f t="shared" ref="J70:J133" si="8">E70</f>
        <v>0</v>
      </c>
    </row>
    <row r="71" spans="2:10" x14ac:dyDescent="0.2">
      <c r="B71" s="93"/>
      <c r="C71" s="97"/>
      <c r="D71" s="93"/>
      <c r="E71" s="98"/>
      <c r="F71" s="100">
        <v>67</v>
      </c>
      <c r="G71" s="101">
        <f t="shared" si="5"/>
        <v>0</v>
      </c>
      <c r="H71" s="101">
        <f t="shared" si="6"/>
        <v>0</v>
      </c>
      <c r="I71" s="101">
        <f t="shared" si="7"/>
        <v>0</v>
      </c>
      <c r="J71" s="101">
        <f t="shared" si="8"/>
        <v>0</v>
      </c>
    </row>
    <row r="72" spans="2:10" x14ac:dyDescent="0.2">
      <c r="B72" s="93"/>
      <c r="C72" s="97"/>
      <c r="D72" s="93"/>
      <c r="E72" s="98"/>
      <c r="F72" s="100">
        <v>68</v>
      </c>
      <c r="G72" s="101">
        <f t="shared" si="5"/>
        <v>0</v>
      </c>
      <c r="H72" s="101">
        <f t="shared" si="6"/>
        <v>0</v>
      </c>
      <c r="I72" s="101">
        <f t="shared" si="7"/>
        <v>0</v>
      </c>
      <c r="J72" s="101">
        <f t="shared" si="8"/>
        <v>0</v>
      </c>
    </row>
    <row r="73" spans="2:10" x14ac:dyDescent="0.2">
      <c r="B73" s="93"/>
      <c r="C73" s="97"/>
      <c r="D73" s="93"/>
      <c r="E73" s="98"/>
      <c r="F73" s="100">
        <v>69</v>
      </c>
      <c r="G73" s="101">
        <f t="shared" si="5"/>
        <v>0</v>
      </c>
      <c r="H73" s="101">
        <f t="shared" si="6"/>
        <v>0</v>
      </c>
      <c r="I73" s="101">
        <f t="shared" si="7"/>
        <v>0</v>
      </c>
      <c r="J73" s="101">
        <f t="shared" si="8"/>
        <v>0</v>
      </c>
    </row>
    <row r="74" spans="2:10" x14ac:dyDescent="0.2">
      <c r="B74" s="93"/>
      <c r="C74" s="97"/>
      <c r="D74" s="93"/>
      <c r="E74" s="98"/>
      <c r="F74" s="100">
        <v>70</v>
      </c>
      <c r="G74" s="101">
        <f t="shared" si="5"/>
        <v>0</v>
      </c>
      <c r="H74" s="101">
        <f t="shared" si="6"/>
        <v>0</v>
      </c>
      <c r="I74" s="101">
        <f t="shared" si="7"/>
        <v>0</v>
      </c>
      <c r="J74" s="101">
        <f t="shared" si="8"/>
        <v>0</v>
      </c>
    </row>
    <row r="75" spans="2:10" x14ac:dyDescent="0.2">
      <c r="B75" s="93"/>
      <c r="C75" s="97"/>
      <c r="D75" s="93"/>
      <c r="E75" s="98"/>
      <c r="F75" s="100">
        <v>71</v>
      </c>
      <c r="G75" s="101">
        <f t="shared" si="5"/>
        <v>0</v>
      </c>
      <c r="H75" s="101">
        <f t="shared" si="6"/>
        <v>0</v>
      </c>
      <c r="I75" s="101">
        <f t="shared" si="7"/>
        <v>0</v>
      </c>
      <c r="J75" s="101">
        <f t="shared" si="8"/>
        <v>0</v>
      </c>
    </row>
    <row r="76" spans="2:10" x14ac:dyDescent="0.2">
      <c r="B76" s="93"/>
      <c r="C76" s="97"/>
      <c r="D76" s="93"/>
      <c r="E76" s="98"/>
      <c r="F76" s="100">
        <v>72</v>
      </c>
      <c r="G76" s="101">
        <f t="shared" si="5"/>
        <v>0</v>
      </c>
      <c r="H76" s="101">
        <f t="shared" si="6"/>
        <v>0</v>
      </c>
      <c r="I76" s="101">
        <f t="shared" si="7"/>
        <v>0</v>
      </c>
      <c r="J76" s="101">
        <f t="shared" si="8"/>
        <v>0</v>
      </c>
    </row>
    <row r="77" spans="2:10" x14ac:dyDescent="0.2">
      <c r="B77" s="93"/>
      <c r="C77" s="97"/>
      <c r="D77" s="93"/>
      <c r="E77" s="98"/>
      <c r="F77" s="100">
        <v>73</v>
      </c>
      <c r="G77" s="101">
        <f t="shared" si="5"/>
        <v>0</v>
      </c>
      <c r="H77" s="101">
        <f t="shared" si="6"/>
        <v>0</v>
      </c>
      <c r="I77" s="101">
        <f t="shared" si="7"/>
        <v>0</v>
      </c>
      <c r="J77" s="101">
        <f t="shared" si="8"/>
        <v>0</v>
      </c>
    </row>
    <row r="78" spans="2:10" x14ac:dyDescent="0.2">
      <c r="B78" s="93"/>
      <c r="C78" s="97"/>
      <c r="D78" s="93"/>
      <c r="E78" s="98"/>
      <c r="F78" s="100">
        <v>74</v>
      </c>
      <c r="G78" s="101">
        <f t="shared" si="5"/>
        <v>0</v>
      </c>
      <c r="H78" s="101">
        <f t="shared" si="6"/>
        <v>0</v>
      </c>
      <c r="I78" s="101">
        <f t="shared" si="7"/>
        <v>0</v>
      </c>
      <c r="J78" s="101">
        <f t="shared" si="8"/>
        <v>0</v>
      </c>
    </row>
    <row r="79" spans="2:10" x14ac:dyDescent="0.2">
      <c r="B79" s="93"/>
      <c r="C79" s="97"/>
      <c r="D79" s="93"/>
      <c r="E79" s="98"/>
      <c r="F79" s="100">
        <v>75</v>
      </c>
      <c r="G79" s="101">
        <f t="shared" si="5"/>
        <v>0</v>
      </c>
      <c r="H79" s="101">
        <f t="shared" si="6"/>
        <v>0</v>
      </c>
      <c r="I79" s="101">
        <f t="shared" si="7"/>
        <v>0</v>
      </c>
      <c r="J79" s="101">
        <f t="shared" si="8"/>
        <v>0</v>
      </c>
    </row>
    <row r="80" spans="2:10" x14ac:dyDescent="0.2">
      <c r="B80" s="93"/>
      <c r="C80" s="97"/>
      <c r="D80" s="93"/>
      <c r="E80" s="98"/>
      <c r="F80" s="100">
        <v>76</v>
      </c>
      <c r="G80" s="101">
        <f t="shared" si="5"/>
        <v>0</v>
      </c>
      <c r="H80" s="101">
        <f t="shared" si="6"/>
        <v>0</v>
      </c>
      <c r="I80" s="101">
        <f t="shared" si="7"/>
        <v>0</v>
      </c>
      <c r="J80" s="101">
        <f t="shared" si="8"/>
        <v>0</v>
      </c>
    </row>
    <row r="81" spans="2:10" x14ac:dyDescent="0.2">
      <c r="B81" s="93"/>
      <c r="C81" s="97"/>
      <c r="D81" s="93"/>
      <c r="E81" s="98"/>
      <c r="F81" s="100">
        <v>77</v>
      </c>
      <c r="G81" s="101">
        <f t="shared" si="5"/>
        <v>0</v>
      </c>
      <c r="H81" s="101">
        <f t="shared" si="6"/>
        <v>0</v>
      </c>
      <c r="I81" s="101">
        <f t="shared" si="7"/>
        <v>0</v>
      </c>
      <c r="J81" s="101">
        <f t="shared" si="8"/>
        <v>0</v>
      </c>
    </row>
    <row r="82" spans="2:10" x14ac:dyDescent="0.2">
      <c r="B82" s="93"/>
      <c r="C82" s="97"/>
      <c r="D82" s="93"/>
      <c r="E82" s="98"/>
      <c r="F82" s="100">
        <v>78</v>
      </c>
      <c r="G82" s="101">
        <f t="shared" si="5"/>
        <v>0</v>
      </c>
      <c r="H82" s="101">
        <f t="shared" si="6"/>
        <v>0</v>
      </c>
      <c r="I82" s="101">
        <f t="shared" si="7"/>
        <v>0</v>
      </c>
      <c r="J82" s="101">
        <f t="shared" si="8"/>
        <v>0</v>
      </c>
    </row>
    <row r="83" spans="2:10" x14ac:dyDescent="0.2">
      <c r="B83" s="93"/>
      <c r="C83" s="97"/>
      <c r="D83" s="93"/>
      <c r="E83" s="98"/>
      <c r="F83" s="100">
        <v>79</v>
      </c>
      <c r="G83" s="101">
        <f t="shared" si="5"/>
        <v>0</v>
      </c>
      <c r="H83" s="101">
        <f t="shared" si="6"/>
        <v>0</v>
      </c>
      <c r="I83" s="101">
        <f t="shared" si="7"/>
        <v>0</v>
      </c>
      <c r="J83" s="101">
        <f t="shared" si="8"/>
        <v>0</v>
      </c>
    </row>
    <row r="84" spans="2:10" x14ac:dyDescent="0.2">
      <c r="B84" s="93"/>
      <c r="C84" s="97"/>
      <c r="D84" s="93"/>
      <c r="E84" s="98"/>
      <c r="F84" s="100">
        <v>80</v>
      </c>
      <c r="G84" s="101">
        <f t="shared" si="5"/>
        <v>0</v>
      </c>
      <c r="H84" s="101">
        <f t="shared" si="6"/>
        <v>0</v>
      </c>
      <c r="I84" s="101">
        <f t="shared" si="7"/>
        <v>0</v>
      </c>
      <c r="J84" s="101">
        <f t="shared" si="8"/>
        <v>0</v>
      </c>
    </row>
    <row r="85" spans="2:10" x14ac:dyDescent="0.2">
      <c r="B85" s="93"/>
      <c r="C85" s="97"/>
      <c r="D85" s="93"/>
      <c r="E85" s="98"/>
      <c r="F85" s="100">
        <v>81</v>
      </c>
      <c r="G85" s="101">
        <f t="shared" si="5"/>
        <v>0</v>
      </c>
      <c r="H85" s="101">
        <f t="shared" si="6"/>
        <v>0</v>
      </c>
      <c r="I85" s="101">
        <f t="shared" si="7"/>
        <v>0</v>
      </c>
      <c r="J85" s="101">
        <f t="shared" si="8"/>
        <v>0</v>
      </c>
    </row>
    <row r="86" spans="2:10" x14ac:dyDescent="0.2">
      <c r="B86" s="93"/>
      <c r="C86" s="97"/>
      <c r="D86" s="93"/>
      <c r="E86" s="98"/>
      <c r="F86" s="100">
        <v>82</v>
      </c>
      <c r="G86" s="101">
        <f t="shared" si="5"/>
        <v>0</v>
      </c>
      <c r="H86" s="101">
        <f t="shared" si="6"/>
        <v>0</v>
      </c>
      <c r="I86" s="101">
        <f t="shared" si="7"/>
        <v>0</v>
      </c>
      <c r="J86" s="101">
        <f t="shared" si="8"/>
        <v>0</v>
      </c>
    </row>
    <row r="87" spans="2:10" x14ac:dyDescent="0.2">
      <c r="B87" s="93"/>
      <c r="C87" s="97"/>
      <c r="D87" s="93"/>
      <c r="E87" s="98"/>
      <c r="F87" s="100">
        <v>83</v>
      </c>
      <c r="G87" s="101">
        <f t="shared" si="5"/>
        <v>0</v>
      </c>
      <c r="H87" s="101">
        <f t="shared" si="6"/>
        <v>0</v>
      </c>
      <c r="I87" s="101">
        <f t="shared" si="7"/>
        <v>0</v>
      </c>
      <c r="J87" s="101">
        <f t="shared" si="8"/>
        <v>0</v>
      </c>
    </row>
    <row r="88" spans="2:10" x14ac:dyDescent="0.2">
      <c r="B88" s="93"/>
      <c r="C88" s="97"/>
      <c r="D88" s="93"/>
      <c r="E88" s="98"/>
      <c r="F88" s="100">
        <v>84</v>
      </c>
      <c r="G88" s="101">
        <f t="shared" si="5"/>
        <v>0</v>
      </c>
      <c r="H88" s="101">
        <f t="shared" si="6"/>
        <v>0</v>
      </c>
      <c r="I88" s="101">
        <f t="shared" si="7"/>
        <v>0</v>
      </c>
      <c r="J88" s="101">
        <f t="shared" si="8"/>
        <v>0</v>
      </c>
    </row>
    <row r="89" spans="2:10" x14ac:dyDescent="0.2">
      <c r="B89" s="93"/>
      <c r="C89" s="97"/>
      <c r="D89" s="93"/>
      <c r="E89" s="98"/>
      <c r="F89" s="100">
        <v>85</v>
      </c>
      <c r="G89" s="101">
        <f t="shared" si="5"/>
        <v>0</v>
      </c>
      <c r="H89" s="101">
        <f t="shared" si="6"/>
        <v>0</v>
      </c>
      <c r="I89" s="101">
        <f t="shared" si="7"/>
        <v>0</v>
      </c>
      <c r="J89" s="101">
        <f t="shared" si="8"/>
        <v>0</v>
      </c>
    </row>
    <row r="90" spans="2:10" x14ac:dyDescent="0.2">
      <c r="B90" s="93"/>
      <c r="C90" s="97"/>
      <c r="D90" s="93"/>
      <c r="E90" s="98"/>
      <c r="F90" s="100">
        <v>86</v>
      </c>
      <c r="G90" s="101">
        <f t="shared" si="5"/>
        <v>0</v>
      </c>
      <c r="H90" s="101">
        <f t="shared" si="6"/>
        <v>0</v>
      </c>
      <c r="I90" s="101">
        <f t="shared" si="7"/>
        <v>0</v>
      </c>
      <c r="J90" s="101">
        <f t="shared" si="8"/>
        <v>0</v>
      </c>
    </row>
    <row r="91" spans="2:10" x14ac:dyDescent="0.2">
      <c r="B91" s="93"/>
      <c r="C91" s="97"/>
      <c r="D91" s="93"/>
      <c r="E91" s="98"/>
      <c r="F91" s="100">
        <v>87</v>
      </c>
      <c r="G91" s="101">
        <f t="shared" si="5"/>
        <v>0</v>
      </c>
      <c r="H91" s="101">
        <f t="shared" si="6"/>
        <v>0</v>
      </c>
      <c r="I91" s="101">
        <f t="shared" si="7"/>
        <v>0</v>
      </c>
      <c r="J91" s="101">
        <f t="shared" si="8"/>
        <v>0</v>
      </c>
    </row>
    <row r="92" spans="2:10" x14ac:dyDescent="0.2">
      <c r="B92" s="93"/>
      <c r="C92" s="97"/>
      <c r="D92" s="93"/>
      <c r="E92" s="98"/>
      <c r="F92" s="100">
        <v>88</v>
      </c>
      <c r="G92" s="101">
        <f t="shared" si="5"/>
        <v>0</v>
      </c>
      <c r="H92" s="101">
        <f t="shared" si="6"/>
        <v>0</v>
      </c>
      <c r="I92" s="101">
        <f t="shared" si="7"/>
        <v>0</v>
      </c>
      <c r="J92" s="101">
        <f t="shared" si="8"/>
        <v>0</v>
      </c>
    </row>
    <row r="93" spans="2:10" x14ac:dyDescent="0.2">
      <c r="B93" s="93"/>
      <c r="C93" s="97"/>
      <c r="D93" s="93"/>
      <c r="E93" s="98"/>
      <c r="F93" s="100">
        <v>89</v>
      </c>
      <c r="G93" s="101">
        <f t="shared" si="5"/>
        <v>0</v>
      </c>
      <c r="H93" s="101">
        <f t="shared" si="6"/>
        <v>0</v>
      </c>
      <c r="I93" s="101">
        <f t="shared" si="7"/>
        <v>0</v>
      </c>
      <c r="J93" s="101">
        <f t="shared" si="8"/>
        <v>0</v>
      </c>
    </row>
    <row r="94" spans="2:10" x14ac:dyDescent="0.2">
      <c r="B94" s="93"/>
      <c r="C94" s="97"/>
      <c r="D94" s="93"/>
      <c r="E94" s="98"/>
      <c r="F94" s="100">
        <v>90</v>
      </c>
      <c r="G94" s="101">
        <f t="shared" si="5"/>
        <v>0</v>
      </c>
      <c r="H94" s="101">
        <f t="shared" si="6"/>
        <v>0</v>
      </c>
      <c r="I94" s="101">
        <f t="shared" si="7"/>
        <v>0</v>
      </c>
      <c r="J94" s="101">
        <f t="shared" si="8"/>
        <v>0</v>
      </c>
    </row>
    <row r="95" spans="2:10" x14ac:dyDescent="0.2">
      <c r="B95" s="93"/>
      <c r="C95" s="97"/>
      <c r="D95" s="93"/>
      <c r="E95" s="98"/>
      <c r="F95" s="100">
        <v>91</v>
      </c>
      <c r="G95" s="101">
        <f t="shared" si="5"/>
        <v>0</v>
      </c>
      <c r="H95" s="101">
        <f t="shared" si="6"/>
        <v>0</v>
      </c>
      <c r="I95" s="101">
        <f t="shared" si="7"/>
        <v>0</v>
      </c>
      <c r="J95" s="101">
        <f t="shared" si="8"/>
        <v>0</v>
      </c>
    </row>
    <row r="96" spans="2:10" x14ac:dyDescent="0.2">
      <c r="B96" s="93"/>
      <c r="C96" s="97"/>
      <c r="D96" s="93"/>
      <c r="E96" s="98"/>
      <c r="F96" s="100">
        <v>92</v>
      </c>
      <c r="G96" s="101">
        <f t="shared" si="5"/>
        <v>0</v>
      </c>
      <c r="H96" s="101">
        <f t="shared" si="6"/>
        <v>0</v>
      </c>
      <c r="I96" s="101">
        <f t="shared" si="7"/>
        <v>0</v>
      </c>
      <c r="J96" s="101">
        <f t="shared" si="8"/>
        <v>0</v>
      </c>
    </row>
    <row r="97" spans="2:10" x14ac:dyDescent="0.2">
      <c r="B97" s="93"/>
      <c r="C97" s="97"/>
      <c r="D97" s="93"/>
      <c r="E97" s="98"/>
      <c r="F97" s="100">
        <v>93</v>
      </c>
      <c r="G97" s="101">
        <f t="shared" si="5"/>
        <v>0</v>
      </c>
      <c r="H97" s="101">
        <f t="shared" si="6"/>
        <v>0</v>
      </c>
      <c r="I97" s="101">
        <f t="shared" si="7"/>
        <v>0</v>
      </c>
      <c r="J97" s="101">
        <f t="shared" si="8"/>
        <v>0</v>
      </c>
    </row>
    <row r="98" spans="2:10" x14ac:dyDescent="0.2">
      <c r="B98" s="93"/>
      <c r="C98" s="97"/>
      <c r="D98" s="93"/>
      <c r="E98" s="98"/>
      <c r="F98" s="100">
        <v>94</v>
      </c>
      <c r="G98" s="101">
        <f t="shared" si="5"/>
        <v>0</v>
      </c>
      <c r="H98" s="101">
        <f t="shared" si="6"/>
        <v>0</v>
      </c>
      <c r="I98" s="101">
        <f t="shared" si="7"/>
        <v>0</v>
      </c>
      <c r="J98" s="101">
        <f t="shared" si="8"/>
        <v>0</v>
      </c>
    </row>
    <row r="99" spans="2:10" x14ac:dyDescent="0.2">
      <c r="B99" s="93"/>
      <c r="C99" s="97"/>
      <c r="D99" s="93"/>
      <c r="E99" s="98"/>
      <c r="F99" s="100">
        <v>95</v>
      </c>
      <c r="G99" s="101">
        <f t="shared" si="5"/>
        <v>0</v>
      </c>
      <c r="H99" s="101">
        <f t="shared" si="6"/>
        <v>0</v>
      </c>
      <c r="I99" s="101">
        <f t="shared" si="7"/>
        <v>0</v>
      </c>
      <c r="J99" s="101">
        <f t="shared" si="8"/>
        <v>0</v>
      </c>
    </row>
    <row r="100" spans="2:10" x14ac:dyDescent="0.2">
      <c r="B100" s="93"/>
      <c r="C100" s="97"/>
      <c r="D100" s="93"/>
      <c r="E100" s="98"/>
      <c r="F100" s="100">
        <v>96</v>
      </c>
      <c r="G100" s="101">
        <f t="shared" si="5"/>
        <v>0</v>
      </c>
      <c r="H100" s="101">
        <f t="shared" si="6"/>
        <v>0</v>
      </c>
      <c r="I100" s="101">
        <f t="shared" si="7"/>
        <v>0</v>
      </c>
      <c r="J100" s="101">
        <f t="shared" si="8"/>
        <v>0</v>
      </c>
    </row>
    <row r="101" spans="2:10" x14ac:dyDescent="0.2">
      <c r="B101" s="93"/>
      <c r="C101" s="97"/>
      <c r="D101" s="93"/>
      <c r="E101" s="98"/>
      <c r="F101" s="100">
        <v>97</v>
      </c>
      <c r="G101" s="101">
        <f t="shared" si="5"/>
        <v>0</v>
      </c>
      <c r="H101" s="101">
        <f t="shared" si="6"/>
        <v>0</v>
      </c>
      <c r="I101" s="101">
        <f t="shared" si="7"/>
        <v>0</v>
      </c>
      <c r="J101" s="101">
        <f t="shared" si="8"/>
        <v>0</v>
      </c>
    </row>
    <row r="102" spans="2:10" x14ac:dyDescent="0.2">
      <c r="B102" s="93"/>
      <c r="C102" s="97"/>
      <c r="D102" s="93"/>
      <c r="E102" s="98"/>
      <c r="F102" s="100">
        <v>98</v>
      </c>
      <c r="G102" s="101">
        <f t="shared" si="5"/>
        <v>0</v>
      </c>
      <c r="H102" s="101">
        <f t="shared" si="6"/>
        <v>0</v>
      </c>
      <c r="I102" s="101">
        <f t="shared" si="7"/>
        <v>0</v>
      </c>
      <c r="J102" s="101">
        <f t="shared" si="8"/>
        <v>0</v>
      </c>
    </row>
    <row r="103" spans="2:10" x14ac:dyDescent="0.2">
      <c r="B103" s="93"/>
      <c r="C103" s="97"/>
      <c r="D103" s="93"/>
      <c r="E103" s="98"/>
      <c r="F103" s="100">
        <v>99</v>
      </c>
      <c r="G103" s="101">
        <f t="shared" si="5"/>
        <v>0</v>
      </c>
      <c r="H103" s="101">
        <f t="shared" si="6"/>
        <v>0</v>
      </c>
      <c r="I103" s="101">
        <f t="shared" si="7"/>
        <v>0</v>
      </c>
      <c r="J103" s="101">
        <f t="shared" si="8"/>
        <v>0</v>
      </c>
    </row>
    <row r="104" spans="2:10" x14ac:dyDescent="0.2">
      <c r="B104" s="93"/>
      <c r="C104" s="97"/>
      <c r="D104" s="93"/>
      <c r="E104" s="98"/>
      <c r="F104" s="100">
        <v>100</v>
      </c>
      <c r="G104" s="101">
        <f t="shared" si="5"/>
        <v>0</v>
      </c>
      <c r="H104" s="101">
        <f t="shared" si="6"/>
        <v>0</v>
      </c>
      <c r="I104" s="101">
        <f t="shared" si="7"/>
        <v>0</v>
      </c>
      <c r="J104" s="101">
        <f t="shared" si="8"/>
        <v>0</v>
      </c>
    </row>
    <row r="105" spans="2:10" x14ac:dyDescent="0.2">
      <c r="B105" s="93"/>
      <c r="C105" s="97"/>
      <c r="D105" s="93"/>
      <c r="E105" s="98"/>
      <c r="F105" s="100">
        <v>101</v>
      </c>
      <c r="G105" s="101">
        <f t="shared" si="5"/>
        <v>0</v>
      </c>
      <c r="H105" s="101">
        <f t="shared" si="6"/>
        <v>0</v>
      </c>
      <c r="I105" s="101">
        <f t="shared" si="7"/>
        <v>0</v>
      </c>
      <c r="J105" s="101">
        <f t="shared" si="8"/>
        <v>0</v>
      </c>
    </row>
    <row r="106" spans="2:10" x14ac:dyDescent="0.2">
      <c r="B106" s="93"/>
      <c r="C106" s="97"/>
      <c r="D106" s="93"/>
      <c r="E106" s="98"/>
      <c r="F106" s="100">
        <v>102</v>
      </c>
      <c r="G106" s="101">
        <f t="shared" si="5"/>
        <v>0</v>
      </c>
      <c r="H106" s="101">
        <f t="shared" si="6"/>
        <v>0</v>
      </c>
      <c r="I106" s="101">
        <f t="shared" si="7"/>
        <v>0</v>
      </c>
      <c r="J106" s="101">
        <f t="shared" si="8"/>
        <v>0</v>
      </c>
    </row>
    <row r="107" spans="2:10" x14ac:dyDescent="0.2">
      <c r="B107" s="93"/>
      <c r="C107" s="97"/>
      <c r="D107" s="93"/>
      <c r="E107" s="98"/>
      <c r="F107" s="100">
        <v>103</v>
      </c>
      <c r="G107" s="101">
        <f t="shared" si="5"/>
        <v>0</v>
      </c>
      <c r="H107" s="101">
        <f t="shared" si="6"/>
        <v>0</v>
      </c>
      <c r="I107" s="101">
        <f t="shared" si="7"/>
        <v>0</v>
      </c>
      <c r="J107" s="101">
        <f t="shared" si="8"/>
        <v>0</v>
      </c>
    </row>
    <row r="108" spans="2:10" x14ac:dyDescent="0.2">
      <c r="B108" s="93"/>
      <c r="C108" s="97"/>
      <c r="D108" s="93"/>
      <c r="E108" s="98"/>
      <c r="F108" s="100">
        <v>104</v>
      </c>
      <c r="G108" s="101">
        <f t="shared" si="5"/>
        <v>0</v>
      </c>
      <c r="H108" s="101">
        <f t="shared" si="6"/>
        <v>0</v>
      </c>
      <c r="I108" s="101">
        <f t="shared" si="7"/>
        <v>0</v>
      </c>
      <c r="J108" s="101">
        <f t="shared" si="8"/>
        <v>0</v>
      </c>
    </row>
    <row r="109" spans="2:10" x14ac:dyDescent="0.2">
      <c r="B109" s="93"/>
      <c r="C109" s="97"/>
      <c r="D109" s="93"/>
      <c r="E109" s="98"/>
      <c r="F109" s="100">
        <v>105</v>
      </c>
      <c r="G109" s="101">
        <f t="shared" si="5"/>
        <v>0</v>
      </c>
      <c r="H109" s="101">
        <f t="shared" si="6"/>
        <v>0</v>
      </c>
      <c r="I109" s="101">
        <f t="shared" si="7"/>
        <v>0</v>
      </c>
      <c r="J109" s="101">
        <f t="shared" si="8"/>
        <v>0</v>
      </c>
    </row>
    <row r="110" spans="2:10" x14ac:dyDescent="0.2">
      <c r="B110" s="93"/>
      <c r="C110" s="97"/>
      <c r="D110" s="93"/>
      <c r="E110" s="98"/>
      <c r="F110" s="100">
        <v>106</v>
      </c>
      <c r="G110" s="101">
        <f t="shared" si="5"/>
        <v>0</v>
      </c>
      <c r="H110" s="101">
        <f t="shared" si="6"/>
        <v>0</v>
      </c>
      <c r="I110" s="101">
        <f t="shared" si="7"/>
        <v>0</v>
      </c>
      <c r="J110" s="101">
        <f t="shared" si="8"/>
        <v>0</v>
      </c>
    </row>
    <row r="111" spans="2:10" x14ac:dyDescent="0.2">
      <c r="B111" s="93"/>
      <c r="C111" s="97"/>
      <c r="D111" s="93"/>
      <c r="E111" s="98"/>
      <c r="F111" s="100">
        <v>107</v>
      </c>
      <c r="G111" s="101">
        <f t="shared" si="5"/>
        <v>0</v>
      </c>
      <c r="H111" s="101">
        <f t="shared" si="6"/>
        <v>0</v>
      </c>
      <c r="I111" s="101">
        <f t="shared" si="7"/>
        <v>0</v>
      </c>
      <c r="J111" s="101">
        <f t="shared" si="8"/>
        <v>0</v>
      </c>
    </row>
    <row r="112" spans="2:10" x14ac:dyDescent="0.2">
      <c r="B112" s="93"/>
      <c r="C112" s="97"/>
      <c r="D112" s="93"/>
      <c r="E112" s="98"/>
      <c r="F112" s="100">
        <v>108</v>
      </c>
      <c r="G112" s="101">
        <f t="shared" si="5"/>
        <v>0</v>
      </c>
      <c r="H112" s="101">
        <f t="shared" si="6"/>
        <v>0</v>
      </c>
      <c r="I112" s="101">
        <f t="shared" si="7"/>
        <v>0</v>
      </c>
      <c r="J112" s="101">
        <f t="shared" si="8"/>
        <v>0</v>
      </c>
    </row>
    <row r="113" spans="2:10" x14ac:dyDescent="0.2">
      <c r="B113" s="93"/>
      <c r="C113" s="97"/>
      <c r="D113" s="93"/>
      <c r="E113" s="98"/>
      <c r="F113" s="100">
        <v>109</v>
      </c>
      <c r="G113" s="101">
        <f t="shared" si="5"/>
        <v>0</v>
      </c>
      <c r="H113" s="101">
        <f t="shared" si="6"/>
        <v>0</v>
      </c>
      <c r="I113" s="101">
        <f t="shared" si="7"/>
        <v>0</v>
      </c>
      <c r="J113" s="101">
        <f t="shared" si="8"/>
        <v>0</v>
      </c>
    </row>
    <row r="114" spans="2:10" x14ac:dyDescent="0.2">
      <c r="B114" s="93"/>
      <c r="C114" s="97"/>
      <c r="D114" s="93"/>
      <c r="E114" s="98"/>
      <c r="F114" s="100">
        <v>110</v>
      </c>
      <c r="G114" s="101">
        <f t="shared" si="5"/>
        <v>0</v>
      </c>
      <c r="H114" s="101">
        <f t="shared" si="6"/>
        <v>0</v>
      </c>
      <c r="I114" s="101">
        <f t="shared" si="7"/>
        <v>0</v>
      </c>
      <c r="J114" s="101">
        <f t="shared" si="8"/>
        <v>0</v>
      </c>
    </row>
    <row r="115" spans="2:10" x14ac:dyDescent="0.2">
      <c r="B115" s="93"/>
      <c r="C115" s="97"/>
      <c r="D115" s="93"/>
      <c r="E115" s="98"/>
      <c r="F115" s="100">
        <v>111</v>
      </c>
      <c r="G115" s="101">
        <f t="shared" si="5"/>
        <v>0</v>
      </c>
      <c r="H115" s="101">
        <f t="shared" si="6"/>
        <v>0</v>
      </c>
      <c r="I115" s="101">
        <f t="shared" si="7"/>
        <v>0</v>
      </c>
      <c r="J115" s="101">
        <f t="shared" si="8"/>
        <v>0</v>
      </c>
    </row>
    <row r="116" spans="2:10" x14ac:dyDescent="0.2">
      <c r="B116" s="93"/>
      <c r="C116" s="97"/>
      <c r="D116" s="93"/>
      <c r="E116" s="98"/>
      <c r="F116" s="100">
        <v>112</v>
      </c>
      <c r="G116" s="101">
        <f t="shared" si="5"/>
        <v>0</v>
      </c>
      <c r="H116" s="101">
        <f t="shared" si="6"/>
        <v>0</v>
      </c>
      <c r="I116" s="101">
        <f t="shared" si="7"/>
        <v>0</v>
      </c>
      <c r="J116" s="101">
        <f t="shared" si="8"/>
        <v>0</v>
      </c>
    </row>
    <row r="117" spans="2:10" x14ac:dyDescent="0.2">
      <c r="B117" s="93"/>
      <c r="C117" s="97"/>
      <c r="D117" s="93"/>
      <c r="E117" s="98"/>
      <c r="F117" s="100">
        <v>113</v>
      </c>
      <c r="G117" s="101">
        <f t="shared" si="5"/>
        <v>0</v>
      </c>
      <c r="H117" s="101">
        <f t="shared" si="6"/>
        <v>0</v>
      </c>
      <c r="I117" s="101">
        <f t="shared" si="7"/>
        <v>0</v>
      </c>
      <c r="J117" s="101">
        <f t="shared" si="8"/>
        <v>0</v>
      </c>
    </row>
    <row r="118" spans="2:10" x14ac:dyDescent="0.2">
      <c r="B118" s="93"/>
      <c r="C118" s="97"/>
      <c r="D118" s="93"/>
      <c r="E118" s="98"/>
      <c r="F118" s="100">
        <v>114</v>
      </c>
      <c r="G118" s="101">
        <f t="shared" si="5"/>
        <v>0</v>
      </c>
      <c r="H118" s="101">
        <f t="shared" si="6"/>
        <v>0</v>
      </c>
      <c r="I118" s="101">
        <f t="shared" si="7"/>
        <v>0</v>
      </c>
      <c r="J118" s="101">
        <f t="shared" si="8"/>
        <v>0</v>
      </c>
    </row>
    <row r="119" spans="2:10" x14ac:dyDescent="0.2">
      <c r="B119" s="93"/>
      <c r="C119" s="97"/>
      <c r="D119" s="93"/>
      <c r="E119" s="98"/>
      <c r="F119" s="100">
        <v>115</v>
      </c>
      <c r="G119" s="101">
        <f t="shared" si="5"/>
        <v>0</v>
      </c>
      <c r="H119" s="101">
        <f t="shared" si="6"/>
        <v>0</v>
      </c>
      <c r="I119" s="101">
        <f t="shared" si="7"/>
        <v>0</v>
      </c>
      <c r="J119" s="101">
        <f t="shared" si="8"/>
        <v>0</v>
      </c>
    </row>
    <row r="120" spans="2:10" x14ac:dyDescent="0.2">
      <c r="B120" s="93"/>
      <c r="C120" s="97"/>
      <c r="D120" s="93"/>
      <c r="E120" s="98"/>
      <c r="F120" s="100">
        <v>116</v>
      </c>
      <c r="G120" s="101">
        <f t="shared" si="5"/>
        <v>0</v>
      </c>
      <c r="H120" s="101">
        <f t="shared" si="6"/>
        <v>0</v>
      </c>
      <c r="I120" s="101">
        <f t="shared" si="7"/>
        <v>0</v>
      </c>
      <c r="J120" s="101">
        <f t="shared" si="8"/>
        <v>0</v>
      </c>
    </row>
    <row r="121" spans="2:10" x14ac:dyDescent="0.2">
      <c r="B121" s="93"/>
      <c r="C121" s="97"/>
      <c r="D121" s="93"/>
      <c r="E121" s="98"/>
      <c r="F121" s="100">
        <v>117</v>
      </c>
      <c r="G121" s="101">
        <f t="shared" si="5"/>
        <v>0</v>
      </c>
      <c r="H121" s="101">
        <f t="shared" si="6"/>
        <v>0</v>
      </c>
      <c r="I121" s="101">
        <f t="shared" si="7"/>
        <v>0</v>
      </c>
      <c r="J121" s="101">
        <f t="shared" si="8"/>
        <v>0</v>
      </c>
    </row>
    <row r="122" spans="2:10" x14ac:dyDescent="0.2">
      <c r="B122" s="93"/>
      <c r="C122" s="97"/>
      <c r="D122" s="93"/>
      <c r="E122" s="98"/>
      <c r="F122" s="100">
        <v>118</v>
      </c>
      <c r="G122" s="101">
        <f t="shared" si="5"/>
        <v>0</v>
      </c>
      <c r="H122" s="101">
        <f t="shared" si="6"/>
        <v>0</v>
      </c>
      <c r="I122" s="101">
        <f t="shared" si="7"/>
        <v>0</v>
      </c>
      <c r="J122" s="101">
        <f t="shared" si="8"/>
        <v>0</v>
      </c>
    </row>
    <row r="123" spans="2:10" x14ac:dyDescent="0.2">
      <c r="B123" s="93"/>
      <c r="C123" s="97"/>
      <c r="D123" s="93"/>
      <c r="E123" s="98"/>
      <c r="F123" s="100">
        <v>119</v>
      </c>
      <c r="G123" s="101">
        <f t="shared" si="5"/>
        <v>0</v>
      </c>
      <c r="H123" s="101">
        <f t="shared" si="6"/>
        <v>0</v>
      </c>
      <c r="I123" s="101">
        <f t="shared" si="7"/>
        <v>0</v>
      </c>
      <c r="J123" s="101">
        <f t="shared" si="8"/>
        <v>0</v>
      </c>
    </row>
    <row r="124" spans="2:10" x14ac:dyDescent="0.2">
      <c r="B124" s="93"/>
      <c r="C124" s="97"/>
      <c r="D124" s="93"/>
      <c r="E124" s="98"/>
      <c r="F124" s="100">
        <v>120</v>
      </c>
      <c r="G124" s="101">
        <f t="shared" si="5"/>
        <v>0</v>
      </c>
      <c r="H124" s="101">
        <f t="shared" si="6"/>
        <v>0</v>
      </c>
      <c r="I124" s="101">
        <f t="shared" si="7"/>
        <v>0</v>
      </c>
      <c r="J124" s="101">
        <f t="shared" si="8"/>
        <v>0</v>
      </c>
    </row>
    <row r="125" spans="2:10" x14ac:dyDescent="0.2">
      <c r="B125" s="93"/>
      <c r="C125" s="97"/>
      <c r="D125" s="93"/>
      <c r="E125" s="98"/>
      <c r="F125" s="100">
        <v>121</v>
      </c>
      <c r="G125" s="101">
        <f t="shared" si="5"/>
        <v>0</v>
      </c>
      <c r="H125" s="101">
        <f t="shared" si="6"/>
        <v>0</v>
      </c>
      <c r="I125" s="101">
        <f t="shared" si="7"/>
        <v>0</v>
      </c>
      <c r="J125" s="101">
        <f t="shared" si="8"/>
        <v>0</v>
      </c>
    </row>
    <row r="126" spans="2:10" x14ac:dyDescent="0.2">
      <c r="B126" s="93"/>
      <c r="C126" s="97"/>
      <c r="D126" s="93"/>
      <c r="E126" s="98"/>
      <c r="F126" s="100">
        <v>122</v>
      </c>
      <c r="G126" s="101">
        <f t="shared" si="5"/>
        <v>0</v>
      </c>
      <c r="H126" s="101">
        <f t="shared" si="6"/>
        <v>0</v>
      </c>
      <c r="I126" s="101">
        <f t="shared" si="7"/>
        <v>0</v>
      </c>
      <c r="J126" s="101">
        <f t="shared" si="8"/>
        <v>0</v>
      </c>
    </row>
    <row r="127" spans="2:10" x14ac:dyDescent="0.2">
      <c r="B127" s="93"/>
      <c r="C127" s="97"/>
      <c r="D127" s="93"/>
      <c r="E127" s="98"/>
      <c r="F127" s="100">
        <v>123</v>
      </c>
      <c r="G127" s="101">
        <f t="shared" si="5"/>
        <v>0</v>
      </c>
      <c r="H127" s="101">
        <f t="shared" si="6"/>
        <v>0</v>
      </c>
      <c r="I127" s="101">
        <f t="shared" si="7"/>
        <v>0</v>
      </c>
      <c r="J127" s="101">
        <f t="shared" si="8"/>
        <v>0</v>
      </c>
    </row>
    <row r="128" spans="2:10" x14ac:dyDescent="0.2">
      <c r="B128" s="93"/>
      <c r="C128" s="97"/>
      <c r="D128" s="93"/>
      <c r="E128" s="98"/>
      <c r="F128" s="100">
        <v>124</v>
      </c>
      <c r="G128" s="101">
        <f t="shared" si="5"/>
        <v>0</v>
      </c>
      <c r="H128" s="101">
        <f t="shared" si="6"/>
        <v>0</v>
      </c>
      <c r="I128" s="101">
        <f t="shared" si="7"/>
        <v>0</v>
      </c>
      <c r="J128" s="101">
        <f t="shared" si="8"/>
        <v>0</v>
      </c>
    </row>
    <row r="129" spans="2:10" x14ac:dyDescent="0.2">
      <c r="B129" s="93"/>
      <c r="C129" s="97"/>
      <c r="D129" s="93"/>
      <c r="E129" s="98"/>
      <c r="F129" s="100">
        <v>125</v>
      </c>
      <c r="G129" s="101">
        <f t="shared" si="5"/>
        <v>0</v>
      </c>
      <c r="H129" s="101">
        <f t="shared" si="6"/>
        <v>0</v>
      </c>
      <c r="I129" s="101">
        <f t="shared" si="7"/>
        <v>0</v>
      </c>
      <c r="J129" s="101">
        <f t="shared" si="8"/>
        <v>0</v>
      </c>
    </row>
    <row r="130" spans="2:10" x14ac:dyDescent="0.2">
      <c r="B130" s="93"/>
      <c r="C130" s="97"/>
      <c r="D130" s="93"/>
      <c r="E130" s="98"/>
      <c r="F130" s="100">
        <v>126</v>
      </c>
      <c r="G130" s="101">
        <f t="shared" si="5"/>
        <v>0</v>
      </c>
      <c r="H130" s="101">
        <f t="shared" si="6"/>
        <v>0</v>
      </c>
      <c r="I130" s="101">
        <f t="shared" si="7"/>
        <v>0</v>
      </c>
      <c r="J130" s="101">
        <f t="shared" si="8"/>
        <v>0</v>
      </c>
    </row>
    <row r="131" spans="2:10" x14ac:dyDescent="0.2">
      <c r="B131" s="93"/>
      <c r="C131" s="97"/>
      <c r="D131" s="93"/>
      <c r="E131" s="98"/>
      <c r="F131" s="100">
        <v>127</v>
      </c>
      <c r="G131" s="101">
        <f t="shared" si="5"/>
        <v>0</v>
      </c>
      <c r="H131" s="101">
        <f t="shared" si="6"/>
        <v>0</v>
      </c>
      <c r="I131" s="101">
        <f t="shared" si="7"/>
        <v>0</v>
      </c>
      <c r="J131" s="101">
        <f t="shared" si="8"/>
        <v>0</v>
      </c>
    </row>
    <row r="132" spans="2:10" x14ac:dyDescent="0.2">
      <c r="B132" s="93"/>
      <c r="C132" s="97"/>
      <c r="D132" s="93"/>
      <c r="E132" s="98"/>
      <c r="F132" s="100">
        <v>128</v>
      </c>
      <c r="G132" s="101">
        <f t="shared" si="5"/>
        <v>0</v>
      </c>
      <c r="H132" s="101">
        <f t="shared" si="6"/>
        <v>0</v>
      </c>
      <c r="I132" s="101">
        <f t="shared" si="7"/>
        <v>0</v>
      </c>
      <c r="J132" s="101">
        <f t="shared" si="8"/>
        <v>0</v>
      </c>
    </row>
    <row r="133" spans="2:10" x14ac:dyDescent="0.2">
      <c r="B133" s="93"/>
      <c r="C133" s="97"/>
      <c r="D133" s="93"/>
      <c r="E133" s="98"/>
      <c r="F133" s="100">
        <v>129</v>
      </c>
      <c r="G133" s="101">
        <f t="shared" si="5"/>
        <v>0</v>
      </c>
      <c r="H133" s="101">
        <f t="shared" si="6"/>
        <v>0</v>
      </c>
      <c r="I133" s="101">
        <f t="shared" si="7"/>
        <v>0</v>
      </c>
      <c r="J133" s="101">
        <f t="shared" si="8"/>
        <v>0</v>
      </c>
    </row>
    <row r="134" spans="2:10" x14ac:dyDescent="0.2">
      <c r="B134" s="93"/>
      <c r="C134" s="97"/>
      <c r="D134" s="93"/>
      <c r="E134" s="98"/>
      <c r="F134" s="100">
        <v>130</v>
      </c>
      <c r="G134" s="101">
        <f t="shared" ref="G134:G197" si="9">B134</f>
        <v>0</v>
      </c>
      <c r="H134" s="101">
        <f t="shared" ref="H134:H197" si="10">C134</f>
        <v>0</v>
      </c>
      <c r="I134" s="101">
        <f t="shared" ref="I134:I197" si="11">D134</f>
        <v>0</v>
      </c>
      <c r="J134" s="101">
        <f t="shared" ref="J134:J197" si="12">E134</f>
        <v>0</v>
      </c>
    </row>
    <row r="135" spans="2:10" x14ac:dyDescent="0.2">
      <c r="B135" s="93"/>
      <c r="C135" s="97"/>
      <c r="D135" s="93"/>
      <c r="E135" s="98"/>
      <c r="F135" s="100">
        <v>131</v>
      </c>
      <c r="G135" s="101">
        <f t="shared" si="9"/>
        <v>0</v>
      </c>
      <c r="H135" s="101">
        <f t="shared" si="10"/>
        <v>0</v>
      </c>
      <c r="I135" s="101">
        <f t="shared" si="11"/>
        <v>0</v>
      </c>
      <c r="J135" s="101">
        <f t="shared" si="12"/>
        <v>0</v>
      </c>
    </row>
    <row r="136" spans="2:10" x14ac:dyDescent="0.2">
      <c r="B136" s="93"/>
      <c r="C136" s="97"/>
      <c r="D136" s="93"/>
      <c r="E136" s="98"/>
      <c r="F136" s="100">
        <v>132</v>
      </c>
      <c r="G136" s="101">
        <f t="shared" si="9"/>
        <v>0</v>
      </c>
      <c r="H136" s="101">
        <f t="shared" si="10"/>
        <v>0</v>
      </c>
      <c r="I136" s="101">
        <f t="shared" si="11"/>
        <v>0</v>
      </c>
      <c r="J136" s="101">
        <f t="shared" si="12"/>
        <v>0</v>
      </c>
    </row>
    <row r="137" spans="2:10" x14ac:dyDescent="0.2">
      <c r="B137" s="93"/>
      <c r="C137" s="97"/>
      <c r="D137" s="93"/>
      <c r="E137" s="98"/>
      <c r="F137" s="100">
        <v>133</v>
      </c>
      <c r="G137" s="101">
        <f t="shared" si="9"/>
        <v>0</v>
      </c>
      <c r="H137" s="101">
        <f t="shared" si="10"/>
        <v>0</v>
      </c>
      <c r="I137" s="101">
        <f t="shared" si="11"/>
        <v>0</v>
      </c>
      <c r="J137" s="101">
        <f t="shared" si="12"/>
        <v>0</v>
      </c>
    </row>
    <row r="138" spans="2:10" x14ac:dyDescent="0.2">
      <c r="B138" s="93"/>
      <c r="C138" s="97"/>
      <c r="D138" s="93"/>
      <c r="E138" s="98"/>
      <c r="F138" s="100">
        <v>134</v>
      </c>
      <c r="G138" s="101">
        <f t="shared" si="9"/>
        <v>0</v>
      </c>
      <c r="H138" s="101">
        <f t="shared" si="10"/>
        <v>0</v>
      </c>
      <c r="I138" s="101">
        <f t="shared" si="11"/>
        <v>0</v>
      </c>
      <c r="J138" s="101">
        <f t="shared" si="12"/>
        <v>0</v>
      </c>
    </row>
    <row r="139" spans="2:10" x14ac:dyDescent="0.2">
      <c r="B139" s="93"/>
      <c r="C139" s="97"/>
      <c r="D139" s="93"/>
      <c r="E139" s="98"/>
      <c r="F139" s="100">
        <v>135</v>
      </c>
      <c r="G139" s="101">
        <f t="shared" si="9"/>
        <v>0</v>
      </c>
      <c r="H139" s="101">
        <f t="shared" si="10"/>
        <v>0</v>
      </c>
      <c r="I139" s="101">
        <f t="shared" si="11"/>
        <v>0</v>
      </c>
      <c r="J139" s="101">
        <f t="shared" si="12"/>
        <v>0</v>
      </c>
    </row>
    <row r="140" spans="2:10" x14ac:dyDescent="0.2">
      <c r="B140" s="93"/>
      <c r="C140" s="97"/>
      <c r="D140" s="93"/>
      <c r="E140" s="98"/>
      <c r="F140" s="100">
        <v>136</v>
      </c>
      <c r="G140" s="101">
        <f t="shared" si="9"/>
        <v>0</v>
      </c>
      <c r="H140" s="101">
        <f t="shared" si="10"/>
        <v>0</v>
      </c>
      <c r="I140" s="101">
        <f t="shared" si="11"/>
        <v>0</v>
      </c>
      <c r="J140" s="101">
        <f t="shared" si="12"/>
        <v>0</v>
      </c>
    </row>
    <row r="141" spans="2:10" x14ac:dyDescent="0.2">
      <c r="B141" s="93"/>
      <c r="C141" s="97"/>
      <c r="D141" s="93"/>
      <c r="E141" s="98"/>
      <c r="F141" s="100">
        <v>137</v>
      </c>
      <c r="G141" s="101">
        <f t="shared" si="9"/>
        <v>0</v>
      </c>
      <c r="H141" s="101">
        <f t="shared" si="10"/>
        <v>0</v>
      </c>
      <c r="I141" s="101">
        <f t="shared" si="11"/>
        <v>0</v>
      </c>
      <c r="J141" s="101">
        <f t="shared" si="12"/>
        <v>0</v>
      </c>
    </row>
    <row r="142" spans="2:10" x14ac:dyDescent="0.2">
      <c r="B142" s="93"/>
      <c r="C142" s="97"/>
      <c r="D142" s="93"/>
      <c r="E142" s="98"/>
      <c r="F142" s="100">
        <v>138</v>
      </c>
      <c r="G142" s="101">
        <f t="shared" si="9"/>
        <v>0</v>
      </c>
      <c r="H142" s="101">
        <f t="shared" si="10"/>
        <v>0</v>
      </c>
      <c r="I142" s="101">
        <f t="shared" si="11"/>
        <v>0</v>
      </c>
      <c r="J142" s="101">
        <f t="shared" si="12"/>
        <v>0</v>
      </c>
    </row>
    <row r="143" spans="2:10" x14ac:dyDescent="0.2">
      <c r="B143" s="93"/>
      <c r="C143" s="97"/>
      <c r="D143" s="93"/>
      <c r="E143" s="98"/>
      <c r="F143" s="100">
        <v>139</v>
      </c>
      <c r="G143" s="101">
        <f t="shared" si="9"/>
        <v>0</v>
      </c>
      <c r="H143" s="101">
        <f t="shared" si="10"/>
        <v>0</v>
      </c>
      <c r="I143" s="101">
        <f t="shared" si="11"/>
        <v>0</v>
      </c>
      <c r="J143" s="101">
        <f t="shared" si="12"/>
        <v>0</v>
      </c>
    </row>
    <row r="144" spans="2:10" x14ac:dyDescent="0.2">
      <c r="B144" s="93"/>
      <c r="C144" s="97"/>
      <c r="D144" s="93"/>
      <c r="E144" s="98"/>
      <c r="F144" s="100">
        <v>140</v>
      </c>
      <c r="G144" s="101">
        <f t="shared" si="9"/>
        <v>0</v>
      </c>
      <c r="H144" s="101">
        <f t="shared" si="10"/>
        <v>0</v>
      </c>
      <c r="I144" s="101">
        <f t="shared" si="11"/>
        <v>0</v>
      </c>
      <c r="J144" s="101">
        <f t="shared" si="12"/>
        <v>0</v>
      </c>
    </row>
    <row r="145" spans="2:10" x14ac:dyDescent="0.2">
      <c r="B145" s="93"/>
      <c r="C145" s="97"/>
      <c r="D145" s="93"/>
      <c r="E145" s="98"/>
      <c r="F145" s="100">
        <v>141</v>
      </c>
      <c r="G145" s="101">
        <f t="shared" si="9"/>
        <v>0</v>
      </c>
      <c r="H145" s="101">
        <f t="shared" si="10"/>
        <v>0</v>
      </c>
      <c r="I145" s="101">
        <f t="shared" si="11"/>
        <v>0</v>
      </c>
      <c r="J145" s="101">
        <f t="shared" si="12"/>
        <v>0</v>
      </c>
    </row>
    <row r="146" spans="2:10" x14ac:dyDescent="0.2">
      <c r="B146" s="93"/>
      <c r="C146" s="97"/>
      <c r="D146" s="93"/>
      <c r="E146" s="98"/>
      <c r="F146" s="100">
        <v>142</v>
      </c>
      <c r="G146" s="101">
        <f t="shared" si="9"/>
        <v>0</v>
      </c>
      <c r="H146" s="101">
        <f t="shared" si="10"/>
        <v>0</v>
      </c>
      <c r="I146" s="101">
        <f t="shared" si="11"/>
        <v>0</v>
      </c>
      <c r="J146" s="101">
        <f t="shared" si="12"/>
        <v>0</v>
      </c>
    </row>
    <row r="147" spans="2:10" x14ac:dyDescent="0.2">
      <c r="B147" s="93"/>
      <c r="C147" s="97"/>
      <c r="D147" s="93"/>
      <c r="E147" s="98"/>
      <c r="F147" s="100">
        <v>143</v>
      </c>
      <c r="G147" s="101">
        <f t="shared" si="9"/>
        <v>0</v>
      </c>
      <c r="H147" s="101">
        <f t="shared" si="10"/>
        <v>0</v>
      </c>
      <c r="I147" s="101">
        <f t="shared" si="11"/>
        <v>0</v>
      </c>
      <c r="J147" s="101">
        <f t="shared" si="12"/>
        <v>0</v>
      </c>
    </row>
    <row r="148" spans="2:10" x14ac:dyDescent="0.2">
      <c r="B148" s="93"/>
      <c r="C148" s="97"/>
      <c r="D148" s="93"/>
      <c r="E148" s="98"/>
      <c r="F148" s="100">
        <v>144</v>
      </c>
      <c r="G148" s="101">
        <f t="shared" si="9"/>
        <v>0</v>
      </c>
      <c r="H148" s="101">
        <f t="shared" si="10"/>
        <v>0</v>
      </c>
      <c r="I148" s="101">
        <f t="shared" si="11"/>
        <v>0</v>
      </c>
      <c r="J148" s="101">
        <f t="shared" si="12"/>
        <v>0</v>
      </c>
    </row>
    <row r="149" spans="2:10" x14ac:dyDescent="0.2">
      <c r="B149" s="93"/>
      <c r="C149" s="97"/>
      <c r="D149" s="93"/>
      <c r="E149" s="98"/>
      <c r="F149" s="100">
        <v>145</v>
      </c>
      <c r="G149" s="101">
        <f t="shared" si="9"/>
        <v>0</v>
      </c>
      <c r="H149" s="101">
        <f t="shared" si="10"/>
        <v>0</v>
      </c>
      <c r="I149" s="101">
        <f t="shared" si="11"/>
        <v>0</v>
      </c>
      <c r="J149" s="101">
        <f t="shared" si="12"/>
        <v>0</v>
      </c>
    </row>
    <row r="150" spans="2:10" x14ac:dyDescent="0.2">
      <c r="B150" s="93"/>
      <c r="C150" s="97"/>
      <c r="D150" s="93"/>
      <c r="E150" s="98"/>
      <c r="F150" s="100">
        <v>146</v>
      </c>
      <c r="G150" s="101">
        <f t="shared" si="9"/>
        <v>0</v>
      </c>
      <c r="H150" s="101">
        <f t="shared" si="10"/>
        <v>0</v>
      </c>
      <c r="I150" s="101">
        <f t="shared" si="11"/>
        <v>0</v>
      </c>
      <c r="J150" s="101">
        <f t="shared" si="12"/>
        <v>0</v>
      </c>
    </row>
    <row r="151" spans="2:10" x14ac:dyDescent="0.2">
      <c r="B151" s="93"/>
      <c r="C151" s="97"/>
      <c r="D151" s="93"/>
      <c r="E151" s="98"/>
      <c r="F151" s="100">
        <v>147</v>
      </c>
      <c r="G151" s="101">
        <f t="shared" si="9"/>
        <v>0</v>
      </c>
      <c r="H151" s="101">
        <f t="shared" si="10"/>
        <v>0</v>
      </c>
      <c r="I151" s="101">
        <f t="shared" si="11"/>
        <v>0</v>
      </c>
      <c r="J151" s="101">
        <f t="shared" si="12"/>
        <v>0</v>
      </c>
    </row>
    <row r="152" spans="2:10" x14ac:dyDescent="0.2">
      <c r="B152" s="93"/>
      <c r="C152" s="97"/>
      <c r="D152" s="93"/>
      <c r="E152" s="98"/>
      <c r="F152" s="100">
        <v>148</v>
      </c>
      <c r="G152" s="101">
        <f t="shared" si="9"/>
        <v>0</v>
      </c>
      <c r="H152" s="101">
        <f t="shared" si="10"/>
        <v>0</v>
      </c>
      <c r="I152" s="101">
        <f t="shared" si="11"/>
        <v>0</v>
      </c>
      <c r="J152" s="101">
        <f t="shared" si="12"/>
        <v>0</v>
      </c>
    </row>
    <row r="153" spans="2:10" x14ac:dyDescent="0.2">
      <c r="B153" s="93"/>
      <c r="C153" s="97"/>
      <c r="D153" s="93"/>
      <c r="E153" s="98"/>
      <c r="F153" s="100">
        <v>149</v>
      </c>
      <c r="G153" s="101">
        <f t="shared" si="9"/>
        <v>0</v>
      </c>
      <c r="H153" s="101">
        <f t="shared" si="10"/>
        <v>0</v>
      </c>
      <c r="I153" s="101">
        <f t="shared" si="11"/>
        <v>0</v>
      </c>
      <c r="J153" s="101">
        <f t="shared" si="12"/>
        <v>0</v>
      </c>
    </row>
    <row r="154" spans="2:10" x14ac:dyDescent="0.2">
      <c r="B154" s="93"/>
      <c r="C154" s="97"/>
      <c r="D154" s="93"/>
      <c r="E154" s="98"/>
      <c r="F154" s="100">
        <v>150</v>
      </c>
      <c r="G154" s="101">
        <f t="shared" si="9"/>
        <v>0</v>
      </c>
      <c r="H154" s="101">
        <f t="shared" si="10"/>
        <v>0</v>
      </c>
      <c r="I154" s="101">
        <f t="shared" si="11"/>
        <v>0</v>
      </c>
      <c r="J154" s="101">
        <f t="shared" si="12"/>
        <v>0</v>
      </c>
    </row>
    <row r="155" spans="2:10" x14ac:dyDescent="0.2">
      <c r="B155" s="93"/>
      <c r="C155" s="97"/>
      <c r="D155" s="93"/>
      <c r="E155" s="98"/>
      <c r="F155" s="100">
        <v>151</v>
      </c>
      <c r="G155" s="101">
        <f t="shared" si="9"/>
        <v>0</v>
      </c>
      <c r="H155" s="101">
        <f t="shared" si="10"/>
        <v>0</v>
      </c>
      <c r="I155" s="101">
        <f t="shared" si="11"/>
        <v>0</v>
      </c>
      <c r="J155" s="101">
        <f t="shared" si="12"/>
        <v>0</v>
      </c>
    </row>
    <row r="156" spans="2:10" x14ac:dyDescent="0.2">
      <c r="B156" s="93"/>
      <c r="C156" s="97"/>
      <c r="D156" s="93"/>
      <c r="E156" s="98"/>
      <c r="F156" s="100">
        <v>152</v>
      </c>
      <c r="G156" s="101">
        <f t="shared" si="9"/>
        <v>0</v>
      </c>
      <c r="H156" s="101">
        <f t="shared" si="10"/>
        <v>0</v>
      </c>
      <c r="I156" s="101">
        <f t="shared" si="11"/>
        <v>0</v>
      </c>
      <c r="J156" s="101">
        <f t="shared" si="12"/>
        <v>0</v>
      </c>
    </row>
    <row r="157" spans="2:10" x14ac:dyDescent="0.2">
      <c r="B157" s="93"/>
      <c r="C157" s="97"/>
      <c r="D157" s="93"/>
      <c r="E157" s="98"/>
      <c r="F157" s="100">
        <v>153</v>
      </c>
      <c r="G157" s="101">
        <f t="shared" si="9"/>
        <v>0</v>
      </c>
      <c r="H157" s="101">
        <f t="shared" si="10"/>
        <v>0</v>
      </c>
      <c r="I157" s="101">
        <f t="shared" si="11"/>
        <v>0</v>
      </c>
      <c r="J157" s="101">
        <f t="shared" si="12"/>
        <v>0</v>
      </c>
    </row>
    <row r="158" spans="2:10" x14ac:dyDescent="0.2">
      <c r="B158" s="93"/>
      <c r="C158" s="97"/>
      <c r="D158" s="93"/>
      <c r="E158" s="98"/>
      <c r="F158" s="100">
        <v>154</v>
      </c>
      <c r="G158" s="101">
        <f t="shared" si="9"/>
        <v>0</v>
      </c>
      <c r="H158" s="101">
        <f t="shared" si="10"/>
        <v>0</v>
      </c>
      <c r="I158" s="101">
        <f t="shared" si="11"/>
        <v>0</v>
      </c>
      <c r="J158" s="101">
        <f t="shared" si="12"/>
        <v>0</v>
      </c>
    </row>
    <row r="159" spans="2:10" x14ac:dyDescent="0.2">
      <c r="B159" s="93"/>
      <c r="C159" s="97"/>
      <c r="D159" s="93"/>
      <c r="E159" s="98"/>
      <c r="F159" s="100">
        <v>155</v>
      </c>
      <c r="G159" s="101">
        <f t="shared" si="9"/>
        <v>0</v>
      </c>
      <c r="H159" s="101">
        <f t="shared" si="10"/>
        <v>0</v>
      </c>
      <c r="I159" s="101">
        <f t="shared" si="11"/>
        <v>0</v>
      </c>
      <c r="J159" s="101">
        <f t="shared" si="12"/>
        <v>0</v>
      </c>
    </row>
    <row r="160" spans="2:10" x14ac:dyDescent="0.2">
      <c r="B160" s="93"/>
      <c r="C160" s="97"/>
      <c r="D160" s="93"/>
      <c r="E160" s="98"/>
      <c r="F160" s="100">
        <v>156</v>
      </c>
      <c r="G160" s="101">
        <f t="shared" si="9"/>
        <v>0</v>
      </c>
      <c r="H160" s="101">
        <f t="shared" si="10"/>
        <v>0</v>
      </c>
      <c r="I160" s="101">
        <f t="shared" si="11"/>
        <v>0</v>
      </c>
      <c r="J160" s="101">
        <f t="shared" si="12"/>
        <v>0</v>
      </c>
    </row>
    <row r="161" spans="2:10" x14ac:dyDescent="0.2">
      <c r="B161" s="93"/>
      <c r="C161" s="97"/>
      <c r="D161" s="93"/>
      <c r="E161" s="98"/>
      <c r="F161" s="100">
        <v>157</v>
      </c>
      <c r="G161" s="101">
        <f t="shared" si="9"/>
        <v>0</v>
      </c>
      <c r="H161" s="101">
        <f t="shared" si="10"/>
        <v>0</v>
      </c>
      <c r="I161" s="101">
        <f t="shared" si="11"/>
        <v>0</v>
      </c>
      <c r="J161" s="101">
        <f t="shared" si="12"/>
        <v>0</v>
      </c>
    </row>
    <row r="162" spans="2:10" x14ac:dyDescent="0.2">
      <c r="B162" s="93"/>
      <c r="C162" s="97"/>
      <c r="D162" s="93"/>
      <c r="E162" s="98"/>
      <c r="F162" s="100">
        <v>158</v>
      </c>
      <c r="G162" s="101">
        <f t="shared" si="9"/>
        <v>0</v>
      </c>
      <c r="H162" s="101">
        <f t="shared" si="10"/>
        <v>0</v>
      </c>
      <c r="I162" s="101">
        <f t="shared" si="11"/>
        <v>0</v>
      </c>
      <c r="J162" s="101">
        <f t="shared" si="12"/>
        <v>0</v>
      </c>
    </row>
    <row r="163" spans="2:10" x14ac:dyDescent="0.2">
      <c r="B163" s="93"/>
      <c r="C163" s="97"/>
      <c r="D163" s="93"/>
      <c r="E163" s="98"/>
      <c r="F163" s="100">
        <v>159</v>
      </c>
      <c r="G163" s="101">
        <f t="shared" si="9"/>
        <v>0</v>
      </c>
      <c r="H163" s="101">
        <f t="shared" si="10"/>
        <v>0</v>
      </c>
      <c r="I163" s="101">
        <f t="shared" si="11"/>
        <v>0</v>
      </c>
      <c r="J163" s="101">
        <f t="shared" si="12"/>
        <v>0</v>
      </c>
    </row>
    <row r="164" spans="2:10" x14ac:dyDescent="0.2">
      <c r="B164" s="93"/>
      <c r="C164" s="97"/>
      <c r="D164" s="93"/>
      <c r="E164" s="98"/>
      <c r="F164" s="100">
        <v>160</v>
      </c>
      <c r="G164" s="101">
        <f t="shared" si="9"/>
        <v>0</v>
      </c>
      <c r="H164" s="101">
        <f t="shared" si="10"/>
        <v>0</v>
      </c>
      <c r="I164" s="101">
        <f t="shared" si="11"/>
        <v>0</v>
      </c>
      <c r="J164" s="101">
        <f t="shared" si="12"/>
        <v>0</v>
      </c>
    </row>
    <row r="165" spans="2:10" x14ac:dyDescent="0.2">
      <c r="B165" s="93"/>
      <c r="C165" s="97"/>
      <c r="D165" s="93"/>
      <c r="E165" s="98"/>
      <c r="F165" s="100">
        <v>161</v>
      </c>
      <c r="G165" s="101">
        <f t="shared" si="9"/>
        <v>0</v>
      </c>
      <c r="H165" s="101">
        <f t="shared" si="10"/>
        <v>0</v>
      </c>
      <c r="I165" s="101">
        <f t="shared" si="11"/>
        <v>0</v>
      </c>
      <c r="J165" s="101">
        <f t="shared" si="12"/>
        <v>0</v>
      </c>
    </row>
    <row r="166" spans="2:10" x14ac:dyDescent="0.2">
      <c r="B166" s="93"/>
      <c r="C166" s="97"/>
      <c r="D166" s="93"/>
      <c r="E166" s="98"/>
      <c r="F166" s="100">
        <v>162</v>
      </c>
      <c r="G166" s="101">
        <f t="shared" si="9"/>
        <v>0</v>
      </c>
      <c r="H166" s="101">
        <f t="shared" si="10"/>
        <v>0</v>
      </c>
      <c r="I166" s="101">
        <f t="shared" si="11"/>
        <v>0</v>
      </c>
      <c r="J166" s="101">
        <f t="shared" si="12"/>
        <v>0</v>
      </c>
    </row>
    <row r="167" spans="2:10" x14ac:dyDescent="0.2">
      <c r="B167" s="93"/>
      <c r="C167" s="97"/>
      <c r="D167" s="93"/>
      <c r="E167" s="98"/>
      <c r="F167" s="100">
        <v>163</v>
      </c>
      <c r="G167" s="101">
        <f t="shared" si="9"/>
        <v>0</v>
      </c>
      <c r="H167" s="101">
        <f t="shared" si="10"/>
        <v>0</v>
      </c>
      <c r="I167" s="101">
        <f t="shared" si="11"/>
        <v>0</v>
      </c>
      <c r="J167" s="101">
        <f t="shared" si="12"/>
        <v>0</v>
      </c>
    </row>
    <row r="168" spans="2:10" x14ac:dyDescent="0.2">
      <c r="B168" s="93"/>
      <c r="C168" s="97"/>
      <c r="D168" s="93"/>
      <c r="E168" s="98"/>
      <c r="F168" s="100">
        <v>164</v>
      </c>
      <c r="G168" s="101">
        <f t="shared" si="9"/>
        <v>0</v>
      </c>
      <c r="H168" s="101">
        <f t="shared" si="10"/>
        <v>0</v>
      </c>
      <c r="I168" s="101">
        <f t="shared" si="11"/>
        <v>0</v>
      </c>
      <c r="J168" s="101">
        <f t="shared" si="12"/>
        <v>0</v>
      </c>
    </row>
    <row r="169" spans="2:10" x14ac:dyDescent="0.2">
      <c r="B169" s="93"/>
      <c r="C169" s="97"/>
      <c r="D169" s="93"/>
      <c r="E169" s="98"/>
      <c r="F169" s="100">
        <v>165</v>
      </c>
      <c r="G169" s="101">
        <f t="shared" si="9"/>
        <v>0</v>
      </c>
      <c r="H169" s="101">
        <f t="shared" si="10"/>
        <v>0</v>
      </c>
      <c r="I169" s="101">
        <f t="shared" si="11"/>
        <v>0</v>
      </c>
      <c r="J169" s="101">
        <f t="shared" si="12"/>
        <v>0</v>
      </c>
    </row>
    <row r="170" spans="2:10" x14ac:dyDescent="0.2">
      <c r="B170" s="93"/>
      <c r="C170" s="97"/>
      <c r="D170" s="93"/>
      <c r="E170" s="98"/>
      <c r="F170" s="100">
        <v>166</v>
      </c>
      <c r="G170" s="101">
        <f t="shared" si="9"/>
        <v>0</v>
      </c>
      <c r="H170" s="101">
        <f t="shared" si="10"/>
        <v>0</v>
      </c>
      <c r="I170" s="101">
        <f t="shared" si="11"/>
        <v>0</v>
      </c>
      <c r="J170" s="101">
        <f t="shared" si="12"/>
        <v>0</v>
      </c>
    </row>
    <row r="171" spans="2:10" x14ac:dyDescent="0.2">
      <c r="B171" s="93"/>
      <c r="C171" s="97"/>
      <c r="D171" s="93"/>
      <c r="E171" s="98"/>
      <c r="F171" s="100">
        <v>167</v>
      </c>
      <c r="G171" s="101">
        <f t="shared" si="9"/>
        <v>0</v>
      </c>
      <c r="H171" s="101">
        <f t="shared" si="10"/>
        <v>0</v>
      </c>
      <c r="I171" s="101">
        <f t="shared" si="11"/>
        <v>0</v>
      </c>
      <c r="J171" s="101">
        <f t="shared" si="12"/>
        <v>0</v>
      </c>
    </row>
    <row r="172" spans="2:10" x14ac:dyDescent="0.2">
      <c r="B172" s="93"/>
      <c r="C172" s="97"/>
      <c r="D172" s="93"/>
      <c r="E172" s="98"/>
      <c r="F172" s="100">
        <v>168</v>
      </c>
      <c r="G172" s="101">
        <f t="shared" si="9"/>
        <v>0</v>
      </c>
      <c r="H172" s="101">
        <f t="shared" si="10"/>
        <v>0</v>
      </c>
      <c r="I172" s="101">
        <f t="shared" si="11"/>
        <v>0</v>
      </c>
      <c r="J172" s="101">
        <f t="shared" si="12"/>
        <v>0</v>
      </c>
    </row>
    <row r="173" spans="2:10" x14ac:dyDescent="0.2">
      <c r="B173" s="93"/>
      <c r="C173" s="97"/>
      <c r="D173" s="93"/>
      <c r="E173" s="98"/>
      <c r="F173" s="100">
        <v>169</v>
      </c>
      <c r="G173" s="101">
        <f t="shared" si="9"/>
        <v>0</v>
      </c>
      <c r="H173" s="101">
        <f t="shared" si="10"/>
        <v>0</v>
      </c>
      <c r="I173" s="101">
        <f t="shared" si="11"/>
        <v>0</v>
      </c>
      <c r="J173" s="101">
        <f t="shared" si="12"/>
        <v>0</v>
      </c>
    </row>
    <row r="174" spans="2:10" x14ac:dyDescent="0.2">
      <c r="B174" s="93"/>
      <c r="C174" s="97"/>
      <c r="D174" s="93"/>
      <c r="E174" s="98"/>
      <c r="F174" s="100">
        <v>170</v>
      </c>
      <c r="G174" s="101">
        <f t="shared" si="9"/>
        <v>0</v>
      </c>
      <c r="H174" s="101">
        <f t="shared" si="10"/>
        <v>0</v>
      </c>
      <c r="I174" s="101">
        <f t="shared" si="11"/>
        <v>0</v>
      </c>
      <c r="J174" s="101">
        <f t="shared" si="12"/>
        <v>0</v>
      </c>
    </row>
    <row r="175" spans="2:10" x14ac:dyDescent="0.2">
      <c r="B175" s="93"/>
      <c r="C175" s="97"/>
      <c r="D175" s="93"/>
      <c r="E175" s="98"/>
      <c r="F175" s="100">
        <v>171</v>
      </c>
      <c r="G175" s="101">
        <f t="shared" si="9"/>
        <v>0</v>
      </c>
      <c r="H175" s="101">
        <f t="shared" si="10"/>
        <v>0</v>
      </c>
      <c r="I175" s="101">
        <f t="shared" si="11"/>
        <v>0</v>
      </c>
      <c r="J175" s="101">
        <f t="shared" si="12"/>
        <v>0</v>
      </c>
    </row>
    <row r="176" spans="2:10" x14ac:dyDescent="0.2">
      <c r="B176" s="93"/>
      <c r="C176" s="97"/>
      <c r="D176" s="93"/>
      <c r="E176" s="98"/>
      <c r="F176" s="100">
        <v>172</v>
      </c>
      <c r="G176" s="101">
        <f t="shared" si="9"/>
        <v>0</v>
      </c>
      <c r="H176" s="101">
        <f t="shared" si="10"/>
        <v>0</v>
      </c>
      <c r="I176" s="101">
        <f t="shared" si="11"/>
        <v>0</v>
      </c>
      <c r="J176" s="101">
        <f t="shared" si="12"/>
        <v>0</v>
      </c>
    </row>
    <row r="177" spans="2:10" x14ac:dyDescent="0.2">
      <c r="B177" s="93"/>
      <c r="C177" s="97"/>
      <c r="D177" s="93"/>
      <c r="E177" s="98"/>
      <c r="F177" s="100">
        <v>173</v>
      </c>
      <c r="G177" s="101">
        <f t="shared" si="9"/>
        <v>0</v>
      </c>
      <c r="H177" s="101">
        <f t="shared" si="10"/>
        <v>0</v>
      </c>
      <c r="I177" s="101">
        <f t="shared" si="11"/>
        <v>0</v>
      </c>
      <c r="J177" s="101">
        <f t="shared" si="12"/>
        <v>0</v>
      </c>
    </row>
    <row r="178" spans="2:10" x14ac:dyDescent="0.2">
      <c r="B178" s="93"/>
      <c r="C178" s="97"/>
      <c r="D178" s="93"/>
      <c r="E178" s="98"/>
      <c r="F178" s="100">
        <v>174</v>
      </c>
      <c r="G178" s="101">
        <f t="shared" si="9"/>
        <v>0</v>
      </c>
      <c r="H178" s="101">
        <f t="shared" si="10"/>
        <v>0</v>
      </c>
      <c r="I178" s="101">
        <f t="shared" si="11"/>
        <v>0</v>
      </c>
      <c r="J178" s="101">
        <f t="shared" si="12"/>
        <v>0</v>
      </c>
    </row>
    <row r="179" spans="2:10" x14ac:dyDescent="0.2">
      <c r="B179" s="93"/>
      <c r="C179" s="97"/>
      <c r="D179" s="93"/>
      <c r="E179" s="98"/>
      <c r="F179" s="100">
        <v>175</v>
      </c>
      <c r="G179" s="101">
        <f t="shared" si="9"/>
        <v>0</v>
      </c>
      <c r="H179" s="101">
        <f t="shared" si="10"/>
        <v>0</v>
      </c>
      <c r="I179" s="101">
        <f t="shared" si="11"/>
        <v>0</v>
      </c>
      <c r="J179" s="101">
        <f t="shared" si="12"/>
        <v>0</v>
      </c>
    </row>
    <row r="180" spans="2:10" x14ac:dyDescent="0.2">
      <c r="B180" s="93"/>
      <c r="C180" s="97"/>
      <c r="D180" s="93"/>
      <c r="E180" s="98"/>
      <c r="F180" s="100">
        <v>176</v>
      </c>
      <c r="G180" s="101">
        <f t="shared" si="9"/>
        <v>0</v>
      </c>
      <c r="H180" s="101">
        <f t="shared" si="10"/>
        <v>0</v>
      </c>
      <c r="I180" s="101">
        <f t="shared" si="11"/>
        <v>0</v>
      </c>
      <c r="J180" s="101">
        <f t="shared" si="12"/>
        <v>0</v>
      </c>
    </row>
    <row r="181" spans="2:10" x14ac:dyDescent="0.2">
      <c r="B181" s="93"/>
      <c r="C181" s="97"/>
      <c r="D181" s="93"/>
      <c r="E181" s="98"/>
      <c r="F181" s="100">
        <v>177</v>
      </c>
      <c r="G181" s="101">
        <f t="shared" si="9"/>
        <v>0</v>
      </c>
      <c r="H181" s="101">
        <f t="shared" si="10"/>
        <v>0</v>
      </c>
      <c r="I181" s="101">
        <f t="shared" si="11"/>
        <v>0</v>
      </c>
      <c r="J181" s="101">
        <f t="shared" si="12"/>
        <v>0</v>
      </c>
    </row>
    <row r="182" spans="2:10" x14ac:dyDescent="0.2">
      <c r="B182" s="93"/>
      <c r="C182" s="97"/>
      <c r="D182" s="93"/>
      <c r="E182" s="98"/>
      <c r="F182" s="100">
        <v>178</v>
      </c>
      <c r="G182" s="101">
        <f t="shared" si="9"/>
        <v>0</v>
      </c>
      <c r="H182" s="101">
        <f t="shared" si="10"/>
        <v>0</v>
      </c>
      <c r="I182" s="101">
        <f t="shared" si="11"/>
        <v>0</v>
      </c>
      <c r="J182" s="101">
        <f t="shared" si="12"/>
        <v>0</v>
      </c>
    </row>
    <row r="183" spans="2:10" x14ac:dyDescent="0.2">
      <c r="B183" s="93"/>
      <c r="C183" s="97"/>
      <c r="D183" s="93"/>
      <c r="E183" s="98"/>
      <c r="F183" s="100">
        <v>179</v>
      </c>
      <c r="G183" s="101">
        <f t="shared" si="9"/>
        <v>0</v>
      </c>
      <c r="H183" s="101">
        <f t="shared" si="10"/>
        <v>0</v>
      </c>
      <c r="I183" s="101">
        <f t="shared" si="11"/>
        <v>0</v>
      </c>
      <c r="J183" s="101">
        <f t="shared" si="12"/>
        <v>0</v>
      </c>
    </row>
    <row r="184" spans="2:10" x14ac:dyDescent="0.2">
      <c r="B184" s="93"/>
      <c r="C184" s="97"/>
      <c r="D184" s="93"/>
      <c r="E184" s="98"/>
      <c r="F184" s="100">
        <v>180</v>
      </c>
      <c r="G184" s="101">
        <f t="shared" si="9"/>
        <v>0</v>
      </c>
      <c r="H184" s="101">
        <f t="shared" si="10"/>
        <v>0</v>
      </c>
      <c r="I184" s="101">
        <f t="shared" si="11"/>
        <v>0</v>
      </c>
      <c r="J184" s="101">
        <f t="shared" si="12"/>
        <v>0</v>
      </c>
    </row>
    <row r="185" spans="2:10" x14ac:dyDescent="0.2">
      <c r="B185" s="93"/>
      <c r="C185" s="97"/>
      <c r="D185" s="93"/>
      <c r="E185" s="98"/>
      <c r="F185" s="100">
        <v>181</v>
      </c>
      <c r="G185" s="101">
        <f t="shared" si="9"/>
        <v>0</v>
      </c>
      <c r="H185" s="101">
        <f t="shared" si="10"/>
        <v>0</v>
      </c>
      <c r="I185" s="101">
        <f t="shared" si="11"/>
        <v>0</v>
      </c>
      <c r="J185" s="101">
        <f t="shared" si="12"/>
        <v>0</v>
      </c>
    </row>
    <row r="186" spans="2:10" x14ac:dyDescent="0.2">
      <c r="B186" s="93"/>
      <c r="C186" s="97"/>
      <c r="D186" s="93"/>
      <c r="E186" s="98"/>
      <c r="F186" s="100">
        <v>182</v>
      </c>
      <c r="G186" s="101">
        <f t="shared" si="9"/>
        <v>0</v>
      </c>
      <c r="H186" s="101">
        <f t="shared" si="10"/>
        <v>0</v>
      </c>
      <c r="I186" s="101">
        <f t="shared" si="11"/>
        <v>0</v>
      </c>
      <c r="J186" s="101">
        <f t="shared" si="12"/>
        <v>0</v>
      </c>
    </row>
    <row r="187" spans="2:10" x14ac:dyDescent="0.2">
      <c r="B187" s="93"/>
      <c r="C187" s="97"/>
      <c r="D187" s="93"/>
      <c r="E187" s="98"/>
      <c r="F187" s="100">
        <v>183</v>
      </c>
      <c r="G187" s="101">
        <f t="shared" si="9"/>
        <v>0</v>
      </c>
      <c r="H187" s="101">
        <f t="shared" si="10"/>
        <v>0</v>
      </c>
      <c r="I187" s="101">
        <f t="shared" si="11"/>
        <v>0</v>
      </c>
      <c r="J187" s="101">
        <f t="shared" si="12"/>
        <v>0</v>
      </c>
    </row>
    <row r="188" spans="2:10" x14ac:dyDescent="0.2">
      <c r="B188" s="93"/>
      <c r="C188" s="97"/>
      <c r="D188" s="93"/>
      <c r="E188" s="98"/>
      <c r="F188" s="100">
        <v>184</v>
      </c>
      <c r="G188" s="101">
        <f t="shared" si="9"/>
        <v>0</v>
      </c>
      <c r="H188" s="101">
        <f t="shared" si="10"/>
        <v>0</v>
      </c>
      <c r="I188" s="101">
        <f t="shared" si="11"/>
        <v>0</v>
      </c>
      <c r="J188" s="101">
        <f t="shared" si="12"/>
        <v>0</v>
      </c>
    </row>
    <row r="189" spans="2:10" x14ac:dyDescent="0.2">
      <c r="B189" s="93"/>
      <c r="C189" s="97"/>
      <c r="D189" s="93"/>
      <c r="E189" s="98"/>
      <c r="F189" s="100">
        <v>185</v>
      </c>
      <c r="G189" s="101">
        <f t="shared" si="9"/>
        <v>0</v>
      </c>
      <c r="H189" s="101">
        <f t="shared" si="10"/>
        <v>0</v>
      </c>
      <c r="I189" s="101">
        <f t="shared" si="11"/>
        <v>0</v>
      </c>
      <c r="J189" s="101">
        <f t="shared" si="12"/>
        <v>0</v>
      </c>
    </row>
    <row r="190" spans="2:10" x14ac:dyDescent="0.2">
      <c r="B190" s="93"/>
      <c r="C190" s="97"/>
      <c r="D190" s="93"/>
      <c r="E190" s="98"/>
      <c r="F190" s="100">
        <v>186</v>
      </c>
      <c r="G190" s="101">
        <f t="shared" si="9"/>
        <v>0</v>
      </c>
      <c r="H190" s="101">
        <f t="shared" si="10"/>
        <v>0</v>
      </c>
      <c r="I190" s="101">
        <f t="shared" si="11"/>
        <v>0</v>
      </c>
      <c r="J190" s="101">
        <f t="shared" si="12"/>
        <v>0</v>
      </c>
    </row>
    <row r="191" spans="2:10" x14ac:dyDescent="0.2">
      <c r="B191" s="93"/>
      <c r="C191" s="97"/>
      <c r="D191" s="93"/>
      <c r="E191" s="98"/>
      <c r="F191" s="100">
        <v>187</v>
      </c>
      <c r="G191" s="101">
        <f t="shared" si="9"/>
        <v>0</v>
      </c>
      <c r="H191" s="101">
        <f t="shared" si="10"/>
        <v>0</v>
      </c>
      <c r="I191" s="101">
        <f t="shared" si="11"/>
        <v>0</v>
      </c>
      <c r="J191" s="101">
        <f t="shared" si="12"/>
        <v>0</v>
      </c>
    </row>
    <row r="192" spans="2:10" x14ac:dyDescent="0.2">
      <c r="B192" s="93"/>
      <c r="C192" s="97"/>
      <c r="D192" s="93"/>
      <c r="E192" s="98"/>
      <c r="F192" s="100">
        <v>188</v>
      </c>
      <c r="G192" s="101">
        <f t="shared" si="9"/>
        <v>0</v>
      </c>
      <c r="H192" s="101">
        <f t="shared" si="10"/>
        <v>0</v>
      </c>
      <c r="I192" s="101">
        <f t="shared" si="11"/>
        <v>0</v>
      </c>
      <c r="J192" s="101">
        <f t="shared" si="12"/>
        <v>0</v>
      </c>
    </row>
    <row r="193" spans="2:10" x14ac:dyDescent="0.2">
      <c r="B193" s="93"/>
      <c r="C193" s="97"/>
      <c r="D193" s="93"/>
      <c r="E193" s="98"/>
      <c r="F193" s="100">
        <v>189</v>
      </c>
      <c r="G193" s="101">
        <f t="shared" si="9"/>
        <v>0</v>
      </c>
      <c r="H193" s="101">
        <f t="shared" si="10"/>
        <v>0</v>
      </c>
      <c r="I193" s="101">
        <f t="shared" si="11"/>
        <v>0</v>
      </c>
      <c r="J193" s="101">
        <f t="shared" si="12"/>
        <v>0</v>
      </c>
    </row>
    <row r="194" spans="2:10" x14ac:dyDescent="0.2">
      <c r="B194" s="93"/>
      <c r="C194" s="97"/>
      <c r="D194" s="93"/>
      <c r="E194" s="98"/>
      <c r="F194" s="100">
        <v>190</v>
      </c>
      <c r="G194" s="101">
        <f t="shared" si="9"/>
        <v>0</v>
      </c>
      <c r="H194" s="101">
        <f t="shared" si="10"/>
        <v>0</v>
      </c>
      <c r="I194" s="101">
        <f t="shared" si="11"/>
        <v>0</v>
      </c>
      <c r="J194" s="101">
        <f t="shared" si="12"/>
        <v>0</v>
      </c>
    </row>
    <row r="195" spans="2:10" x14ac:dyDescent="0.2">
      <c r="B195" s="93"/>
      <c r="C195" s="97"/>
      <c r="D195" s="93"/>
      <c r="E195" s="98"/>
      <c r="F195" s="100">
        <v>191</v>
      </c>
      <c r="G195" s="101">
        <f t="shared" si="9"/>
        <v>0</v>
      </c>
      <c r="H195" s="101">
        <f t="shared" si="10"/>
        <v>0</v>
      </c>
      <c r="I195" s="101">
        <f t="shared" si="11"/>
        <v>0</v>
      </c>
      <c r="J195" s="101">
        <f t="shared" si="12"/>
        <v>0</v>
      </c>
    </row>
    <row r="196" spans="2:10" x14ac:dyDescent="0.2">
      <c r="B196" s="93"/>
      <c r="C196" s="97"/>
      <c r="D196" s="93"/>
      <c r="E196" s="98"/>
      <c r="F196" s="100">
        <v>192</v>
      </c>
      <c r="G196" s="101">
        <f t="shared" si="9"/>
        <v>0</v>
      </c>
      <c r="H196" s="101">
        <f t="shared" si="10"/>
        <v>0</v>
      </c>
      <c r="I196" s="101">
        <f t="shared" si="11"/>
        <v>0</v>
      </c>
      <c r="J196" s="101">
        <f t="shared" si="12"/>
        <v>0</v>
      </c>
    </row>
    <row r="197" spans="2:10" x14ac:dyDescent="0.2">
      <c r="B197" s="93"/>
      <c r="C197" s="97"/>
      <c r="D197" s="93"/>
      <c r="E197" s="98"/>
      <c r="F197" s="100">
        <v>193</v>
      </c>
      <c r="G197" s="101">
        <f t="shared" si="9"/>
        <v>0</v>
      </c>
      <c r="H197" s="101">
        <f t="shared" si="10"/>
        <v>0</v>
      </c>
      <c r="I197" s="101">
        <f t="shared" si="11"/>
        <v>0</v>
      </c>
      <c r="J197" s="101">
        <f t="shared" si="12"/>
        <v>0</v>
      </c>
    </row>
    <row r="198" spans="2:10" x14ac:dyDescent="0.2">
      <c r="B198" s="93"/>
      <c r="C198" s="97"/>
      <c r="D198" s="93"/>
      <c r="E198" s="98"/>
      <c r="F198" s="100">
        <v>194</v>
      </c>
      <c r="G198" s="101">
        <f t="shared" ref="G198:G261" si="13">B198</f>
        <v>0</v>
      </c>
      <c r="H198" s="101">
        <f t="shared" ref="H198:H261" si="14">C198</f>
        <v>0</v>
      </c>
      <c r="I198" s="101">
        <f t="shared" ref="I198:I261" si="15">D198</f>
        <v>0</v>
      </c>
      <c r="J198" s="101">
        <f t="shared" ref="J198:J261" si="16">E198</f>
        <v>0</v>
      </c>
    </row>
    <row r="199" spans="2:10" x14ac:dyDescent="0.2">
      <c r="B199" s="93"/>
      <c r="C199" s="97"/>
      <c r="D199" s="93"/>
      <c r="E199" s="98"/>
      <c r="F199" s="100">
        <v>195</v>
      </c>
      <c r="G199" s="101">
        <f t="shared" si="13"/>
        <v>0</v>
      </c>
      <c r="H199" s="101">
        <f t="shared" si="14"/>
        <v>0</v>
      </c>
      <c r="I199" s="101">
        <f t="shared" si="15"/>
        <v>0</v>
      </c>
      <c r="J199" s="101">
        <f t="shared" si="16"/>
        <v>0</v>
      </c>
    </row>
    <row r="200" spans="2:10" x14ac:dyDescent="0.2">
      <c r="B200" s="93"/>
      <c r="C200" s="97"/>
      <c r="D200" s="93"/>
      <c r="E200" s="98"/>
      <c r="F200" s="100">
        <v>196</v>
      </c>
      <c r="G200" s="101">
        <f t="shared" si="13"/>
        <v>0</v>
      </c>
      <c r="H200" s="101">
        <f t="shared" si="14"/>
        <v>0</v>
      </c>
      <c r="I200" s="101">
        <f t="shared" si="15"/>
        <v>0</v>
      </c>
      <c r="J200" s="101">
        <f t="shared" si="16"/>
        <v>0</v>
      </c>
    </row>
    <row r="201" spans="2:10" x14ac:dyDescent="0.2">
      <c r="B201" s="93"/>
      <c r="C201" s="97"/>
      <c r="D201" s="93"/>
      <c r="E201" s="98"/>
      <c r="F201" s="100">
        <v>197</v>
      </c>
      <c r="G201" s="101">
        <f t="shared" si="13"/>
        <v>0</v>
      </c>
      <c r="H201" s="101">
        <f t="shared" si="14"/>
        <v>0</v>
      </c>
      <c r="I201" s="101">
        <f t="shared" si="15"/>
        <v>0</v>
      </c>
      <c r="J201" s="101">
        <f t="shared" si="16"/>
        <v>0</v>
      </c>
    </row>
    <row r="202" spans="2:10" x14ac:dyDescent="0.2">
      <c r="B202" s="93"/>
      <c r="C202" s="97"/>
      <c r="D202" s="93"/>
      <c r="E202" s="98"/>
      <c r="F202" s="100">
        <v>198</v>
      </c>
      <c r="G202" s="101">
        <f t="shared" si="13"/>
        <v>0</v>
      </c>
      <c r="H202" s="101">
        <f t="shared" si="14"/>
        <v>0</v>
      </c>
      <c r="I202" s="101">
        <f t="shared" si="15"/>
        <v>0</v>
      </c>
      <c r="J202" s="101">
        <f t="shared" si="16"/>
        <v>0</v>
      </c>
    </row>
    <row r="203" spans="2:10" x14ac:dyDescent="0.2">
      <c r="B203" s="93"/>
      <c r="C203" s="97"/>
      <c r="D203" s="93"/>
      <c r="E203" s="98"/>
      <c r="F203" s="100">
        <v>199</v>
      </c>
      <c r="G203" s="101">
        <f t="shared" si="13"/>
        <v>0</v>
      </c>
      <c r="H203" s="101">
        <f t="shared" si="14"/>
        <v>0</v>
      </c>
      <c r="I203" s="101">
        <f t="shared" si="15"/>
        <v>0</v>
      </c>
      <c r="J203" s="101">
        <f t="shared" si="16"/>
        <v>0</v>
      </c>
    </row>
    <row r="204" spans="2:10" x14ac:dyDescent="0.2">
      <c r="B204" s="93"/>
      <c r="C204" s="97"/>
      <c r="D204" s="93"/>
      <c r="E204" s="98"/>
      <c r="F204" s="100">
        <v>200</v>
      </c>
      <c r="G204" s="101">
        <f t="shared" si="13"/>
        <v>0</v>
      </c>
      <c r="H204" s="101">
        <f t="shared" si="14"/>
        <v>0</v>
      </c>
      <c r="I204" s="101">
        <f t="shared" si="15"/>
        <v>0</v>
      </c>
      <c r="J204" s="101">
        <f t="shared" si="16"/>
        <v>0</v>
      </c>
    </row>
    <row r="205" spans="2:10" x14ac:dyDescent="0.2">
      <c r="B205" s="93"/>
      <c r="C205" s="97"/>
      <c r="D205" s="93"/>
      <c r="E205" s="98"/>
      <c r="F205" s="100">
        <v>201</v>
      </c>
      <c r="G205" s="101">
        <f t="shared" si="13"/>
        <v>0</v>
      </c>
      <c r="H205" s="101">
        <f t="shared" si="14"/>
        <v>0</v>
      </c>
      <c r="I205" s="101">
        <f t="shared" si="15"/>
        <v>0</v>
      </c>
      <c r="J205" s="101">
        <f t="shared" si="16"/>
        <v>0</v>
      </c>
    </row>
    <row r="206" spans="2:10" x14ac:dyDescent="0.2">
      <c r="B206" s="93"/>
      <c r="C206" s="97"/>
      <c r="D206" s="93"/>
      <c r="E206" s="98"/>
      <c r="F206" s="100">
        <v>202</v>
      </c>
      <c r="G206" s="101">
        <f t="shared" si="13"/>
        <v>0</v>
      </c>
      <c r="H206" s="101">
        <f t="shared" si="14"/>
        <v>0</v>
      </c>
      <c r="I206" s="101">
        <f t="shared" si="15"/>
        <v>0</v>
      </c>
      <c r="J206" s="101">
        <f t="shared" si="16"/>
        <v>0</v>
      </c>
    </row>
    <row r="207" spans="2:10" x14ac:dyDescent="0.2">
      <c r="B207" s="93"/>
      <c r="C207" s="97"/>
      <c r="D207" s="93"/>
      <c r="E207" s="98"/>
      <c r="F207" s="100">
        <v>203</v>
      </c>
      <c r="G207" s="101">
        <f t="shared" si="13"/>
        <v>0</v>
      </c>
      <c r="H207" s="101">
        <f t="shared" si="14"/>
        <v>0</v>
      </c>
      <c r="I207" s="101">
        <f t="shared" si="15"/>
        <v>0</v>
      </c>
      <c r="J207" s="101">
        <f t="shared" si="16"/>
        <v>0</v>
      </c>
    </row>
    <row r="208" spans="2:10" x14ac:dyDescent="0.2">
      <c r="B208" s="93"/>
      <c r="C208" s="97"/>
      <c r="D208" s="93"/>
      <c r="E208" s="98"/>
      <c r="F208" s="100">
        <v>204</v>
      </c>
      <c r="G208" s="101">
        <f t="shared" si="13"/>
        <v>0</v>
      </c>
      <c r="H208" s="101">
        <f t="shared" si="14"/>
        <v>0</v>
      </c>
      <c r="I208" s="101">
        <f t="shared" si="15"/>
        <v>0</v>
      </c>
      <c r="J208" s="101">
        <f t="shared" si="16"/>
        <v>0</v>
      </c>
    </row>
    <row r="209" spans="2:10" x14ac:dyDescent="0.2">
      <c r="B209" s="93"/>
      <c r="C209" s="97"/>
      <c r="D209" s="93"/>
      <c r="E209" s="98"/>
      <c r="F209" s="100">
        <v>205</v>
      </c>
      <c r="G209" s="101">
        <f t="shared" si="13"/>
        <v>0</v>
      </c>
      <c r="H209" s="101">
        <f t="shared" si="14"/>
        <v>0</v>
      </c>
      <c r="I209" s="101">
        <f t="shared" si="15"/>
        <v>0</v>
      </c>
      <c r="J209" s="101">
        <f t="shared" si="16"/>
        <v>0</v>
      </c>
    </row>
    <row r="210" spans="2:10" x14ac:dyDescent="0.2">
      <c r="B210" s="93"/>
      <c r="C210" s="97"/>
      <c r="D210" s="93"/>
      <c r="E210" s="98"/>
      <c r="F210" s="100">
        <v>206</v>
      </c>
      <c r="G210" s="101">
        <f t="shared" si="13"/>
        <v>0</v>
      </c>
      <c r="H210" s="101">
        <f t="shared" si="14"/>
        <v>0</v>
      </c>
      <c r="I210" s="101">
        <f t="shared" si="15"/>
        <v>0</v>
      </c>
      <c r="J210" s="101">
        <f t="shared" si="16"/>
        <v>0</v>
      </c>
    </row>
    <row r="211" spans="2:10" x14ac:dyDescent="0.2">
      <c r="B211" s="93"/>
      <c r="C211" s="97"/>
      <c r="D211" s="93"/>
      <c r="E211" s="98"/>
      <c r="F211" s="100">
        <v>207</v>
      </c>
      <c r="G211" s="101">
        <f t="shared" si="13"/>
        <v>0</v>
      </c>
      <c r="H211" s="101">
        <f t="shared" si="14"/>
        <v>0</v>
      </c>
      <c r="I211" s="101">
        <f t="shared" si="15"/>
        <v>0</v>
      </c>
      <c r="J211" s="101">
        <f t="shared" si="16"/>
        <v>0</v>
      </c>
    </row>
    <row r="212" spans="2:10" x14ac:dyDescent="0.2">
      <c r="B212" s="93"/>
      <c r="C212" s="97"/>
      <c r="D212" s="93"/>
      <c r="E212" s="98"/>
      <c r="F212" s="100">
        <v>208</v>
      </c>
      <c r="G212" s="101">
        <f t="shared" si="13"/>
        <v>0</v>
      </c>
      <c r="H212" s="101">
        <f t="shared" si="14"/>
        <v>0</v>
      </c>
      <c r="I212" s="101">
        <f t="shared" si="15"/>
        <v>0</v>
      </c>
      <c r="J212" s="101">
        <f t="shared" si="16"/>
        <v>0</v>
      </c>
    </row>
    <row r="213" spans="2:10" x14ac:dyDescent="0.2">
      <c r="B213" s="93"/>
      <c r="C213" s="97"/>
      <c r="D213" s="93"/>
      <c r="E213" s="98"/>
      <c r="F213" s="100">
        <v>209</v>
      </c>
      <c r="G213" s="101">
        <f t="shared" si="13"/>
        <v>0</v>
      </c>
      <c r="H213" s="101">
        <f t="shared" si="14"/>
        <v>0</v>
      </c>
      <c r="I213" s="101">
        <f t="shared" si="15"/>
        <v>0</v>
      </c>
      <c r="J213" s="101">
        <f t="shared" si="16"/>
        <v>0</v>
      </c>
    </row>
    <row r="214" spans="2:10" x14ac:dyDescent="0.2">
      <c r="B214" s="93"/>
      <c r="C214" s="97"/>
      <c r="D214" s="93"/>
      <c r="E214" s="98"/>
      <c r="F214" s="100">
        <v>210</v>
      </c>
      <c r="G214" s="101">
        <f t="shared" si="13"/>
        <v>0</v>
      </c>
      <c r="H214" s="101">
        <f t="shared" si="14"/>
        <v>0</v>
      </c>
      <c r="I214" s="101">
        <f t="shared" si="15"/>
        <v>0</v>
      </c>
      <c r="J214" s="101">
        <f t="shared" si="16"/>
        <v>0</v>
      </c>
    </row>
    <row r="215" spans="2:10" x14ac:dyDescent="0.2">
      <c r="B215" s="93"/>
      <c r="C215" s="97"/>
      <c r="D215" s="93"/>
      <c r="E215" s="98"/>
      <c r="F215" s="100">
        <v>211</v>
      </c>
      <c r="G215" s="101">
        <f t="shared" si="13"/>
        <v>0</v>
      </c>
      <c r="H215" s="101">
        <f t="shared" si="14"/>
        <v>0</v>
      </c>
      <c r="I215" s="101">
        <f t="shared" si="15"/>
        <v>0</v>
      </c>
      <c r="J215" s="101">
        <f t="shared" si="16"/>
        <v>0</v>
      </c>
    </row>
    <row r="216" spans="2:10" x14ac:dyDescent="0.2">
      <c r="B216" s="93"/>
      <c r="C216" s="97"/>
      <c r="D216" s="93"/>
      <c r="E216" s="98"/>
      <c r="F216" s="100">
        <v>212</v>
      </c>
      <c r="G216" s="101">
        <f t="shared" si="13"/>
        <v>0</v>
      </c>
      <c r="H216" s="101">
        <f t="shared" si="14"/>
        <v>0</v>
      </c>
      <c r="I216" s="101">
        <f t="shared" si="15"/>
        <v>0</v>
      </c>
      <c r="J216" s="101">
        <f t="shared" si="16"/>
        <v>0</v>
      </c>
    </row>
    <row r="217" spans="2:10" x14ac:dyDescent="0.2">
      <c r="B217" s="93"/>
      <c r="C217" s="97"/>
      <c r="D217" s="93"/>
      <c r="E217" s="98"/>
      <c r="F217" s="100">
        <v>213</v>
      </c>
      <c r="G217" s="101">
        <f t="shared" si="13"/>
        <v>0</v>
      </c>
      <c r="H217" s="101">
        <f t="shared" si="14"/>
        <v>0</v>
      </c>
      <c r="I217" s="101">
        <f t="shared" si="15"/>
        <v>0</v>
      </c>
      <c r="J217" s="101">
        <f t="shared" si="16"/>
        <v>0</v>
      </c>
    </row>
    <row r="218" spans="2:10" x14ac:dyDescent="0.2">
      <c r="B218" s="93"/>
      <c r="C218" s="97"/>
      <c r="D218" s="93"/>
      <c r="E218" s="98"/>
      <c r="F218" s="100">
        <v>214</v>
      </c>
      <c r="G218" s="101">
        <f t="shared" si="13"/>
        <v>0</v>
      </c>
      <c r="H218" s="101">
        <f t="shared" si="14"/>
        <v>0</v>
      </c>
      <c r="I218" s="101">
        <f t="shared" si="15"/>
        <v>0</v>
      </c>
      <c r="J218" s="101">
        <f t="shared" si="16"/>
        <v>0</v>
      </c>
    </row>
    <row r="219" spans="2:10" x14ac:dyDescent="0.2">
      <c r="B219" s="93"/>
      <c r="C219" s="97"/>
      <c r="D219" s="93"/>
      <c r="E219" s="98"/>
      <c r="F219" s="100">
        <v>215</v>
      </c>
      <c r="G219" s="101">
        <f t="shared" si="13"/>
        <v>0</v>
      </c>
      <c r="H219" s="101">
        <f t="shared" si="14"/>
        <v>0</v>
      </c>
      <c r="I219" s="101">
        <f t="shared" si="15"/>
        <v>0</v>
      </c>
      <c r="J219" s="101">
        <f t="shared" si="16"/>
        <v>0</v>
      </c>
    </row>
    <row r="220" spans="2:10" x14ac:dyDescent="0.2">
      <c r="B220" s="93"/>
      <c r="C220" s="97"/>
      <c r="D220" s="93"/>
      <c r="E220" s="98"/>
      <c r="F220" s="100">
        <v>216</v>
      </c>
      <c r="G220" s="101">
        <f t="shared" si="13"/>
        <v>0</v>
      </c>
      <c r="H220" s="101">
        <f t="shared" si="14"/>
        <v>0</v>
      </c>
      <c r="I220" s="101">
        <f t="shared" si="15"/>
        <v>0</v>
      </c>
      <c r="J220" s="101">
        <f t="shared" si="16"/>
        <v>0</v>
      </c>
    </row>
    <row r="221" spans="2:10" x14ac:dyDescent="0.2">
      <c r="B221" s="93"/>
      <c r="C221" s="97"/>
      <c r="D221" s="93"/>
      <c r="E221" s="98"/>
      <c r="F221" s="100">
        <v>217</v>
      </c>
      <c r="G221" s="101">
        <f t="shared" si="13"/>
        <v>0</v>
      </c>
      <c r="H221" s="101">
        <f t="shared" si="14"/>
        <v>0</v>
      </c>
      <c r="I221" s="101">
        <f t="shared" si="15"/>
        <v>0</v>
      </c>
      <c r="J221" s="101">
        <f t="shared" si="16"/>
        <v>0</v>
      </c>
    </row>
    <row r="222" spans="2:10" x14ac:dyDescent="0.2">
      <c r="B222" s="93"/>
      <c r="C222" s="97"/>
      <c r="D222" s="93"/>
      <c r="E222" s="98"/>
      <c r="F222" s="100">
        <v>218</v>
      </c>
      <c r="G222" s="101">
        <f t="shared" si="13"/>
        <v>0</v>
      </c>
      <c r="H222" s="101">
        <f t="shared" si="14"/>
        <v>0</v>
      </c>
      <c r="I222" s="101">
        <f t="shared" si="15"/>
        <v>0</v>
      </c>
      <c r="J222" s="101">
        <f t="shared" si="16"/>
        <v>0</v>
      </c>
    </row>
    <row r="223" spans="2:10" x14ac:dyDescent="0.2">
      <c r="B223" s="93"/>
      <c r="C223" s="97"/>
      <c r="D223" s="93"/>
      <c r="E223" s="98"/>
      <c r="F223" s="100">
        <v>219</v>
      </c>
      <c r="G223" s="101">
        <f t="shared" si="13"/>
        <v>0</v>
      </c>
      <c r="H223" s="101">
        <f t="shared" si="14"/>
        <v>0</v>
      </c>
      <c r="I223" s="101">
        <f t="shared" si="15"/>
        <v>0</v>
      </c>
      <c r="J223" s="101">
        <f t="shared" si="16"/>
        <v>0</v>
      </c>
    </row>
    <row r="224" spans="2:10" x14ac:dyDescent="0.2">
      <c r="B224" s="93"/>
      <c r="C224" s="97"/>
      <c r="D224" s="93"/>
      <c r="E224" s="98"/>
      <c r="F224" s="100">
        <v>220</v>
      </c>
      <c r="G224" s="101">
        <f t="shared" si="13"/>
        <v>0</v>
      </c>
      <c r="H224" s="101">
        <f t="shared" si="14"/>
        <v>0</v>
      </c>
      <c r="I224" s="101">
        <f t="shared" si="15"/>
        <v>0</v>
      </c>
      <c r="J224" s="101">
        <f t="shared" si="16"/>
        <v>0</v>
      </c>
    </row>
    <row r="225" spans="2:10" x14ac:dyDescent="0.2">
      <c r="B225" s="93"/>
      <c r="C225" s="97"/>
      <c r="D225" s="93"/>
      <c r="E225" s="98"/>
      <c r="F225" s="100">
        <v>221</v>
      </c>
      <c r="G225" s="101">
        <f t="shared" si="13"/>
        <v>0</v>
      </c>
      <c r="H225" s="101">
        <f t="shared" si="14"/>
        <v>0</v>
      </c>
      <c r="I225" s="101">
        <f t="shared" si="15"/>
        <v>0</v>
      </c>
      <c r="J225" s="101">
        <f t="shared" si="16"/>
        <v>0</v>
      </c>
    </row>
    <row r="226" spans="2:10" x14ac:dyDescent="0.2">
      <c r="B226" s="93"/>
      <c r="C226" s="97"/>
      <c r="D226" s="93"/>
      <c r="E226" s="98"/>
      <c r="F226" s="100">
        <v>222</v>
      </c>
      <c r="G226" s="101">
        <f t="shared" si="13"/>
        <v>0</v>
      </c>
      <c r="H226" s="101">
        <f t="shared" si="14"/>
        <v>0</v>
      </c>
      <c r="I226" s="101">
        <f t="shared" si="15"/>
        <v>0</v>
      </c>
      <c r="J226" s="101">
        <f t="shared" si="16"/>
        <v>0</v>
      </c>
    </row>
    <row r="227" spans="2:10" x14ac:dyDescent="0.2">
      <c r="B227" s="93"/>
      <c r="C227" s="97"/>
      <c r="D227" s="93"/>
      <c r="E227" s="98"/>
      <c r="F227" s="100">
        <v>223</v>
      </c>
      <c r="G227" s="101">
        <f t="shared" si="13"/>
        <v>0</v>
      </c>
      <c r="H227" s="101">
        <f t="shared" si="14"/>
        <v>0</v>
      </c>
      <c r="I227" s="101">
        <f t="shared" si="15"/>
        <v>0</v>
      </c>
      <c r="J227" s="101">
        <f t="shared" si="16"/>
        <v>0</v>
      </c>
    </row>
    <row r="228" spans="2:10" x14ac:dyDescent="0.2">
      <c r="B228" s="93"/>
      <c r="C228" s="97"/>
      <c r="D228" s="93"/>
      <c r="E228" s="98"/>
      <c r="F228" s="100">
        <v>224</v>
      </c>
      <c r="G228" s="101">
        <f t="shared" si="13"/>
        <v>0</v>
      </c>
      <c r="H228" s="101">
        <f t="shared" si="14"/>
        <v>0</v>
      </c>
      <c r="I228" s="101">
        <f t="shared" si="15"/>
        <v>0</v>
      </c>
      <c r="J228" s="101">
        <f t="shared" si="16"/>
        <v>0</v>
      </c>
    </row>
    <row r="229" spans="2:10" x14ac:dyDescent="0.2">
      <c r="B229" s="93"/>
      <c r="C229" s="97"/>
      <c r="D229" s="93"/>
      <c r="E229" s="98"/>
      <c r="F229" s="100">
        <v>225</v>
      </c>
      <c r="G229" s="101">
        <f t="shared" si="13"/>
        <v>0</v>
      </c>
      <c r="H229" s="101">
        <f t="shared" si="14"/>
        <v>0</v>
      </c>
      <c r="I229" s="101">
        <f t="shared" si="15"/>
        <v>0</v>
      </c>
      <c r="J229" s="101">
        <f t="shared" si="16"/>
        <v>0</v>
      </c>
    </row>
    <row r="230" spans="2:10" x14ac:dyDescent="0.2">
      <c r="B230" s="93"/>
      <c r="C230" s="97"/>
      <c r="D230" s="93"/>
      <c r="E230" s="98"/>
      <c r="F230" s="100">
        <v>226</v>
      </c>
      <c r="G230" s="101">
        <f t="shared" si="13"/>
        <v>0</v>
      </c>
      <c r="H230" s="101">
        <f t="shared" si="14"/>
        <v>0</v>
      </c>
      <c r="I230" s="101">
        <f t="shared" si="15"/>
        <v>0</v>
      </c>
      <c r="J230" s="101">
        <f t="shared" si="16"/>
        <v>0</v>
      </c>
    </row>
    <row r="231" spans="2:10" x14ac:dyDescent="0.2">
      <c r="B231" s="93"/>
      <c r="C231" s="97"/>
      <c r="D231" s="93"/>
      <c r="E231" s="98"/>
      <c r="F231" s="100">
        <v>227</v>
      </c>
      <c r="G231" s="101">
        <f t="shared" si="13"/>
        <v>0</v>
      </c>
      <c r="H231" s="101">
        <f t="shared" si="14"/>
        <v>0</v>
      </c>
      <c r="I231" s="101">
        <f t="shared" si="15"/>
        <v>0</v>
      </c>
      <c r="J231" s="101">
        <f t="shared" si="16"/>
        <v>0</v>
      </c>
    </row>
    <row r="232" spans="2:10" x14ac:dyDescent="0.2">
      <c r="B232" s="93"/>
      <c r="C232" s="97"/>
      <c r="D232" s="93"/>
      <c r="E232" s="98"/>
      <c r="F232" s="100">
        <v>228</v>
      </c>
      <c r="G232" s="101">
        <f t="shared" si="13"/>
        <v>0</v>
      </c>
      <c r="H232" s="101">
        <f t="shared" si="14"/>
        <v>0</v>
      </c>
      <c r="I232" s="101">
        <f t="shared" si="15"/>
        <v>0</v>
      </c>
      <c r="J232" s="101">
        <f t="shared" si="16"/>
        <v>0</v>
      </c>
    </row>
    <row r="233" spans="2:10" x14ac:dyDescent="0.2">
      <c r="B233" s="93"/>
      <c r="C233" s="97"/>
      <c r="D233" s="93"/>
      <c r="E233" s="98"/>
      <c r="F233" s="100">
        <v>229</v>
      </c>
      <c r="G233" s="101">
        <f t="shared" si="13"/>
        <v>0</v>
      </c>
      <c r="H233" s="101">
        <f t="shared" si="14"/>
        <v>0</v>
      </c>
      <c r="I233" s="101">
        <f t="shared" si="15"/>
        <v>0</v>
      </c>
      <c r="J233" s="101">
        <f t="shared" si="16"/>
        <v>0</v>
      </c>
    </row>
    <row r="234" spans="2:10" x14ac:dyDescent="0.2">
      <c r="B234" s="93"/>
      <c r="C234" s="97"/>
      <c r="D234" s="93"/>
      <c r="E234" s="98"/>
      <c r="F234" s="100">
        <v>230</v>
      </c>
      <c r="G234" s="101">
        <f t="shared" si="13"/>
        <v>0</v>
      </c>
      <c r="H234" s="101">
        <f t="shared" si="14"/>
        <v>0</v>
      </c>
      <c r="I234" s="101">
        <f t="shared" si="15"/>
        <v>0</v>
      </c>
      <c r="J234" s="101">
        <f t="shared" si="16"/>
        <v>0</v>
      </c>
    </row>
    <row r="235" spans="2:10" x14ac:dyDescent="0.2">
      <c r="B235" s="93"/>
      <c r="C235" s="97"/>
      <c r="D235" s="93"/>
      <c r="E235" s="98"/>
      <c r="F235" s="100">
        <v>231</v>
      </c>
      <c r="G235" s="101">
        <f t="shared" si="13"/>
        <v>0</v>
      </c>
      <c r="H235" s="101">
        <f t="shared" si="14"/>
        <v>0</v>
      </c>
      <c r="I235" s="101">
        <f t="shared" si="15"/>
        <v>0</v>
      </c>
      <c r="J235" s="101">
        <f t="shared" si="16"/>
        <v>0</v>
      </c>
    </row>
    <row r="236" spans="2:10" x14ac:dyDescent="0.2">
      <c r="B236" s="93"/>
      <c r="C236" s="97"/>
      <c r="D236" s="93"/>
      <c r="E236" s="98"/>
      <c r="F236" s="100">
        <v>232</v>
      </c>
      <c r="G236" s="101">
        <f t="shared" si="13"/>
        <v>0</v>
      </c>
      <c r="H236" s="101">
        <f t="shared" si="14"/>
        <v>0</v>
      </c>
      <c r="I236" s="101">
        <f t="shared" si="15"/>
        <v>0</v>
      </c>
      <c r="J236" s="101">
        <f t="shared" si="16"/>
        <v>0</v>
      </c>
    </row>
    <row r="237" spans="2:10" x14ac:dyDescent="0.2">
      <c r="B237" s="93"/>
      <c r="C237" s="97"/>
      <c r="D237" s="93"/>
      <c r="E237" s="98"/>
      <c r="F237" s="100">
        <v>233</v>
      </c>
      <c r="G237" s="101">
        <f t="shared" si="13"/>
        <v>0</v>
      </c>
      <c r="H237" s="101">
        <f t="shared" si="14"/>
        <v>0</v>
      </c>
      <c r="I237" s="101">
        <f t="shared" si="15"/>
        <v>0</v>
      </c>
      <c r="J237" s="101">
        <f t="shared" si="16"/>
        <v>0</v>
      </c>
    </row>
    <row r="238" spans="2:10" x14ac:dyDescent="0.2">
      <c r="B238" s="93"/>
      <c r="C238" s="97"/>
      <c r="D238" s="93"/>
      <c r="E238" s="98"/>
      <c r="F238" s="100">
        <v>234</v>
      </c>
      <c r="G238" s="101">
        <f t="shared" si="13"/>
        <v>0</v>
      </c>
      <c r="H238" s="101">
        <f t="shared" si="14"/>
        <v>0</v>
      </c>
      <c r="I238" s="101">
        <f t="shared" si="15"/>
        <v>0</v>
      </c>
      <c r="J238" s="101">
        <f t="shared" si="16"/>
        <v>0</v>
      </c>
    </row>
    <row r="239" spans="2:10" x14ac:dyDescent="0.2">
      <c r="B239" s="93"/>
      <c r="C239" s="97"/>
      <c r="D239" s="93"/>
      <c r="E239" s="98"/>
      <c r="F239" s="100">
        <v>235</v>
      </c>
      <c r="G239" s="101">
        <f t="shared" si="13"/>
        <v>0</v>
      </c>
      <c r="H239" s="101">
        <f t="shared" si="14"/>
        <v>0</v>
      </c>
      <c r="I239" s="101">
        <f t="shared" si="15"/>
        <v>0</v>
      </c>
      <c r="J239" s="101">
        <f t="shared" si="16"/>
        <v>0</v>
      </c>
    </row>
    <row r="240" spans="2:10" x14ac:dyDescent="0.2">
      <c r="B240" s="93"/>
      <c r="C240" s="97"/>
      <c r="D240" s="93"/>
      <c r="E240" s="98"/>
      <c r="F240" s="100">
        <v>236</v>
      </c>
      <c r="G240" s="101">
        <f t="shared" si="13"/>
        <v>0</v>
      </c>
      <c r="H240" s="101">
        <f t="shared" si="14"/>
        <v>0</v>
      </c>
      <c r="I240" s="101">
        <f t="shared" si="15"/>
        <v>0</v>
      </c>
      <c r="J240" s="101">
        <f t="shared" si="16"/>
        <v>0</v>
      </c>
    </row>
    <row r="241" spans="2:10" x14ac:dyDescent="0.2">
      <c r="B241" s="93"/>
      <c r="C241" s="97"/>
      <c r="D241" s="93"/>
      <c r="E241" s="98"/>
      <c r="F241" s="100">
        <v>237</v>
      </c>
      <c r="G241" s="101">
        <f t="shared" si="13"/>
        <v>0</v>
      </c>
      <c r="H241" s="101">
        <f t="shared" si="14"/>
        <v>0</v>
      </c>
      <c r="I241" s="101">
        <f t="shared" si="15"/>
        <v>0</v>
      </c>
      <c r="J241" s="101">
        <f t="shared" si="16"/>
        <v>0</v>
      </c>
    </row>
    <row r="242" spans="2:10" x14ac:dyDescent="0.2">
      <c r="B242" s="93"/>
      <c r="C242" s="97"/>
      <c r="D242" s="93"/>
      <c r="E242" s="98"/>
      <c r="F242" s="100">
        <v>238</v>
      </c>
      <c r="G242" s="101">
        <f t="shared" si="13"/>
        <v>0</v>
      </c>
      <c r="H242" s="101">
        <f t="shared" si="14"/>
        <v>0</v>
      </c>
      <c r="I242" s="101">
        <f t="shared" si="15"/>
        <v>0</v>
      </c>
      <c r="J242" s="101">
        <f t="shared" si="16"/>
        <v>0</v>
      </c>
    </row>
    <row r="243" spans="2:10" x14ac:dyDescent="0.2">
      <c r="B243" s="93"/>
      <c r="C243" s="97"/>
      <c r="D243" s="93"/>
      <c r="E243" s="98"/>
      <c r="F243" s="100">
        <v>239</v>
      </c>
      <c r="G243" s="101">
        <f t="shared" si="13"/>
        <v>0</v>
      </c>
      <c r="H243" s="101">
        <f t="shared" si="14"/>
        <v>0</v>
      </c>
      <c r="I243" s="101">
        <f t="shared" si="15"/>
        <v>0</v>
      </c>
      <c r="J243" s="101">
        <f t="shared" si="16"/>
        <v>0</v>
      </c>
    </row>
    <row r="244" spans="2:10" x14ac:dyDescent="0.2">
      <c r="B244" s="93"/>
      <c r="C244" s="97"/>
      <c r="D244" s="93"/>
      <c r="E244" s="98"/>
      <c r="F244" s="100">
        <v>240</v>
      </c>
      <c r="G244" s="101">
        <f t="shared" si="13"/>
        <v>0</v>
      </c>
      <c r="H244" s="101">
        <f t="shared" si="14"/>
        <v>0</v>
      </c>
      <c r="I244" s="101">
        <f t="shared" si="15"/>
        <v>0</v>
      </c>
      <c r="J244" s="101">
        <f t="shared" si="16"/>
        <v>0</v>
      </c>
    </row>
    <row r="245" spans="2:10" x14ac:dyDescent="0.2">
      <c r="B245" s="93"/>
      <c r="C245" s="97"/>
      <c r="D245" s="93"/>
      <c r="E245" s="98"/>
      <c r="F245" s="100">
        <v>241</v>
      </c>
      <c r="G245" s="101">
        <f t="shared" si="13"/>
        <v>0</v>
      </c>
      <c r="H245" s="101">
        <f t="shared" si="14"/>
        <v>0</v>
      </c>
      <c r="I245" s="101">
        <f t="shared" si="15"/>
        <v>0</v>
      </c>
      <c r="J245" s="101">
        <f t="shared" si="16"/>
        <v>0</v>
      </c>
    </row>
    <row r="246" spans="2:10" x14ac:dyDescent="0.2">
      <c r="B246" s="93"/>
      <c r="C246" s="97"/>
      <c r="D246" s="93"/>
      <c r="E246" s="98"/>
      <c r="F246" s="100">
        <v>242</v>
      </c>
      <c r="G246" s="101">
        <f t="shared" si="13"/>
        <v>0</v>
      </c>
      <c r="H246" s="101">
        <f t="shared" si="14"/>
        <v>0</v>
      </c>
      <c r="I246" s="101">
        <f t="shared" si="15"/>
        <v>0</v>
      </c>
      <c r="J246" s="101">
        <f t="shared" si="16"/>
        <v>0</v>
      </c>
    </row>
    <row r="247" spans="2:10" x14ac:dyDescent="0.2">
      <c r="B247" s="93"/>
      <c r="C247" s="97"/>
      <c r="D247" s="93"/>
      <c r="E247" s="98"/>
      <c r="F247" s="100">
        <v>243</v>
      </c>
      <c r="G247" s="101">
        <f t="shared" si="13"/>
        <v>0</v>
      </c>
      <c r="H247" s="101">
        <f t="shared" si="14"/>
        <v>0</v>
      </c>
      <c r="I247" s="101">
        <f t="shared" si="15"/>
        <v>0</v>
      </c>
      <c r="J247" s="101">
        <f t="shared" si="16"/>
        <v>0</v>
      </c>
    </row>
    <row r="248" spans="2:10" x14ac:dyDescent="0.2">
      <c r="B248" s="93"/>
      <c r="C248" s="97"/>
      <c r="D248" s="93"/>
      <c r="E248" s="98"/>
      <c r="F248" s="100">
        <v>244</v>
      </c>
      <c r="G248" s="101">
        <f t="shared" si="13"/>
        <v>0</v>
      </c>
      <c r="H248" s="101">
        <f t="shared" si="14"/>
        <v>0</v>
      </c>
      <c r="I248" s="101">
        <f t="shared" si="15"/>
        <v>0</v>
      </c>
      <c r="J248" s="101">
        <f t="shared" si="16"/>
        <v>0</v>
      </c>
    </row>
    <row r="249" spans="2:10" x14ac:dyDescent="0.2">
      <c r="B249" s="93"/>
      <c r="C249" s="97"/>
      <c r="D249" s="93"/>
      <c r="E249" s="98"/>
      <c r="F249" s="100">
        <v>245</v>
      </c>
      <c r="G249" s="101">
        <f t="shared" si="13"/>
        <v>0</v>
      </c>
      <c r="H249" s="101">
        <f t="shared" si="14"/>
        <v>0</v>
      </c>
      <c r="I249" s="101">
        <f t="shared" si="15"/>
        <v>0</v>
      </c>
      <c r="J249" s="101">
        <f t="shared" si="16"/>
        <v>0</v>
      </c>
    </row>
    <row r="250" spans="2:10" x14ac:dyDescent="0.2">
      <c r="B250" s="93"/>
      <c r="C250" s="97"/>
      <c r="D250" s="93"/>
      <c r="E250" s="98"/>
      <c r="F250" s="100">
        <v>246</v>
      </c>
      <c r="G250" s="101">
        <f t="shared" si="13"/>
        <v>0</v>
      </c>
      <c r="H250" s="101">
        <f t="shared" si="14"/>
        <v>0</v>
      </c>
      <c r="I250" s="101">
        <f t="shared" si="15"/>
        <v>0</v>
      </c>
      <c r="J250" s="101">
        <f t="shared" si="16"/>
        <v>0</v>
      </c>
    </row>
    <row r="251" spans="2:10" x14ac:dyDescent="0.2">
      <c r="B251" s="93"/>
      <c r="C251" s="97"/>
      <c r="D251" s="93"/>
      <c r="E251" s="98"/>
      <c r="F251" s="100">
        <v>247</v>
      </c>
      <c r="G251" s="101">
        <f t="shared" si="13"/>
        <v>0</v>
      </c>
      <c r="H251" s="101">
        <f t="shared" si="14"/>
        <v>0</v>
      </c>
      <c r="I251" s="101">
        <f t="shared" si="15"/>
        <v>0</v>
      </c>
      <c r="J251" s="101">
        <f t="shared" si="16"/>
        <v>0</v>
      </c>
    </row>
    <row r="252" spans="2:10" x14ac:dyDescent="0.2">
      <c r="B252" s="93"/>
      <c r="C252" s="97"/>
      <c r="D252" s="93"/>
      <c r="E252" s="98"/>
      <c r="F252" s="100">
        <v>248</v>
      </c>
      <c r="G252" s="101">
        <f t="shared" si="13"/>
        <v>0</v>
      </c>
      <c r="H252" s="101">
        <f t="shared" si="14"/>
        <v>0</v>
      </c>
      <c r="I252" s="101">
        <f t="shared" si="15"/>
        <v>0</v>
      </c>
      <c r="J252" s="101">
        <f t="shared" si="16"/>
        <v>0</v>
      </c>
    </row>
    <row r="253" spans="2:10" x14ac:dyDescent="0.2">
      <c r="B253" s="93"/>
      <c r="C253" s="97"/>
      <c r="D253" s="93"/>
      <c r="E253" s="98"/>
      <c r="F253" s="100">
        <v>249</v>
      </c>
      <c r="G253" s="101">
        <f t="shared" si="13"/>
        <v>0</v>
      </c>
      <c r="H253" s="101">
        <f t="shared" si="14"/>
        <v>0</v>
      </c>
      <c r="I253" s="101">
        <f t="shared" si="15"/>
        <v>0</v>
      </c>
      <c r="J253" s="101">
        <f t="shared" si="16"/>
        <v>0</v>
      </c>
    </row>
    <row r="254" spans="2:10" x14ac:dyDescent="0.2">
      <c r="B254" s="93"/>
      <c r="C254" s="97"/>
      <c r="D254" s="93"/>
      <c r="E254" s="98"/>
      <c r="F254" s="100">
        <v>250</v>
      </c>
      <c r="G254" s="101">
        <f t="shared" si="13"/>
        <v>0</v>
      </c>
      <c r="H254" s="101">
        <f t="shared" si="14"/>
        <v>0</v>
      </c>
      <c r="I254" s="101">
        <f t="shared" si="15"/>
        <v>0</v>
      </c>
      <c r="J254" s="101">
        <f t="shared" si="16"/>
        <v>0</v>
      </c>
    </row>
    <row r="255" spans="2:10" x14ac:dyDescent="0.2">
      <c r="B255" s="93"/>
      <c r="C255" s="97"/>
      <c r="D255" s="93"/>
      <c r="E255" s="98"/>
      <c r="F255" s="100">
        <v>251</v>
      </c>
      <c r="G255" s="101">
        <f t="shared" si="13"/>
        <v>0</v>
      </c>
      <c r="H255" s="101">
        <f t="shared" si="14"/>
        <v>0</v>
      </c>
      <c r="I255" s="101">
        <f t="shared" si="15"/>
        <v>0</v>
      </c>
      <c r="J255" s="101">
        <f t="shared" si="16"/>
        <v>0</v>
      </c>
    </row>
    <row r="256" spans="2:10" x14ac:dyDescent="0.2">
      <c r="B256" s="93"/>
      <c r="C256" s="97"/>
      <c r="D256" s="93"/>
      <c r="E256" s="98"/>
      <c r="F256" s="100">
        <v>252</v>
      </c>
      <c r="G256" s="101">
        <f t="shared" si="13"/>
        <v>0</v>
      </c>
      <c r="H256" s="101">
        <f t="shared" si="14"/>
        <v>0</v>
      </c>
      <c r="I256" s="101">
        <f t="shared" si="15"/>
        <v>0</v>
      </c>
      <c r="J256" s="101">
        <f t="shared" si="16"/>
        <v>0</v>
      </c>
    </row>
    <row r="257" spans="2:10" x14ac:dyDescent="0.2">
      <c r="B257" s="93"/>
      <c r="C257" s="97"/>
      <c r="D257" s="93"/>
      <c r="E257" s="98"/>
      <c r="F257" s="100">
        <v>253</v>
      </c>
      <c r="G257" s="101">
        <f t="shared" si="13"/>
        <v>0</v>
      </c>
      <c r="H257" s="101">
        <f t="shared" si="14"/>
        <v>0</v>
      </c>
      <c r="I257" s="101">
        <f t="shared" si="15"/>
        <v>0</v>
      </c>
      <c r="J257" s="101">
        <f t="shared" si="16"/>
        <v>0</v>
      </c>
    </row>
    <row r="258" spans="2:10" x14ac:dyDescent="0.2">
      <c r="B258" s="93"/>
      <c r="C258" s="97"/>
      <c r="D258" s="93"/>
      <c r="E258" s="98"/>
      <c r="F258" s="100">
        <v>254</v>
      </c>
      <c r="G258" s="101">
        <f t="shared" si="13"/>
        <v>0</v>
      </c>
      <c r="H258" s="101">
        <f t="shared" si="14"/>
        <v>0</v>
      </c>
      <c r="I258" s="101">
        <f t="shared" si="15"/>
        <v>0</v>
      </c>
      <c r="J258" s="101">
        <f t="shared" si="16"/>
        <v>0</v>
      </c>
    </row>
    <row r="259" spans="2:10" x14ac:dyDescent="0.2">
      <c r="B259" s="93"/>
      <c r="C259" s="97"/>
      <c r="D259" s="93"/>
      <c r="E259" s="98"/>
      <c r="F259" s="100">
        <v>255</v>
      </c>
      <c r="G259" s="101">
        <f t="shared" si="13"/>
        <v>0</v>
      </c>
      <c r="H259" s="101">
        <f t="shared" si="14"/>
        <v>0</v>
      </c>
      <c r="I259" s="101">
        <f t="shared" si="15"/>
        <v>0</v>
      </c>
      <c r="J259" s="101">
        <f t="shared" si="16"/>
        <v>0</v>
      </c>
    </row>
    <row r="260" spans="2:10" x14ac:dyDescent="0.2">
      <c r="B260" s="93"/>
      <c r="C260" s="97"/>
      <c r="D260" s="93"/>
      <c r="E260" s="98"/>
      <c r="F260" s="100">
        <v>256</v>
      </c>
      <c r="G260" s="101">
        <f t="shared" si="13"/>
        <v>0</v>
      </c>
      <c r="H260" s="101">
        <f t="shared" si="14"/>
        <v>0</v>
      </c>
      <c r="I260" s="101">
        <f t="shared" si="15"/>
        <v>0</v>
      </c>
      <c r="J260" s="101">
        <f t="shared" si="16"/>
        <v>0</v>
      </c>
    </row>
    <row r="261" spans="2:10" x14ac:dyDescent="0.2">
      <c r="B261" s="93"/>
      <c r="C261" s="97"/>
      <c r="D261" s="93"/>
      <c r="E261" s="98"/>
      <c r="F261" s="100">
        <v>257</v>
      </c>
      <c r="G261" s="101">
        <f t="shared" si="13"/>
        <v>0</v>
      </c>
      <c r="H261" s="101">
        <f t="shared" si="14"/>
        <v>0</v>
      </c>
      <c r="I261" s="101">
        <f t="shared" si="15"/>
        <v>0</v>
      </c>
      <c r="J261" s="101">
        <f t="shared" si="16"/>
        <v>0</v>
      </c>
    </row>
    <row r="262" spans="2:10" x14ac:dyDescent="0.2">
      <c r="B262" s="93"/>
      <c r="C262" s="97"/>
      <c r="D262" s="93"/>
      <c r="E262" s="98"/>
      <c r="F262" s="100">
        <v>258</v>
      </c>
      <c r="G262" s="101">
        <f t="shared" ref="G262:G325" si="17">B262</f>
        <v>0</v>
      </c>
      <c r="H262" s="101">
        <f t="shared" ref="H262:H325" si="18">C262</f>
        <v>0</v>
      </c>
      <c r="I262" s="101">
        <f t="shared" ref="I262:I325" si="19">D262</f>
        <v>0</v>
      </c>
      <c r="J262" s="101">
        <f t="shared" ref="J262:J325" si="20">E262</f>
        <v>0</v>
      </c>
    </row>
    <row r="263" spans="2:10" x14ac:dyDescent="0.2">
      <c r="B263" s="93"/>
      <c r="C263" s="97"/>
      <c r="D263" s="93"/>
      <c r="E263" s="98"/>
      <c r="F263" s="100">
        <v>259</v>
      </c>
      <c r="G263" s="101">
        <f t="shared" si="17"/>
        <v>0</v>
      </c>
      <c r="H263" s="101">
        <f t="shared" si="18"/>
        <v>0</v>
      </c>
      <c r="I263" s="101">
        <f t="shared" si="19"/>
        <v>0</v>
      </c>
      <c r="J263" s="101">
        <f t="shared" si="20"/>
        <v>0</v>
      </c>
    </row>
    <row r="264" spans="2:10" x14ac:dyDescent="0.2">
      <c r="B264" s="93"/>
      <c r="C264" s="97"/>
      <c r="D264" s="93"/>
      <c r="E264" s="98"/>
      <c r="F264" s="100">
        <v>260</v>
      </c>
      <c r="G264" s="101">
        <f t="shared" si="17"/>
        <v>0</v>
      </c>
      <c r="H264" s="101">
        <f t="shared" si="18"/>
        <v>0</v>
      </c>
      <c r="I264" s="101">
        <f t="shared" si="19"/>
        <v>0</v>
      </c>
      <c r="J264" s="101">
        <f t="shared" si="20"/>
        <v>0</v>
      </c>
    </row>
    <row r="265" spans="2:10" x14ac:dyDescent="0.2">
      <c r="B265" s="93"/>
      <c r="C265" s="97"/>
      <c r="D265" s="93"/>
      <c r="E265" s="98"/>
      <c r="F265" s="100">
        <v>261</v>
      </c>
      <c r="G265" s="101">
        <f t="shared" si="17"/>
        <v>0</v>
      </c>
      <c r="H265" s="101">
        <f t="shared" si="18"/>
        <v>0</v>
      </c>
      <c r="I265" s="101">
        <f t="shared" si="19"/>
        <v>0</v>
      </c>
      <c r="J265" s="101">
        <f t="shared" si="20"/>
        <v>0</v>
      </c>
    </row>
    <row r="266" spans="2:10" x14ac:dyDescent="0.2">
      <c r="B266" s="93"/>
      <c r="C266" s="97"/>
      <c r="D266" s="93"/>
      <c r="E266" s="98"/>
      <c r="F266" s="100">
        <v>262</v>
      </c>
      <c r="G266" s="101">
        <f t="shared" si="17"/>
        <v>0</v>
      </c>
      <c r="H266" s="101">
        <f t="shared" si="18"/>
        <v>0</v>
      </c>
      <c r="I266" s="101">
        <f t="shared" si="19"/>
        <v>0</v>
      </c>
      <c r="J266" s="101">
        <f t="shared" si="20"/>
        <v>0</v>
      </c>
    </row>
    <row r="267" spans="2:10" x14ac:dyDescent="0.2">
      <c r="B267" s="93"/>
      <c r="C267" s="97"/>
      <c r="D267" s="93"/>
      <c r="E267" s="98"/>
      <c r="F267" s="100">
        <v>263</v>
      </c>
      <c r="G267" s="101">
        <f t="shared" si="17"/>
        <v>0</v>
      </c>
      <c r="H267" s="101">
        <f t="shared" si="18"/>
        <v>0</v>
      </c>
      <c r="I267" s="101">
        <f t="shared" si="19"/>
        <v>0</v>
      </c>
      <c r="J267" s="101">
        <f t="shared" si="20"/>
        <v>0</v>
      </c>
    </row>
    <row r="268" spans="2:10" x14ac:dyDescent="0.2">
      <c r="B268" s="93"/>
      <c r="C268" s="97"/>
      <c r="D268" s="93"/>
      <c r="E268" s="98"/>
      <c r="F268" s="100">
        <v>264</v>
      </c>
      <c r="G268" s="101">
        <f t="shared" si="17"/>
        <v>0</v>
      </c>
      <c r="H268" s="101">
        <f t="shared" si="18"/>
        <v>0</v>
      </c>
      <c r="I268" s="101">
        <f t="shared" si="19"/>
        <v>0</v>
      </c>
      <c r="J268" s="101">
        <f t="shared" si="20"/>
        <v>0</v>
      </c>
    </row>
    <row r="269" spans="2:10" x14ac:dyDescent="0.2">
      <c r="B269" s="93"/>
      <c r="C269" s="97"/>
      <c r="D269" s="93"/>
      <c r="E269" s="98"/>
      <c r="F269" s="100">
        <v>265</v>
      </c>
      <c r="G269" s="101">
        <f t="shared" si="17"/>
        <v>0</v>
      </c>
      <c r="H269" s="101">
        <f t="shared" si="18"/>
        <v>0</v>
      </c>
      <c r="I269" s="101">
        <f t="shared" si="19"/>
        <v>0</v>
      </c>
      <c r="J269" s="101">
        <f t="shared" si="20"/>
        <v>0</v>
      </c>
    </row>
    <row r="270" spans="2:10" x14ac:dyDescent="0.2">
      <c r="B270" s="93"/>
      <c r="C270" s="97"/>
      <c r="D270" s="93"/>
      <c r="E270" s="98"/>
      <c r="F270" s="100">
        <v>266</v>
      </c>
      <c r="G270" s="101">
        <f t="shared" si="17"/>
        <v>0</v>
      </c>
      <c r="H270" s="101">
        <f t="shared" si="18"/>
        <v>0</v>
      </c>
      <c r="I270" s="101">
        <f t="shared" si="19"/>
        <v>0</v>
      </c>
      <c r="J270" s="101">
        <f t="shared" si="20"/>
        <v>0</v>
      </c>
    </row>
    <row r="271" spans="2:10" x14ac:dyDescent="0.2">
      <c r="B271" s="93"/>
      <c r="C271" s="97"/>
      <c r="D271" s="93"/>
      <c r="E271" s="98"/>
      <c r="F271" s="100">
        <v>267</v>
      </c>
      <c r="G271" s="101">
        <f t="shared" si="17"/>
        <v>0</v>
      </c>
      <c r="H271" s="101">
        <f t="shared" si="18"/>
        <v>0</v>
      </c>
      <c r="I271" s="101">
        <f t="shared" si="19"/>
        <v>0</v>
      </c>
      <c r="J271" s="101">
        <f t="shared" si="20"/>
        <v>0</v>
      </c>
    </row>
    <row r="272" spans="2:10" x14ac:dyDescent="0.2">
      <c r="B272" s="93"/>
      <c r="C272" s="97"/>
      <c r="D272" s="93"/>
      <c r="E272" s="98"/>
      <c r="F272" s="100">
        <v>268</v>
      </c>
      <c r="G272" s="101">
        <f t="shared" si="17"/>
        <v>0</v>
      </c>
      <c r="H272" s="101">
        <f t="shared" si="18"/>
        <v>0</v>
      </c>
      <c r="I272" s="101">
        <f t="shared" si="19"/>
        <v>0</v>
      </c>
      <c r="J272" s="101">
        <f t="shared" si="20"/>
        <v>0</v>
      </c>
    </row>
    <row r="273" spans="2:10" x14ac:dyDescent="0.2">
      <c r="B273" s="93"/>
      <c r="C273" s="97"/>
      <c r="D273" s="93"/>
      <c r="E273" s="98"/>
      <c r="F273" s="100">
        <v>269</v>
      </c>
      <c r="G273" s="101">
        <f t="shared" si="17"/>
        <v>0</v>
      </c>
      <c r="H273" s="101">
        <f t="shared" si="18"/>
        <v>0</v>
      </c>
      <c r="I273" s="101">
        <f t="shared" si="19"/>
        <v>0</v>
      </c>
      <c r="J273" s="101">
        <f t="shared" si="20"/>
        <v>0</v>
      </c>
    </row>
    <row r="274" spans="2:10" x14ac:dyDescent="0.2">
      <c r="B274" s="93"/>
      <c r="C274" s="97"/>
      <c r="D274" s="93"/>
      <c r="E274" s="98"/>
      <c r="F274" s="100">
        <v>270</v>
      </c>
      <c r="G274" s="101">
        <f t="shared" si="17"/>
        <v>0</v>
      </c>
      <c r="H274" s="101">
        <f t="shared" si="18"/>
        <v>0</v>
      </c>
      <c r="I274" s="101">
        <f t="shared" si="19"/>
        <v>0</v>
      </c>
      <c r="J274" s="101">
        <f t="shared" si="20"/>
        <v>0</v>
      </c>
    </row>
    <row r="275" spans="2:10" x14ac:dyDescent="0.2">
      <c r="B275" s="93"/>
      <c r="C275" s="97"/>
      <c r="D275" s="93"/>
      <c r="E275" s="98"/>
      <c r="F275" s="100">
        <v>271</v>
      </c>
      <c r="G275" s="101">
        <f t="shared" si="17"/>
        <v>0</v>
      </c>
      <c r="H275" s="101">
        <f t="shared" si="18"/>
        <v>0</v>
      </c>
      <c r="I275" s="101">
        <f t="shared" si="19"/>
        <v>0</v>
      </c>
      <c r="J275" s="101">
        <f t="shared" si="20"/>
        <v>0</v>
      </c>
    </row>
    <row r="276" spans="2:10" x14ac:dyDescent="0.2">
      <c r="B276" s="93"/>
      <c r="C276" s="97"/>
      <c r="D276" s="93"/>
      <c r="E276" s="98"/>
      <c r="F276" s="100">
        <v>272</v>
      </c>
      <c r="G276" s="101">
        <f t="shared" si="17"/>
        <v>0</v>
      </c>
      <c r="H276" s="101">
        <f t="shared" si="18"/>
        <v>0</v>
      </c>
      <c r="I276" s="101">
        <f t="shared" si="19"/>
        <v>0</v>
      </c>
      <c r="J276" s="101">
        <f t="shared" si="20"/>
        <v>0</v>
      </c>
    </row>
    <row r="277" spans="2:10" x14ac:dyDescent="0.2">
      <c r="B277" s="93"/>
      <c r="C277" s="97"/>
      <c r="D277" s="93"/>
      <c r="E277" s="98"/>
      <c r="F277" s="100">
        <v>273</v>
      </c>
      <c r="G277" s="101">
        <f t="shared" si="17"/>
        <v>0</v>
      </c>
      <c r="H277" s="101">
        <f t="shared" si="18"/>
        <v>0</v>
      </c>
      <c r="I277" s="101">
        <f t="shared" si="19"/>
        <v>0</v>
      </c>
      <c r="J277" s="101">
        <f t="shared" si="20"/>
        <v>0</v>
      </c>
    </row>
    <row r="278" spans="2:10" x14ac:dyDescent="0.2">
      <c r="B278" s="93"/>
      <c r="C278" s="97"/>
      <c r="D278" s="93"/>
      <c r="E278" s="98"/>
      <c r="F278" s="100">
        <v>274</v>
      </c>
      <c r="G278" s="101">
        <f t="shared" si="17"/>
        <v>0</v>
      </c>
      <c r="H278" s="101">
        <f t="shared" si="18"/>
        <v>0</v>
      </c>
      <c r="I278" s="101">
        <f t="shared" si="19"/>
        <v>0</v>
      </c>
      <c r="J278" s="101">
        <f t="shared" si="20"/>
        <v>0</v>
      </c>
    </row>
    <row r="279" spans="2:10" x14ac:dyDescent="0.2">
      <c r="B279" s="93"/>
      <c r="C279" s="97"/>
      <c r="D279" s="93"/>
      <c r="E279" s="98"/>
      <c r="F279" s="100">
        <v>275</v>
      </c>
      <c r="G279" s="101">
        <f t="shared" si="17"/>
        <v>0</v>
      </c>
      <c r="H279" s="101">
        <f t="shared" si="18"/>
        <v>0</v>
      </c>
      <c r="I279" s="101">
        <f t="shared" si="19"/>
        <v>0</v>
      </c>
      <c r="J279" s="101">
        <f t="shared" si="20"/>
        <v>0</v>
      </c>
    </row>
    <row r="280" spans="2:10" x14ac:dyDescent="0.2">
      <c r="B280" s="93"/>
      <c r="C280" s="97"/>
      <c r="D280" s="93"/>
      <c r="E280" s="98"/>
      <c r="F280" s="100">
        <v>276</v>
      </c>
      <c r="G280" s="101">
        <f t="shared" si="17"/>
        <v>0</v>
      </c>
      <c r="H280" s="101">
        <f t="shared" si="18"/>
        <v>0</v>
      </c>
      <c r="I280" s="101">
        <f t="shared" si="19"/>
        <v>0</v>
      </c>
      <c r="J280" s="101">
        <f t="shared" si="20"/>
        <v>0</v>
      </c>
    </row>
    <row r="281" spans="2:10" x14ac:dyDescent="0.2">
      <c r="B281" s="93"/>
      <c r="C281" s="97"/>
      <c r="D281" s="93"/>
      <c r="E281" s="98"/>
      <c r="F281" s="100">
        <v>277</v>
      </c>
      <c r="G281" s="101">
        <f t="shared" si="17"/>
        <v>0</v>
      </c>
      <c r="H281" s="101">
        <f t="shared" si="18"/>
        <v>0</v>
      </c>
      <c r="I281" s="101">
        <f t="shared" si="19"/>
        <v>0</v>
      </c>
      <c r="J281" s="101">
        <f t="shared" si="20"/>
        <v>0</v>
      </c>
    </row>
    <row r="282" spans="2:10" x14ac:dyDescent="0.2">
      <c r="B282" s="93"/>
      <c r="C282" s="97"/>
      <c r="D282" s="93"/>
      <c r="E282" s="98"/>
      <c r="F282" s="100">
        <v>278</v>
      </c>
      <c r="G282" s="101">
        <f t="shared" si="17"/>
        <v>0</v>
      </c>
      <c r="H282" s="101">
        <f t="shared" si="18"/>
        <v>0</v>
      </c>
      <c r="I282" s="101">
        <f t="shared" si="19"/>
        <v>0</v>
      </c>
      <c r="J282" s="101">
        <f t="shared" si="20"/>
        <v>0</v>
      </c>
    </row>
    <row r="283" spans="2:10" x14ac:dyDescent="0.2">
      <c r="B283" s="93"/>
      <c r="C283" s="97"/>
      <c r="D283" s="93"/>
      <c r="E283" s="98"/>
      <c r="F283" s="100">
        <v>279</v>
      </c>
      <c r="G283" s="101">
        <f t="shared" si="17"/>
        <v>0</v>
      </c>
      <c r="H283" s="101">
        <f t="shared" si="18"/>
        <v>0</v>
      </c>
      <c r="I283" s="101">
        <f t="shared" si="19"/>
        <v>0</v>
      </c>
      <c r="J283" s="101">
        <f t="shared" si="20"/>
        <v>0</v>
      </c>
    </row>
    <row r="284" spans="2:10" x14ac:dyDescent="0.2">
      <c r="B284" s="93"/>
      <c r="C284" s="97"/>
      <c r="D284" s="93"/>
      <c r="E284" s="98"/>
      <c r="F284" s="100">
        <v>280</v>
      </c>
      <c r="G284" s="101">
        <f t="shared" si="17"/>
        <v>0</v>
      </c>
      <c r="H284" s="101">
        <f t="shared" si="18"/>
        <v>0</v>
      </c>
      <c r="I284" s="101">
        <f t="shared" si="19"/>
        <v>0</v>
      </c>
      <c r="J284" s="101">
        <f t="shared" si="20"/>
        <v>0</v>
      </c>
    </row>
    <row r="285" spans="2:10" x14ac:dyDescent="0.2">
      <c r="B285" s="93"/>
      <c r="C285" s="97"/>
      <c r="D285" s="93"/>
      <c r="E285" s="98"/>
      <c r="F285" s="100">
        <v>281</v>
      </c>
      <c r="G285" s="101">
        <f t="shared" si="17"/>
        <v>0</v>
      </c>
      <c r="H285" s="101">
        <f t="shared" si="18"/>
        <v>0</v>
      </c>
      <c r="I285" s="101">
        <f t="shared" si="19"/>
        <v>0</v>
      </c>
      <c r="J285" s="101">
        <f t="shared" si="20"/>
        <v>0</v>
      </c>
    </row>
    <row r="286" spans="2:10" x14ac:dyDescent="0.2">
      <c r="B286" s="93"/>
      <c r="C286" s="97"/>
      <c r="D286" s="93"/>
      <c r="E286" s="98"/>
      <c r="F286" s="100">
        <v>282</v>
      </c>
      <c r="G286" s="101">
        <f t="shared" si="17"/>
        <v>0</v>
      </c>
      <c r="H286" s="101">
        <f t="shared" si="18"/>
        <v>0</v>
      </c>
      <c r="I286" s="101">
        <f t="shared" si="19"/>
        <v>0</v>
      </c>
      <c r="J286" s="101">
        <f t="shared" si="20"/>
        <v>0</v>
      </c>
    </row>
    <row r="287" spans="2:10" x14ac:dyDescent="0.2">
      <c r="B287" s="93"/>
      <c r="C287" s="97"/>
      <c r="D287" s="93"/>
      <c r="E287" s="98"/>
      <c r="F287" s="100">
        <v>283</v>
      </c>
      <c r="G287" s="101">
        <f t="shared" si="17"/>
        <v>0</v>
      </c>
      <c r="H287" s="101">
        <f t="shared" si="18"/>
        <v>0</v>
      </c>
      <c r="I287" s="101">
        <f t="shared" si="19"/>
        <v>0</v>
      </c>
      <c r="J287" s="101">
        <f t="shared" si="20"/>
        <v>0</v>
      </c>
    </row>
    <row r="288" spans="2:10" x14ac:dyDescent="0.2">
      <c r="B288" s="93"/>
      <c r="C288" s="97"/>
      <c r="D288" s="93"/>
      <c r="E288" s="98"/>
      <c r="F288" s="100">
        <v>284</v>
      </c>
      <c r="G288" s="101">
        <f t="shared" si="17"/>
        <v>0</v>
      </c>
      <c r="H288" s="101">
        <f t="shared" si="18"/>
        <v>0</v>
      </c>
      <c r="I288" s="101">
        <f t="shared" si="19"/>
        <v>0</v>
      </c>
      <c r="J288" s="101">
        <f t="shared" si="20"/>
        <v>0</v>
      </c>
    </row>
    <row r="289" spans="2:10" x14ac:dyDescent="0.2">
      <c r="B289" s="93"/>
      <c r="C289" s="97"/>
      <c r="D289" s="93"/>
      <c r="E289" s="98"/>
      <c r="F289" s="100">
        <v>285</v>
      </c>
      <c r="G289" s="101">
        <f t="shared" si="17"/>
        <v>0</v>
      </c>
      <c r="H289" s="101">
        <f t="shared" si="18"/>
        <v>0</v>
      </c>
      <c r="I289" s="101">
        <f t="shared" si="19"/>
        <v>0</v>
      </c>
      <c r="J289" s="101">
        <f t="shared" si="20"/>
        <v>0</v>
      </c>
    </row>
    <row r="290" spans="2:10" x14ac:dyDescent="0.2">
      <c r="B290" s="93"/>
      <c r="C290" s="97"/>
      <c r="D290" s="93"/>
      <c r="E290" s="98"/>
      <c r="F290" s="100">
        <v>286</v>
      </c>
      <c r="G290" s="101">
        <f t="shared" si="17"/>
        <v>0</v>
      </c>
      <c r="H290" s="101">
        <f t="shared" si="18"/>
        <v>0</v>
      </c>
      <c r="I290" s="101">
        <f t="shared" si="19"/>
        <v>0</v>
      </c>
      <c r="J290" s="101">
        <f t="shared" si="20"/>
        <v>0</v>
      </c>
    </row>
    <row r="291" spans="2:10" x14ac:dyDescent="0.2">
      <c r="B291" s="93"/>
      <c r="C291" s="97"/>
      <c r="D291" s="93"/>
      <c r="E291" s="98"/>
      <c r="F291" s="100">
        <v>287</v>
      </c>
      <c r="G291" s="101">
        <f t="shared" si="17"/>
        <v>0</v>
      </c>
      <c r="H291" s="101">
        <f t="shared" si="18"/>
        <v>0</v>
      </c>
      <c r="I291" s="101">
        <f t="shared" si="19"/>
        <v>0</v>
      </c>
      <c r="J291" s="101">
        <f t="shared" si="20"/>
        <v>0</v>
      </c>
    </row>
    <row r="292" spans="2:10" x14ac:dyDescent="0.2">
      <c r="B292" s="93"/>
      <c r="C292" s="97"/>
      <c r="D292" s="93"/>
      <c r="E292" s="98"/>
      <c r="F292" s="100">
        <v>288</v>
      </c>
      <c r="G292" s="101">
        <f t="shared" si="17"/>
        <v>0</v>
      </c>
      <c r="H292" s="101">
        <f t="shared" si="18"/>
        <v>0</v>
      </c>
      <c r="I292" s="101">
        <f t="shared" si="19"/>
        <v>0</v>
      </c>
      <c r="J292" s="101">
        <f t="shared" si="20"/>
        <v>0</v>
      </c>
    </row>
    <row r="293" spans="2:10" x14ac:dyDescent="0.2">
      <c r="B293" s="93"/>
      <c r="C293" s="97"/>
      <c r="D293" s="93"/>
      <c r="E293" s="98"/>
      <c r="F293" s="100">
        <v>289</v>
      </c>
      <c r="G293" s="101">
        <f t="shared" si="17"/>
        <v>0</v>
      </c>
      <c r="H293" s="101">
        <f t="shared" si="18"/>
        <v>0</v>
      </c>
      <c r="I293" s="101">
        <f t="shared" si="19"/>
        <v>0</v>
      </c>
      <c r="J293" s="101">
        <f t="shared" si="20"/>
        <v>0</v>
      </c>
    </row>
    <row r="294" spans="2:10" x14ac:dyDescent="0.2">
      <c r="B294" s="93"/>
      <c r="C294" s="97"/>
      <c r="D294" s="93"/>
      <c r="E294" s="98"/>
      <c r="F294" s="100">
        <v>290</v>
      </c>
      <c r="G294" s="101">
        <f t="shared" si="17"/>
        <v>0</v>
      </c>
      <c r="H294" s="101">
        <f t="shared" si="18"/>
        <v>0</v>
      </c>
      <c r="I294" s="101">
        <f t="shared" si="19"/>
        <v>0</v>
      </c>
      <c r="J294" s="101">
        <f t="shared" si="20"/>
        <v>0</v>
      </c>
    </row>
    <row r="295" spans="2:10" x14ac:dyDescent="0.2">
      <c r="B295" s="93"/>
      <c r="C295" s="97"/>
      <c r="D295" s="93"/>
      <c r="E295" s="98"/>
      <c r="F295" s="100">
        <v>291</v>
      </c>
      <c r="G295" s="101">
        <f t="shared" si="17"/>
        <v>0</v>
      </c>
      <c r="H295" s="101">
        <f t="shared" si="18"/>
        <v>0</v>
      </c>
      <c r="I295" s="101">
        <f t="shared" si="19"/>
        <v>0</v>
      </c>
      <c r="J295" s="101">
        <f t="shared" si="20"/>
        <v>0</v>
      </c>
    </row>
    <row r="296" spans="2:10" x14ac:dyDescent="0.2">
      <c r="B296" s="93"/>
      <c r="C296" s="97"/>
      <c r="D296" s="93"/>
      <c r="E296" s="98"/>
      <c r="F296" s="100">
        <v>292</v>
      </c>
      <c r="G296" s="101">
        <f t="shared" si="17"/>
        <v>0</v>
      </c>
      <c r="H296" s="101">
        <f t="shared" si="18"/>
        <v>0</v>
      </c>
      <c r="I296" s="101">
        <f t="shared" si="19"/>
        <v>0</v>
      </c>
      <c r="J296" s="101">
        <f t="shared" si="20"/>
        <v>0</v>
      </c>
    </row>
    <row r="297" spans="2:10" x14ac:dyDescent="0.2">
      <c r="B297" s="93"/>
      <c r="C297" s="97"/>
      <c r="D297" s="93"/>
      <c r="E297" s="98"/>
      <c r="F297" s="100">
        <v>293</v>
      </c>
      <c r="G297" s="101">
        <f t="shared" si="17"/>
        <v>0</v>
      </c>
      <c r="H297" s="101">
        <f t="shared" si="18"/>
        <v>0</v>
      </c>
      <c r="I297" s="101">
        <f t="shared" si="19"/>
        <v>0</v>
      </c>
      <c r="J297" s="101">
        <f t="shared" si="20"/>
        <v>0</v>
      </c>
    </row>
    <row r="298" spans="2:10" x14ac:dyDescent="0.2">
      <c r="B298" s="93"/>
      <c r="C298" s="97"/>
      <c r="D298" s="93"/>
      <c r="E298" s="98"/>
      <c r="F298" s="100">
        <v>294</v>
      </c>
      <c r="G298" s="101">
        <f t="shared" si="17"/>
        <v>0</v>
      </c>
      <c r="H298" s="101">
        <f t="shared" si="18"/>
        <v>0</v>
      </c>
      <c r="I298" s="101">
        <f t="shared" si="19"/>
        <v>0</v>
      </c>
      <c r="J298" s="101">
        <f t="shared" si="20"/>
        <v>0</v>
      </c>
    </row>
    <row r="299" spans="2:10" x14ac:dyDescent="0.2">
      <c r="B299" s="93"/>
      <c r="C299" s="97"/>
      <c r="D299" s="93"/>
      <c r="E299" s="98"/>
      <c r="F299" s="100">
        <v>295</v>
      </c>
      <c r="G299" s="101">
        <f t="shared" si="17"/>
        <v>0</v>
      </c>
      <c r="H299" s="101">
        <f t="shared" si="18"/>
        <v>0</v>
      </c>
      <c r="I299" s="101">
        <f t="shared" si="19"/>
        <v>0</v>
      </c>
      <c r="J299" s="101">
        <f t="shared" si="20"/>
        <v>0</v>
      </c>
    </row>
    <row r="300" spans="2:10" x14ac:dyDescent="0.2">
      <c r="B300" s="93"/>
      <c r="C300" s="97"/>
      <c r="D300" s="93"/>
      <c r="E300" s="98"/>
      <c r="F300" s="100">
        <v>296</v>
      </c>
      <c r="G300" s="101">
        <f t="shared" si="17"/>
        <v>0</v>
      </c>
      <c r="H300" s="101">
        <f t="shared" si="18"/>
        <v>0</v>
      </c>
      <c r="I300" s="101">
        <f t="shared" si="19"/>
        <v>0</v>
      </c>
      <c r="J300" s="101">
        <f t="shared" si="20"/>
        <v>0</v>
      </c>
    </row>
    <row r="301" spans="2:10" x14ac:dyDescent="0.2">
      <c r="B301" s="93"/>
      <c r="C301" s="97"/>
      <c r="D301" s="93"/>
      <c r="E301" s="98"/>
      <c r="F301" s="100">
        <v>297</v>
      </c>
      <c r="G301" s="101">
        <f t="shared" si="17"/>
        <v>0</v>
      </c>
      <c r="H301" s="101">
        <f t="shared" si="18"/>
        <v>0</v>
      </c>
      <c r="I301" s="101">
        <f t="shared" si="19"/>
        <v>0</v>
      </c>
      <c r="J301" s="101">
        <f t="shared" si="20"/>
        <v>0</v>
      </c>
    </row>
    <row r="302" spans="2:10" x14ac:dyDescent="0.2">
      <c r="B302" s="93"/>
      <c r="C302" s="97"/>
      <c r="D302" s="93"/>
      <c r="E302" s="98"/>
      <c r="F302" s="100">
        <v>298</v>
      </c>
      <c r="G302" s="101">
        <f t="shared" si="17"/>
        <v>0</v>
      </c>
      <c r="H302" s="101">
        <f t="shared" si="18"/>
        <v>0</v>
      </c>
      <c r="I302" s="101">
        <f t="shared" si="19"/>
        <v>0</v>
      </c>
      <c r="J302" s="101">
        <f t="shared" si="20"/>
        <v>0</v>
      </c>
    </row>
    <row r="303" spans="2:10" x14ac:dyDescent="0.2">
      <c r="B303" s="93"/>
      <c r="C303" s="97"/>
      <c r="D303" s="93"/>
      <c r="E303" s="98"/>
      <c r="F303" s="100">
        <v>299</v>
      </c>
      <c r="G303" s="101">
        <f t="shared" si="17"/>
        <v>0</v>
      </c>
      <c r="H303" s="101">
        <f t="shared" si="18"/>
        <v>0</v>
      </c>
      <c r="I303" s="101">
        <f t="shared" si="19"/>
        <v>0</v>
      </c>
      <c r="J303" s="101">
        <f t="shared" si="20"/>
        <v>0</v>
      </c>
    </row>
    <row r="304" spans="2:10" x14ac:dyDescent="0.2">
      <c r="B304" s="93"/>
      <c r="C304" s="97"/>
      <c r="D304" s="93"/>
      <c r="E304" s="98"/>
      <c r="F304" s="100">
        <v>300</v>
      </c>
      <c r="G304" s="101">
        <f t="shared" si="17"/>
        <v>0</v>
      </c>
      <c r="H304" s="101">
        <f t="shared" si="18"/>
        <v>0</v>
      </c>
      <c r="I304" s="101">
        <f t="shared" si="19"/>
        <v>0</v>
      </c>
      <c r="J304" s="101">
        <f t="shared" si="20"/>
        <v>0</v>
      </c>
    </row>
    <row r="305" spans="2:10" x14ac:dyDescent="0.2">
      <c r="B305" s="93"/>
      <c r="C305" s="97"/>
      <c r="D305" s="93"/>
      <c r="E305" s="98"/>
      <c r="F305" s="100">
        <v>301</v>
      </c>
      <c r="G305" s="101">
        <f t="shared" si="17"/>
        <v>0</v>
      </c>
      <c r="H305" s="101">
        <f t="shared" si="18"/>
        <v>0</v>
      </c>
      <c r="I305" s="101">
        <f t="shared" si="19"/>
        <v>0</v>
      </c>
      <c r="J305" s="101">
        <f t="shared" si="20"/>
        <v>0</v>
      </c>
    </row>
    <row r="306" spans="2:10" x14ac:dyDescent="0.2">
      <c r="B306" s="93"/>
      <c r="C306" s="97"/>
      <c r="D306" s="93"/>
      <c r="E306" s="98"/>
      <c r="F306" s="100">
        <v>302</v>
      </c>
      <c r="G306" s="101">
        <f t="shared" si="17"/>
        <v>0</v>
      </c>
      <c r="H306" s="101">
        <f t="shared" si="18"/>
        <v>0</v>
      </c>
      <c r="I306" s="101">
        <f t="shared" si="19"/>
        <v>0</v>
      </c>
      <c r="J306" s="101">
        <f t="shared" si="20"/>
        <v>0</v>
      </c>
    </row>
    <row r="307" spans="2:10" x14ac:dyDescent="0.2">
      <c r="B307" s="93"/>
      <c r="C307" s="97"/>
      <c r="D307" s="93"/>
      <c r="E307" s="98"/>
      <c r="F307" s="100">
        <v>303</v>
      </c>
      <c r="G307" s="101">
        <f t="shared" si="17"/>
        <v>0</v>
      </c>
      <c r="H307" s="101">
        <f t="shared" si="18"/>
        <v>0</v>
      </c>
      <c r="I307" s="101">
        <f t="shared" si="19"/>
        <v>0</v>
      </c>
      <c r="J307" s="101">
        <f t="shared" si="20"/>
        <v>0</v>
      </c>
    </row>
    <row r="308" spans="2:10" x14ac:dyDescent="0.2">
      <c r="B308" s="93"/>
      <c r="C308" s="97"/>
      <c r="D308" s="93"/>
      <c r="E308" s="98"/>
      <c r="F308" s="100">
        <v>304</v>
      </c>
      <c r="G308" s="101">
        <f t="shared" si="17"/>
        <v>0</v>
      </c>
      <c r="H308" s="101">
        <f t="shared" si="18"/>
        <v>0</v>
      </c>
      <c r="I308" s="101">
        <f t="shared" si="19"/>
        <v>0</v>
      </c>
      <c r="J308" s="101">
        <f t="shared" si="20"/>
        <v>0</v>
      </c>
    </row>
    <row r="309" spans="2:10" x14ac:dyDescent="0.2">
      <c r="B309" s="93"/>
      <c r="C309" s="97"/>
      <c r="D309" s="93"/>
      <c r="E309" s="98"/>
      <c r="F309" s="100">
        <v>305</v>
      </c>
      <c r="G309" s="101">
        <f t="shared" si="17"/>
        <v>0</v>
      </c>
      <c r="H309" s="101">
        <f t="shared" si="18"/>
        <v>0</v>
      </c>
      <c r="I309" s="101">
        <f t="shared" si="19"/>
        <v>0</v>
      </c>
      <c r="J309" s="101">
        <f t="shared" si="20"/>
        <v>0</v>
      </c>
    </row>
    <row r="310" spans="2:10" x14ac:dyDescent="0.2">
      <c r="B310" s="93"/>
      <c r="C310" s="97"/>
      <c r="D310" s="93"/>
      <c r="E310" s="98"/>
      <c r="F310" s="100">
        <v>306</v>
      </c>
      <c r="G310" s="101">
        <f t="shared" si="17"/>
        <v>0</v>
      </c>
      <c r="H310" s="101">
        <f t="shared" si="18"/>
        <v>0</v>
      </c>
      <c r="I310" s="101">
        <f t="shared" si="19"/>
        <v>0</v>
      </c>
      <c r="J310" s="101">
        <f t="shared" si="20"/>
        <v>0</v>
      </c>
    </row>
    <row r="311" spans="2:10" x14ac:dyDescent="0.2">
      <c r="B311" s="93"/>
      <c r="C311" s="97"/>
      <c r="D311" s="93"/>
      <c r="E311" s="98"/>
      <c r="F311" s="100">
        <v>307</v>
      </c>
      <c r="G311" s="101">
        <f t="shared" si="17"/>
        <v>0</v>
      </c>
      <c r="H311" s="101">
        <f t="shared" si="18"/>
        <v>0</v>
      </c>
      <c r="I311" s="101">
        <f t="shared" si="19"/>
        <v>0</v>
      </c>
      <c r="J311" s="101">
        <f t="shared" si="20"/>
        <v>0</v>
      </c>
    </row>
    <row r="312" spans="2:10" x14ac:dyDescent="0.2">
      <c r="B312" s="93"/>
      <c r="C312" s="97"/>
      <c r="D312" s="93"/>
      <c r="E312" s="98"/>
      <c r="F312" s="100">
        <v>308</v>
      </c>
      <c r="G312" s="101">
        <f t="shared" si="17"/>
        <v>0</v>
      </c>
      <c r="H312" s="101">
        <f t="shared" si="18"/>
        <v>0</v>
      </c>
      <c r="I312" s="101">
        <f t="shared" si="19"/>
        <v>0</v>
      </c>
      <c r="J312" s="101">
        <f t="shared" si="20"/>
        <v>0</v>
      </c>
    </row>
    <row r="313" spans="2:10" x14ac:dyDescent="0.2">
      <c r="B313" s="93"/>
      <c r="C313" s="97"/>
      <c r="D313" s="93"/>
      <c r="E313" s="98"/>
      <c r="F313" s="100">
        <v>309</v>
      </c>
      <c r="G313" s="101">
        <f t="shared" si="17"/>
        <v>0</v>
      </c>
      <c r="H313" s="101">
        <f t="shared" si="18"/>
        <v>0</v>
      </c>
      <c r="I313" s="101">
        <f t="shared" si="19"/>
        <v>0</v>
      </c>
      <c r="J313" s="101">
        <f t="shared" si="20"/>
        <v>0</v>
      </c>
    </row>
    <row r="314" spans="2:10" x14ac:dyDescent="0.2">
      <c r="B314" s="93"/>
      <c r="C314" s="97"/>
      <c r="D314" s="93"/>
      <c r="E314" s="98"/>
      <c r="F314" s="100">
        <v>310</v>
      </c>
      <c r="G314" s="101">
        <f t="shared" si="17"/>
        <v>0</v>
      </c>
      <c r="H314" s="101">
        <f t="shared" si="18"/>
        <v>0</v>
      </c>
      <c r="I314" s="101">
        <f t="shared" si="19"/>
        <v>0</v>
      </c>
      <c r="J314" s="101">
        <f t="shared" si="20"/>
        <v>0</v>
      </c>
    </row>
    <row r="315" spans="2:10" x14ac:dyDescent="0.2">
      <c r="B315" s="93"/>
      <c r="C315" s="97"/>
      <c r="D315" s="93"/>
      <c r="E315" s="98"/>
      <c r="F315" s="100">
        <v>311</v>
      </c>
      <c r="G315" s="101">
        <f t="shared" si="17"/>
        <v>0</v>
      </c>
      <c r="H315" s="101">
        <f t="shared" si="18"/>
        <v>0</v>
      </c>
      <c r="I315" s="101">
        <f t="shared" si="19"/>
        <v>0</v>
      </c>
      <c r="J315" s="101">
        <f t="shared" si="20"/>
        <v>0</v>
      </c>
    </row>
    <row r="316" spans="2:10" x14ac:dyDescent="0.2">
      <c r="B316" s="93"/>
      <c r="C316" s="97"/>
      <c r="D316" s="93"/>
      <c r="E316" s="98"/>
      <c r="F316" s="100">
        <v>312</v>
      </c>
      <c r="G316" s="101">
        <f t="shared" si="17"/>
        <v>0</v>
      </c>
      <c r="H316" s="101">
        <f t="shared" si="18"/>
        <v>0</v>
      </c>
      <c r="I316" s="101">
        <f t="shared" si="19"/>
        <v>0</v>
      </c>
      <c r="J316" s="101">
        <f t="shared" si="20"/>
        <v>0</v>
      </c>
    </row>
    <row r="317" spans="2:10" x14ac:dyDescent="0.2">
      <c r="B317" s="93"/>
      <c r="C317" s="97"/>
      <c r="D317" s="93"/>
      <c r="E317" s="98"/>
      <c r="F317" s="100">
        <v>313</v>
      </c>
      <c r="G317" s="101">
        <f t="shared" si="17"/>
        <v>0</v>
      </c>
      <c r="H317" s="101">
        <f t="shared" si="18"/>
        <v>0</v>
      </c>
      <c r="I317" s="101">
        <f t="shared" si="19"/>
        <v>0</v>
      </c>
      <c r="J317" s="101">
        <f t="shared" si="20"/>
        <v>0</v>
      </c>
    </row>
    <row r="318" spans="2:10" x14ac:dyDescent="0.2">
      <c r="B318" s="93"/>
      <c r="C318" s="97"/>
      <c r="D318" s="93"/>
      <c r="E318" s="98"/>
      <c r="F318" s="100">
        <v>314</v>
      </c>
      <c r="G318" s="101">
        <f t="shared" si="17"/>
        <v>0</v>
      </c>
      <c r="H318" s="101">
        <f t="shared" si="18"/>
        <v>0</v>
      </c>
      <c r="I318" s="101">
        <f t="shared" si="19"/>
        <v>0</v>
      </c>
      <c r="J318" s="101">
        <f t="shared" si="20"/>
        <v>0</v>
      </c>
    </row>
    <row r="319" spans="2:10" x14ac:dyDescent="0.2">
      <c r="B319" s="93"/>
      <c r="C319" s="97"/>
      <c r="D319" s="93"/>
      <c r="E319" s="98"/>
      <c r="F319" s="100">
        <v>315</v>
      </c>
      <c r="G319" s="101">
        <f t="shared" si="17"/>
        <v>0</v>
      </c>
      <c r="H319" s="101">
        <f t="shared" si="18"/>
        <v>0</v>
      </c>
      <c r="I319" s="101">
        <f t="shared" si="19"/>
        <v>0</v>
      </c>
      <c r="J319" s="101">
        <f t="shared" si="20"/>
        <v>0</v>
      </c>
    </row>
    <row r="320" spans="2:10" x14ac:dyDescent="0.2">
      <c r="B320" s="93"/>
      <c r="C320" s="97"/>
      <c r="D320" s="93"/>
      <c r="E320" s="98"/>
      <c r="F320" s="100">
        <v>316</v>
      </c>
      <c r="G320" s="101">
        <f t="shared" si="17"/>
        <v>0</v>
      </c>
      <c r="H320" s="101">
        <f t="shared" si="18"/>
        <v>0</v>
      </c>
      <c r="I320" s="101">
        <f t="shared" si="19"/>
        <v>0</v>
      </c>
      <c r="J320" s="101">
        <f t="shared" si="20"/>
        <v>0</v>
      </c>
    </row>
    <row r="321" spans="2:10" x14ac:dyDescent="0.2">
      <c r="B321" s="93"/>
      <c r="C321" s="97"/>
      <c r="D321" s="93"/>
      <c r="E321" s="98"/>
      <c r="F321" s="100">
        <v>317</v>
      </c>
      <c r="G321" s="101">
        <f t="shared" si="17"/>
        <v>0</v>
      </c>
      <c r="H321" s="101">
        <f t="shared" si="18"/>
        <v>0</v>
      </c>
      <c r="I321" s="101">
        <f t="shared" si="19"/>
        <v>0</v>
      </c>
      <c r="J321" s="101">
        <f t="shared" si="20"/>
        <v>0</v>
      </c>
    </row>
    <row r="322" spans="2:10" x14ac:dyDescent="0.2">
      <c r="B322" s="93"/>
      <c r="C322" s="97"/>
      <c r="D322" s="93"/>
      <c r="E322" s="98"/>
      <c r="F322" s="100">
        <v>318</v>
      </c>
      <c r="G322" s="101">
        <f t="shared" si="17"/>
        <v>0</v>
      </c>
      <c r="H322" s="101">
        <f t="shared" si="18"/>
        <v>0</v>
      </c>
      <c r="I322" s="101">
        <f t="shared" si="19"/>
        <v>0</v>
      </c>
      <c r="J322" s="101">
        <f t="shared" si="20"/>
        <v>0</v>
      </c>
    </row>
    <row r="323" spans="2:10" x14ac:dyDescent="0.2">
      <c r="B323" s="93"/>
      <c r="C323" s="97"/>
      <c r="D323" s="93"/>
      <c r="E323" s="98"/>
      <c r="F323" s="100">
        <v>319</v>
      </c>
      <c r="G323" s="101">
        <f t="shared" si="17"/>
        <v>0</v>
      </c>
      <c r="H323" s="101">
        <f t="shared" si="18"/>
        <v>0</v>
      </c>
      <c r="I323" s="101">
        <f t="shared" si="19"/>
        <v>0</v>
      </c>
      <c r="J323" s="101">
        <f t="shared" si="20"/>
        <v>0</v>
      </c>
    </row>
    <row r="324" spans="2:10" x14ac:dyDescent="0.2">
      <c r="B324" s="93"/>
      <c r="C324" s="97"/>
      <c r="D324" s="93"/>
      <c r="E324" s="98"/>
      <c r="F324" s="100">
        <v>320</v>
      </c>
      <c r="G324" s="101">
        <f t="shared" si="17"/>
        <v>0</v>
      </c>
      <c r="H324" s="101">
        <f t="shared" si="18"/>
        <v>0</v>
      </c>
      <c r="I324" s="101">
        <f t="shared" si="19"/>
        <v>0</v>
      </c>
      <c r="J324" s="101">
        <f t="shared" si="20"/>
        <v>0</v>
      </c>
    </row>
    <row r="325" spans="2:10" x14ac:dyDescent="0.2">
      <c r="B325" s="93"/>
      <c r="C325" s="97"/>
      <c r="D325" s="93"/>
      <c r="E325" s="98"/>
      <c r="F325" s="100">
        <v>321</v>
      </c>
      <c r="G325" s="101">
        <f t="shared" si="17"/>
        <v>0</v>
      </c>
      <c r="H325" s="101">
        <f t="shared" si="18"/>
        <v>0</v>
      </c>
      <c r="I325" s="101">
        <f t="shared" si="19"/>
        <v>0</v>
      </c>
      <c r="J325" s="101">
        <f t="shared" si="20"/>
        <v>0</v>
      </c>
    </row>
    <row r="326" spans="2:10" x14ac:dyDescent="0.2">
      <c r="B326" s="93"/>
      <c r="C326" s="97"/>
      <c r="D326" s="93"/>
      <c r="E326" s="98"/>
      <c r="F326" s="100">
        <v>322</v>
      </c>
      <c r="G326" s="101">
        <f t="shared" ref="G326:G389" si="21">B326</f>
        <v>0</v>
      </c>
      <c r="H326" s="101">
        <f t="shared" ref="H326:H389" si="22">C326</f>
        <v>0</v>
      </c>
      <c r="I326" s="101">
        <f t="shared" ref="I326:I389" si="23">D326</f>
        <v>0</v>
      </c>
      <c r="J326" s="101">
        <f t="shared" ref="J326:J389" si="24">E326</f>
        <v>0</v>
      </c>
    </row>
    <row r="327" spans="2:10" x14ac:dyDescent="0.2">
      <c r="B327" s="93"/>
      <c r="C327" s="97"/>
      <c r="D327" s="93"/>
      <c r="E327" s="98"/>
      <c r="F327" s="100">
        <v>323</v>
      </c>
      <c r="G327" s="101">
        <f t="shared" si="21"/>
        <v>0</v>
      </c>
      <c r="H327" s="101">
        <f t="shared" si="22"/>
        <v>0</v>
      </c>
      <c r="I327" s="101">
        <f t="shared" si="23"/>
        <v>0</v>
      </c>
      <c r="J327" s="101">
        <f t="shared" si="24"/>
        <v>0</v>
      </c>
    </row>
    <row r="328" spans="2:10" x14ac:dyDescent="0.2">
      <c r="B328" s="93"/>
      <c r="C328" s="97"/>
      <c r="D328" s="93"/>
      <c r="E328" s="98"/>
      <c r="F328" s="100">
        <v>324</v>
      </c>
      <c r="G328" s="101">
        <f t="shared" si="21"/>
        <v>0</v>
      </c>
      <c r="H328" s="101">
        <f t="shared" si="22"/>
        <v>0</v>
      </c>
      <c r="I328" s="101">
        <f t="shared" si="23"/>
        <v>0</v>
      </c>
      <c r="J328" s="101">
        <f t="shared" si="24"/>
        <v>0</v>
      </c>
    </row>
    <row r="329" spans="2:10" x14ac:dyDescent="0.2">
      <c r="B329" s="93"/>
      <c r="C329" s="97"/>
      <c r="D329" s="93"/>
      <c r="E329" s="98"/>
      <c r="F329" s="100">
        <v>325</v>
      </c>
      <c r="G329" s="101">
        <f t="shared" si="21"/>
        <v>0</v>
      </c>
      <c r="H329" s="101">
        <f t="shared" si="22"/>
        <v>0</v>
      </c>
      <c r="I329" s="101">
        <f t="shared" si="23"/>
        <v>0</v>
      </c>
      <c r="J329" s="101">
        <f t="shared" si="24"/>
        <v>0</v>
      </c>
    </row>
    <row r="330" spans="2:10" x14ac:dyDescent="0.2">
      <c r="B330" s="93"/>
      <c r="C330" s="97"/>
      <c r="D330" s="93"/>
      <c r="E330" s="98"/>
      <c r="F330" s="100">
        <v>326</v>
      </c>
      <c r="G330" s="101">
        <f t="shared" si="21"/>
        <v>0</v>
      </c>
      <c r="H330" s="101">
        <f t="shared" si="22"/>
        <v>0</v>
      </c>
      <c r="I330" s="101">
        <f t="shared" si="23"/>
        <v>0</v>
      </c>
      <c r="J330" s="101">
        <f t="shared" si="24"/>
        <v>0</v>
      </c>
    </row>
    <row r="331" spans="2:10" x14ac:dyDescent="0.2">
      <c r="B331" s="93"/>
      <c r="C331" s="97"/>
      <c r="D331" s="93"/>
      <c r="E331" s="98"/>
      <c r="F331" s="100">
        <v>327</v>
      </c>
      <c r="G331" s="101">
        <f t="shared" si="21"/>
        <v>0</v>
      </c>
      <c r="H331" s="101">
        <f t="shared" si="22"/>
        <v>0</v>
      </c>
      <c r="I331" s="101">
        <f t="shared" si="23"/>
        <v>0</v>
      </c>
      <c r="J331" s="101">
        <f t="shared" si="24"/>
        <v>0</v>
      </c>
    </row>
    <row r="332" spans="2:10" x14ac:dyDescent="0.2">
      <c r="B332" s="93"/>
      <c r="C332" s="97"/>
      <c r="D332" s="93"/>
      <c r="E332" s="98"/>
      <c r="F332" s="100">
        <v>328</v>
      </c>
      <c r="G332" s="101">
        <f t="shared" si="21"/>
        <v>0</v>
      </c>
      <c r="H332" s="101">
        <f t="shared" si="22"/>
        <v>0</v>
      </c>
      <c r="I332" s="101">
        <f t="shared" si="23"/>
        <v>0</v>
      </c>
      <c r="J332" s="101">
        <f t="shared" si="24"/>
        <v>0</v>
      </c>
    </row>
    <row r="333" spans="2:10" x14ac:dyDescent="0.2">
      <c r="B333" s="93"/>
      <c r="C333" s="97"/>
      <c r="D333" s="93"/>
      <c r="E333" s="98"/>
      <c r="F333" s="100">
        <v>329</v>
      </c>
      <c r="G333" s="101">
        <f t="shared" si="21"/>
        <v>0</v>
      </c>
      <c r="H333" s="101">
        <f t="shared" si="22"/>
        <v>0</v>
      </c>
      <c r="I333" s="101">
        <f t="shared" si="23"/>
        <v>0</v>
      </c>
      <c r="J333" s="101">
        <f t="shared" si="24"/>
        <v>0</v>
      </c>
    </row>
    <row r="334" spans="2:10" x14ac:dyDescent="0.2">
      <c r="B334" s="93"/>
      <c r="C334" s="97"/>
      <c r="D334" s="93"/>
      <c r="E334" s="98"/>
      <c r="F334" s="100">
        <v>330</v>
      </c>
      <c r="G334" s="101">
        <f t="shared" si="21"/>
        <v>0</v>
      </c>
      <c r="H334" s="101">
        <f t="shared" si="22"/>
        <v>0</v>
      </c>
      <c r="I334" s="101">
        <f t="shared" si="23"/>
        <v>0</v>
      </c>
      <c r="J334" s="101">
        <f t="shared" si="24"/>
        <v>0</v>
      </c>
    </row>
    <row r="335" spans="2:10" x14ac:dyDescent="0.2">
      <c r="B335" s="93"/>
      <c r="C335" s="97"/>
      <c r="D335" s="93"/>
      <c r="E335" s="98"/>
      <c r="F335" s="100">
        <v>331</v>
      </c>
      <c r="G335" s="101">
        <f t="shared" si="21"/>
        <v>0</v>
      </c>
      <c r="H335" s="101">
        <f t="shared" si="22"/>
        <v>0</v>
      </c>
      <c r="I335" s="101">
        <f t="shared" si="23"/>
        <v>0</v>
      </c>
      <c r="J335" s="101">
        <f t="shared" si="24"/>
        <v>0</v>
      </c>
    </row>
    <row r="336" spans="2:10" x14ac:dyDescent="0.2">
      <c r="B336" s="93"/>
      <c r="C336" s="97"/>
      <c r="D336" s="93"/>
      <c r="E336" s="98"/>
      <c r="F336" s="100">
        <v>332</v>
      </c>
      <c r="G336" s="101">
        <f t="shared" si="21"/>
        <v>0</v>
      </c>
      <c r="H336" s="101">
        <f t="shared" si="22"/>
        <v>0</v>
      </c>
      <c r="I336" s="101">
        <f t="shared" si="23"/>
        <v>0</v>
      </c>
      <c r="J336" s="101">
        <f t="shared" si="24"/>
        <v>0</v>
      </c>
    </row>
    <row r="337" spans="2:10" x14ac:dyDescent="0.2">
      <c r="B337" s="93"/>
      <c r="C337" s="97"/>
      <c r="D337" s="93"/>
      <c r="E337" s="98"/>
      <c r="F337" s="100">
        <v>333</v>
      </c>
      <c r="G337" s="101">
        <f t="shared" si="21"/>
        <v>0</v>
      </c>
      <c r="H337" s="101">
        <f t="shared" si="22"/>
        <v>0</v>
      </c>
      <c r="I337" s="101">
        <f t="shared" si="23"/>
        <v>0</v>
      </c>
      <c r="J337" s="101">
        <f t="shared" si="24"/>
        <v>0</v>
      </c>
    </row>
    <row r="338" spans="2:10" x14ac:dyDescent="0.2">
      <c r="B338" s="93"/>
      <c r="C338" s="97"/>
      <c r="D338" s="93"/>
      <c r="E338" s="98"/>
      <c r="F338" s="100">
        <v>334</v>
      </c>
      <c r="G338" s="101">
        <f t="shared" si="21"/>
        <v>0</v>
      </c>
      <c r="H338" s="101">
        <f t="shared" si="22"/>
        <v>0</v>
      </c>
      <c r="I338" s="101">
        <f t="shared" si="23"/>
        <v>0</v>
      </c>
      <c r="J338" s="101">
        <f t="shared" si="24"/>
        <v>0</v>
      </c>
    </row>
    <row r="339" spans="2:10" x14ac:dyDescent="0.2">
      <c r="B339" s="93"/>
      <c r="C339" s="97"/>
      <c r="D339" s="93"/>
      <c r="E339" s="98"/>
      <c r="F339" s="100">
        <v>335</v>
      </c>
      <c r="G339" s="101">
        <f t="shared" si="21"/>
        <v>0</v>
      </c>
      <c r="H339" s="101">
        <f t="shared" si="22"/>
        <v>0</v>
      </c>
      <c r="I339" s="101">
        <f t="shared" si="23"/>
        <v>0</v>
      </c>
      <c r="J339" s="101">
        <f t="shared" si="24"/>
        <v>0</v>
      </c>
    </row>
    <row r="340" spans="2:10" x14ac:dyDescent="0.2">
      <c r="B340" s="93"/>
      <c r="C340" s="97"/>
      <c r="D340" s="93"/>
      <c r="E340" s="98"/>
      <c r="F340" s="100">
        <v>336</v>
      </c>
      <c r="G340" s="101">
        <f t="shared" si="21"/>
        <v>0</v>
      </c>
      <c r="H340" s="101">
        <f t="shared" si="22"/>
        <v>0</v>
      </c>
      <c r="I340" s="101">
        <f t="shared" si="23"/>
        <v>0</v>
      </c>
      <c r="J340" s="101">
        <f t="shared" si="24"/>
        <v>0</v>
      </c>
    </row>
    <row r="341" spans="2:10" x14ac:dyDescent="0.2">
      <c r="B341" s="93"/>
      <c r="C341" s="97"/>
      <c r="D341" s="93"/>
      <c r="E341" s="98"/>
      <c r="F341" s="100">
        <v>337</v>
      </c>
      <c r="G341" s="101">
        <f t="shared" si="21"/>
        <v>0</v>
      </c>
      <c r="H341" s="101">
        <f t="shared" si="22"/>
        <v>0</v>
      </c>
      <c r="I341" s="101">
        <f t="shared" si="23"/>
        <v>0</v>
      </c>
      <c r="J341" s="101">
        <f t="shared" si="24"/>
        <v>0</v>
      </c>
    </row>
    <row r="342" spans="2:10" x14ac:dyDescent="0.2">
      <c r="B342" s="93"/>
      <c r="C342" s="97"/>
      <c r="D342" s="93"/>
      <c r="E342" s="98"/>
      <c r="F342" s="100">
        <v>338</v>
      </c>
      <c r="G342" s="101">
        <f t="shared" si="21"/>
        <v>0</v>
      </c>
      <c r="H342" s="101">
        <f t="shared" si="22"/>
        <v>0</v>
      </c>
      <c r="I342" s="101">
        <f t="shared" si="23"/>
        <v>0</v>
      </c>
      <c r="J342" s="101">
        <f t="shared" si="24"/>
        <v>0</v>
      </c>
    </row>
    <row r="343" spans="2:10" x14ac:dyDescent="0.2">
      <c r="B343" s="93"/>
      <c r="C343" s="97"/>
      <c r="D343" s="93"/>
      <c r="E343" s="98"/>
      <c r="F343" s="100">
        <v>339</v>
      </c>
      <c r="G343" s="101">
        <f t="shared" si="21"/>
        <v>0</v>
      </c>
      <c r="H343" s="101">
        <f t="shared" si="22"/>
        <v>0</v>
      </c>
      <c r="I343" s="101">
        <f t="shared" si="23"/>
        <v>0</v>
      </c>
      <c r="J343" s="101">
        <f t="shared" si="24"/>
        <v>0</v>
      </c>
    </row>
    <row r="344" spans="2:10" x14ac:dyDescent="0.2">
      <c r="B344" s="93"/>
      <c r="C344" s="97"/>
      <c r="D344" s="93"/>
      <c r="E344" s="98"/>
      <c r="F344" s="100">
        <v>340</v>
      </c>
      <c r="G344" s="101">
        <f t="shared" si="21"/>
        <v>0</v>
      </c>
      <c r="H344" s="101">
        <f t="shared" si="22"/>
        <v>0</v>
      </c>
      <c r="I344" s="101">
        <f t="shared" si="23"/>
        <v>0</v>
      </c>
      <c r="J344" s="101">
        <f t="shared" si="24"/>
        <v>0</v>
      </c>
    </row>
    <row r="345" spans="2:10" x14ac:dyDescent="0.2">
      <c r="B345" s="93"/>
      <c r="C345" s="97"/>
      <c r="D345" s="93"/>
      <c r="E345" s="98"/>
      <c r="F345" s="100">
        <v>341</v>
      </c>
      <c r="G345" s="101">
        <f t="shared" si="21"/>
        <v>0</v>
      </c>
      <c r="H345" s="101">
        <f t="shared" si="22"/>
        <v>0</v>
      </c>
      <c r="I345" s="101">
        <f t="shared" si="23"/>
        <v>0</v>
      </c>
      <c r="J345" s="101">
        <f t="shared" si="24"/>
        <v>0</v>
      </c>
    </row>
    <row r="346" spans="2:10" x14ac:dyDescent="0.2">
      <c r="B346" s="93"/>
      <c r="C346" s="97"/>
      <c r="D346" s="93"/>
      <c r="E346" s="98"/>
      <c r="F346" s="100">
        <v>342</v>
      </c>
      <c r="G346" s="101">
        <f t="shared" si="21"/>
        <v>0</v>
      </c>
      <c r="H346" s="101">
        <f t="shared" si="22"/>
        <v>0</v>
      </c>
      <c r="I346" s="101">
        <f t="shared" si="23"/>
        <v>0</v>
      </c>
      <c r="J346" s="101">
        <f t="shared" si="24"/>
        <v>0</v>
      </c>
    </row>
    <row r="347" spans="2:10" x14ac:dyDescent="0.2">
      <c r="B347" s="93"/>
      <c r="C347" s="97"/>
      <c r="D347" s="93"/>
      <c r="E347" s="98"/>
      <c r="F347" s="100">
        <v>343</v>
      </c>
      <c r="G347" s="101">
        <f t="shared" si="21"/>
        <v>0</v>
      </c>
      <c r="H347" s="101">
        <f t="shared" si="22"/>
        <v>0</v>
      </c>
      <c r="I347" s="101">
        <f t="shared" si="23"/>
        <v>0</v>
      </c>
      <c r="J347" s="101">
        <f t="shared" si="24"/>
        <v>0</v>
      </c>
    </row>
    <row r="348" spans="2:10" x14ac:dyDescent="0.2">
      <c r="B348" s="93"/>
      <c r="C348" s="97"/>
      <c r="D348" s="93"/>
      <c r="E348" s="98"/>
      <c r="F348" s="100">
        <v>344</v>
      </c>
      <c r="G348" s="101">
        <f t="shared" si="21"/>
        <v>0</v>
      </c>
      <c r="H348" s="101">
        <f t="shared" si="22"/>
        <v>0</v>
      </c>
      <c r="I348" s="101">
        <f t="shared" si="23"/>
        <v>0</v>
      </c>
      <c r="J348" s="101">
        <f t="shared" si="24"/>
        <v>0</v>
      </c>
    </row>
    <row r="349" spans="2:10" x14ac:dyDescent="0.2">
      <c r="B349" s="93"/>
      <c r="C349" s="97"/>
      <c r="D349" s="93"/>
      <c r="E349" s="98"/>
      <c r="F349" s="100">
        <v>345</v>
      </c>
      <c r="G349" s="101">
        <f t="shared" si="21"/>
        <v>0</v>
      </c>
      <c r="H349" s="101">
        <f t="shared" si="22"/>
        <v>0</v>
      </c>
      <c r="I349" s="101">
        <f t="shared" si="23"/>
        <v>0</v>
      </c>
      <c r="J349" s="101">
        <f t="shared" si="24"/>
        <v>0</v>
      </c>
    </row>
    <row r="350" spans="2:10" x14ac:dyDescent="0.2">
      <c r="B350" s="93"/>
      <c r="C350" s="97"/>
      <c r="D350" s="93"/>
      <c r="E350" s="98"/>
      <c r="F350" s="100">
        <v>346</v>
      </c>
      <c r="G350" s="101">
        <f t="shared" si="21"/>
        <v>0</v>
      </c>
      <c r="H350" s="101">
        <f t="shared" si="22"/>
        <v>0</v>
      </c>
      <c r="I350" s="101">
        <f t="shared" si="23"/>
        <v>0</v>
      </c>
      <c r="J350" s="101">
        <f t="shared" si="24"/>
        <v>0</v>
      </c>
    </row>
    <row r="351" spans="2:10" x14ac:dyDescent="0.2">
      <c r="B351" s="93"/>
      <c r="C351" s="97"/>
      <c r="D351" s="93"/>
      <c r="E351" s="98"/>
      <c r="F351" s="100">
        <v>347</v>
      </c>
      <c r="G351" s="101">
        <f t="shared" si="21"/>
        <v>0</v>
      </c>
      <c r="H351" s="101">
        <f t="shared" si="22"/>
        <v>0</v>
      </c>
      <c r="I351" s="101">
        <f t="shared" si="23"/>
        <v>0</v>
      </c>
      <c r="J351" s="101">
        <f t="shared" si="24"/>
        <v>0</v>
      </c>
    </row>
    <row r="352" spans="2:10" x14ac:dyDescent="0.2">
      <c r="B352" s="93"/>
      <c r="C352" s="97"/>
      <c r="D352" s="93"/>
      <c r="E352" s="98"/>
      <c r="F352" s="100">
        <v>348</v>
      </c>
      <c r="G352" s="101">
        <f t="shared" si="21"/>
        <v>0</v>
      </c>
      <c r="H352" s="101">
        <f t="shared" si="22"/>
        <v>0</v>
      </c>
      <c r="I352" s="101">
        <f t="shared" si="23"/>
        <v>0</v>
      </c>
      <c r="J352" s="101">
        <f t="shared" si="24"/>
        <v>0</v>
      </c>
    </row>
    <row r="353" spans="2:10" x14ac:dyDescent="0.2">
      <c r="B353" s="93"/>
      <c r="C353" s="97"/>
      <c r="D353" s="93"/>
      <c r="E353" s="98"/>
      <c r="F353" s="100">
        <v>349</v>
      </c>
      <c r="G353" s="101">
        <f t="shared" si="21"/>
        <v>0</v>
      </c>
      <c r="H353" s="101">
        <f t="shared" si="22"/>
        <v>0</v>
      </c>
      <c r="I353" s="101">
        <f t="shared" si="23"/>
        <v>0</v>
      </c>
      <c r="J353" s="101">
        <f t="shared" si="24"/>
        <v>0</v>
      </c>
    </row>
    <row r="354" spans="2:10" x14ac:dyDescent="0.2">
      <c r="B354" s="93"/>
      <c r="C354" s="97"/>
      <c r="D354" s="93"/>
      <c r="E354" s="98"/>
      <c r="F354" s="100">
        <v>350</v>
      </c>
      <c r="G354" s="101">
        <f t="shared" si="21"/>
        <v>0</v>
      </c>
      <c r="H354" s="101">
        <f t="shared" si="22"/>
        <v>0</v>
      </c>
      <c r="I354" s="101">
        <f t="shared" si="23"/>
        <v>0</v>
      </c>
      <c r="J354" s="101">
        <f t="shared" si="24"/>
        <v>0</v>
      </c>
    </row>
    <row r="355" spans="2:10" x14ac:dyDescent="0.2">
      <c r="B355" s="93"/>
      <c r="C355" s="97"/>
      <c r="D355" s="93"/>
      <c r="E355" s="98"/>
      <c r="F355" s="100">
        <v>351</v>
      </c>
      <c r="G355" s="101">
        <f t="shared" si="21"/>
        <v>0</v>
      </c>
      <c r="H355" s="101">
        <f t="shared" si="22"/>
        <v>0</v>
      </c>
      <c r="I355" s="101">
        <f t="shared" si="23"/>
        <v>0</v>
      </c>
      <c r="J355" s="101">
        <f t="shared" si="24"/>
        <v>0</v>
      </c>
    </row>
    <row r="356" spans="2:10" x14ac:dyDescent="0.2">
      <c r="B356" s="93"/>
      <c r="C356" s="97"/>
      <c r="D356" s="93"/>
      <c r="E356" s="98"/>
      <c r="F356" s="100">
        <v>352</v>
      </c>
      <c r="G356" s="101">
        <f t="shared" si="21"/>
        <v>0</v>
      </c>
      <c r="H356" s="101">
        <f t="shared" si="22"/>
        <v>0</v>
      </c>
      <c r="I356" s="101">
        <f t="shared" si="23"/>
        <v>0</v>
      </c>
      <c r="J356" s="101">
        <f t="shared" si="24"/>
        <v>0</v>
      </c>
    </row>
    <row r="357" spans="2:10" x14ac:dyDescent="0.2">
      <c r="B357" s="93"/>
      <c r="C357" s="97"/>
      <c r="D357" s="93"/>
      <c r="E357" s="98"/>
      <c r="F357" s="100">
        <v>353</v>
      </c>
      <c r="G357" s="101">
        <f t="shared" si="21"/>
        <v>0</v>
      </c>
      <c r="H357" s="101">
        <f t="shared" si="22"/>
        <v>0</v>
      </c>
      <c r="I357" s="101">
        <f t="shared" si="23"/>
        <v>0</v>
      </c>
      <c r="J357" s="101">
        <f t="shared" si="24"/>
        <v>0</v>
      </c>
    </row>
    <row r="358" spans="2:10" x14ac:dyDescent="0.2">
      <c r="B358" s="93"/>
      <c r="C358" s="97"/>
      <c r="D358" s="93"/>
      <c r="E358" s="98"/>
      <c r="F358" s="100">
        <v>354</v>
      </c>
      <c r="G358" s="101">
        <f t="shared" si="21"/>
        <v>0</v>
      </c>
      <c r="H358" s="101">
        <f t="shared" si="22"/>
        <v>0</v>
      </c>
      <c r="I358" s="101">
        <f t="shared" si="23"/>
        <v>0</v>
      </c>
      <c r="J358" s="101">
        <f t="shared" si="24"/>
        <v>0</v>
      </c>
    </row>
    <row r="359" spans="2:10" x14ac:dyDescent="0.2">
      <c r="B359" s="93"/>
      <c r="C359" s="97"/>
      <c r="D359" s="93"/>
      <c r="E359" s="98"/>
      <c r="F359" s="100">
        <v>355</v>
      </c>
      <c r="G359" s="101">
        <f t="shared" si="21"/>
        <v>0</v>
      </c>
      <c r="H359" s="101">
        <f t="shared" si="22"/>
        <v>0</v>
      </c>
      <c r="I359" s="101">
        <f t="shared" si="23"/>
        <v>0</v>
      </c>
      <c r="J359" s="101">
        <f t="shared" si="24"/>
        <v>0</v>
      </c>
    </row>
    <row r="360" spans="2:10" x14ac:dyDescent="0.2">
      <c r="B360" s="93"/>
      <c r="C360" s="97"/>
      <c r="D360" s="93"/>
      <c r="E360" s="98"/>
      <c r="F360" s="100">
        <v>356</v>
      </c>
      <c r="G360" s="101">
        <f t="shared" si="21"/>
        <v>0</v>
      </c>
      <c r="H360" s="101">
        <f t="shared" si="22"/>
        <v>0</v>
      </c>
      <c r="I360" s="101">
        <f t="shared" si="23"/>
        <v>0</v>
      </c>
      <c r="J360" s="101">
        <f t="shared" si="24"/>
        <v>0</v>
      </c>
    </row>
    <row r="361" spans="2:10" x14ac:dyDescent="0.2">
      <c r="B361" s="93"/>
      <c r="C361" s="97"/>
      <c r="D361" s="93"/>
      <c r="E361" s="98"/>
      <c r="F361" s="100">
        <v>357</v>
      </c>
      <c r="G361" s="101">
        <f t="shared" si="21"/>
        <v>0</v>
      </c>
      <c r="H361" s="101">
        <f t="shared" si="22"/>
        <v>0</v>
      </c>
      <c r="I361" s="101">
        <f t="shared" si="23"/>
        <v>0</v>
      </c>
      <c r="J361" s="101">
        <f t="shared" si="24"/>
        <v>0</v>
      </c>
    </row>
    <row r="362" spans="2:10" x14ac:dyDescent="0.2">
      <c r="B362" s="93"/>
      <c r="C362" s="97"/>
      <c r="D362" s="93"/>
      <c r="E362" s="98"/>
      <c r="F362" s="100">
        <v>358</v>
      </c>
      <c r="G362" s="101">
        <f t="shared" si="21"/>
        <v>0</v>
      </c>
      <c r="H362" s="101">
        <f t="shared" si="22"/>
        <v>0</v>
      </c>
      <c r="I362" s="101">
        <f t="shared" si="23"/>
        <v>0</v>
      </c>
      <c r="J362" s="101">
        <f t="shared" si="24"/>
        <v>0</v>
      </c>
    </row>
    <row r="363" spans="2:10" x14ac:dyDescent="0.2">
      <c r="B363" s="93"/>
      <c r="C363" s="97"/>
      <c r="D363" s="93"/>
      <c r="E363" s="98"/>
      <c r="F363" s="100">
        <v>359</v>
      </c>
      <c r="G363" s="101">
        <f t="shared" si="21"/>
        <v>0</v>
      </c>
      <c r="H363" s="101">
        <f t="shared" si="22"/>
        <v>0</v>
      </c>
      <c r="I363" s="101">
        <f t="shared" si="23"/>
        <v>0</v>
      </c>
      <c r="J363" s="101">
        <f t="shared" si="24"/>
        <v>0</v>
      </c>
    </row>
    <row r="364" spans="2:10" x14ac:dyDescent="0.2">
      <c r="B364" s="93"/>
      <c r="C364" s="97"/>
      <c r="D364" s="93"/>
      <c r="E364" s="98"/>
      <c r="F364" s="100">
        <v>360</v>
      </c>
      <c r="G364" s="101">
        <f t="shared" si="21"/>
        <v>0</v>
      </c>
      <c r="H364" s="101">
        <f t="shared" si="22"/>
        <v>0</v>
      </c>
      <c r="I364" s="101">
        <f t="shared" si="23"/>
        <v>0</v>
      </c>
      <c r="J364" s="101">
        <f t="shared" si="24"/>
        <v>0</v>
      </c>
    </row>
    <row r="365" spans="2:10" x14ac:dyDescent="0.2">
      <c r="B365" s="93"/>
      <c r="C365" s="97"/>
      <c r="D365" s="93"/>
      <c r="E365" s="98"/>
      <c r="F365" s="100">
        <v>361</v>
      </c>
      <c r="G365" s="101">
        <f t="shared" si="21"/>
        <v>0</v>
      </c>
      <c r="H365" s="101">
        <f t="shared" si="22"/>
        <v>0</v>
      </c>
      <c r="I365" s="101">
        <f t="shared" si="23"/>
        <v>0</v>
      </c>
      <c r="J365" s="101">
        <f t="shared" si="24"/>
        <v>0</v>
      </c>
    </row>
    <row r="366" spans="2:10" x14ac:dyDescent="0.2">
      <c r="B366" s="93"/>
      <c r="C366" s="97"/>
      <c r="D366" s="93"/>
      <c r="E366" s="98"/>
      <c r="F366" s="100">
        <v>362</v>
      </c>
      <c r="G366" s="101">
        <f t="shared" si="21"/>
        <v>0</v>
      </c>
      <c r="H366" s="101">
        <f t="shared" si="22"/>
        <v>0</v>
      </c>
      <c r="I366" s="101">
        <f t="shared" si="23"/>
        <v>0</v>
      </c>
      <c r="J366" s="101">
        <f t="shared" si="24"/>
        <v>0</v>
      </c>
    </row>
    <row r="367" spans="2:10" x14ac:dyDescent="0.2">
      <c r="B367" s="93"/>
      <c r="C367" s="97"/>
      <c r="D367" s="93"/>
      <c r="E367" s="98"/>
      <c r="F367" s="100">
        <v>363</v>
      </c>
      <c r="G367" s="101">
        <f t="shared" si="21"/>
        <v>0</v>
      </c>
      <c r="H367" s="101">
        <f t="shared" si="22"/>
        <v>0</v>
      </c>
      <c r="I367" s="101">
        <f t="shared" si="23"/>
        <v>0</v>
      </c>
      <c r="J367" s="101">
        <f t="shared" si="24"/>
        <v>0</v>
      </c>
    </row>
    <row r="368" spans="2:10" x14ac:dyDescent="0.2">
      <c r="B368" s="93"/>
      <c r="C368" s="97"/>
      <c r="D368" s="93"/>
      <c r="E368" s="98"/>
      <c r="F368" s="100">
        <v>364</v>
      </c>
      <c r="G368" s="101">
        <f t="shared" si="21"/>
        <v>0</v>
      </c>
      <c r="H368" s="101">
        <f t="shared" si="22"/>
        <v>0</v>
      </c>
      <c r="I368" s="101">
        <f t="shared" si="23"/>
        <v>0</v>
      </c>
      <c r="J368" s="101">
        <f t="shared" si="24"/>
        <v>0</v>
      </c>
    </row>
    <row r="369" spans="2:10" x14ac:dyDescent="0.2">
      <c r="B369" s="93"/>
      <c r="C369" s="97"/>
      <c r="D369" s="93"/>
      <c r="E369" s="98"/>
      <c r="F369" s="100">
        <v>365</v>
      </c>
      <c r="G369" s="101">
        <f t="shared" si="21"/>
        <v>0</v>
      </c>
      <c r="H369" s="101">
        <f t="shared" si="22"/>
        <v>0</v>
      </c>
      <c r="I369" s="101">
        <f t="shared" si="23"/>
        <v>0</v>
      </c>
      <c r="J369" s="101">
        <f t="shared" si="24"/>
        <v>0</v>
      </c>
    </row>
    <row r="370" spans="2:10" x14ac:dyDescent="0.2">
      <c r="B370" s="93"/>
      <c r="C370" s="97"/>
      <c r="D370" s="93"/>
      <c r="E370" s="98"/>
      <c r="F370" s="100">
        <v>366</v>
      </c>
      <c r="G370" s="101">
        <f t="shared" si="21"/>
        <v>0</v>
      </c>
      <c r="H370" s="101">
        <f t="shared" si="22"/>
        <v>0</v>
      </c>
      <c r="I370" s="101">
        <f t="shared" si="23"/>
        <v>0</v>
      </c>
      <c r="J370" s="101">
        <f t="shared" si="24"/>
        <v>0</v>
      </c>
    </row>
    <row r="371" spans="2:10" x14ac:dyDescent="0.2">
      <c r="B371" s="93"/>
      <c r="C371" s="97"/>
      <c r="D371" s="93"/>
      <c r="E371" s="98"/>
      <c r="F371" s="100">
        <v>367</v>
      </c>
      <c r="G371" s="101">
        <f t="shared" si="21"/>
        <v>0</v>
      </c>
      <c r="H371" s="101">
        <f t="shared" si="22"/>
        <v>0</v>
      </c>
      <c r="I371" s="101">
        <f t="shared" si="23"/>
        <v>0</v>
      </c>
      <c r="J371" s="101">
        <f t="shared" si="24"/>
        <v>0</v>
      </c>
    </row>
    <row r="372" spans="2:10" x14ac:dyDescent="0.2">
      <c r="B372" s="93"/>
      <c r="C372" s="97"/>
      <c r="D372" s="93"/>
      <c r="E372" s="98"/>
      <c r="F372" s="100">
        <v>368</v>
      </c>
      <c r="G372" s="101">
        <f t="shared" si="21"/>
        <v>0</v>
      </c>
      <c r="H372" s="101">
        <f t="shared" si="22"/>
        <v>0</v>
      </c>
      <c r="I372" s="101">
        <f t="shared" si="23"/>
        <v>0</v>
      </c>
      <c r="J372" s="101">
        <f t="shared" si="24"/>
        <v>0</v>
      </c>
    </row>
    <row r="373" spans="2:10" x14ac:dyDescent="0.2">
      <c r="B373" s="93"/>
      <c r="C373" s="97"/>
      <c r="D373" s="93"/>
      <c r="E373" s="98"/>
      <c r="F373" s="100">
        <v>369</v>
      </c>
      <c r="G373" s="101">
        <f t="shared" si="21"/>
        <v>0</v>
      </c>
      <c r="H373" s="101">
        <f t="shared" si="22"/>
        <v>0</v>
      </c>
      <c r="I373" s="101">
        <f t="shared" si="23"/>
        <v>0</v>
      </c>
      <c r="J373" s="101">
        <f t="shared" si="24"/>
        <v>0</v>
      </c>
    </row>
    <row r="374" spans="2:10" x14ac:dyDescent="0.2">
      <c r="B374" s="93"/>
      <c r="C374" s="97"/>
      <c r="D374" s="93"/>
      <c r="E374" s="98"/>
      <c r="F374" s="100">
        <v>370</v>
      </c>
      <c r="G374" s="101">
        <f t="shared" si="21"/>
        <v>0</v>
      </c>
      <c r="H374" s="101">
        <f t="shared" si="22"/>
        <v>0</v>
      </c>
      <c r="I374" s="101">
        <f t="shared" si="23"/>
        <v>0</v>
      </c>
      <c r="J374" s="101">
        <f t="shared" si="24"/>
        <v>0</v>
      </c>
    </row>
    <row r="375" spans="2:10" x14ac:dyDescent="0.2">
      <c r="B375" s="93"/>
      <c r="C375" s="97"/>
      <c r="D375" s="93"/>
      <c r="E375" s="98"/>
      <c r="F375" s="100">
        <v>371</v>
      </c>
      <c r="G375" s="101">
        <f t="shared" si="21"/>
        <v>0</v>
      </c>
      <c r="H375" s="101">
        <f t="shared" si="22"/>
        <v>0</v>
      </c>
      <c r="I375" s="101">
        <f t="shared" si="23"/>
        <v>0</v>
      </c>
      <c r="J375" s="101">
        <f t="shared" si="24"/>
        <v>0</v>
      </c>
    </row>
    <row r="376" spans="2:10" x14ac:dyDescent="0.2">
      <c r="B376" s="93"/>
      <c r="C376" s="97"/>
      <c r="D376" s="93"/>
      <c r="E376" s="98"/>
      <c r="F376" s="100">
        <v>372</v>
      </c>
      <c r="G376" s="101">
        <f t="shared" si="21"/>
        <v>0</v>
      </c>
      <c r="H376" s="101">
        <f t="shared" si="22"/>
        <v>0</v>
      </c>
      <c r="I376" s="101">
        <f t="shared" si="23"/>
        <v>0</v>
      </c>
      <c r="J376" s="101">
        <f t="shared" si="24"/>
        <v>0</v>
      </c>
    </row>
    <row r="377" spans="2:10" x14ac:dyDescent="0.2">
      <c r="B377" s="93"/>
      <c r="C377" s="97"/>
      <c r="D377" s="93"/>
      <c r="E377" s="98"/>
      <c r="F377" s="100">
        <v>373</v>
      </c>
      <c r="G377" s="101">
        <f t="shared" si="21"/>
        <v>0</v>
      </c>
      <c r="H377" s="101">
        <f t="shared" si="22"/>
        <v>0</v>
      </c>
      <c r="I377" s="101">
        <f t="shared" si="23"/>
        <v>0</v>
      </c>
      <c r="J377" s="101">
        <f t="shared" si="24"/>
        <v>0</v>
      </c>
    </row>
    <row r="378" spans="2:10" x14ac:dyDescent="0.2">
      <c r="B378" s="93"/>
      <c r="C378" s="97"/>
      <c r="D378" s="93"/>
      <c r="E378" s="98"/>
      <c r="F378" s="100">
        <v>374</v>
      </c>
      <c r="G378" s="101">
        <f t="shared" si="21"/>
        <v>0</v>
      </c>
      <c r="H378" s="101">
        <f t="shared" si="22"/>
        <v>0</v>
      </c>
      <c r="I378" s="101">
        <f t="shared" si="23"/>
        <v>0</v>
      </c>
      <c r="J378" s="101">
        <f t="shared" si="24"/>
        <v>0</v>
      </c>
    </row>
    <row r="379" spans="2:10" x14ac:dyDescent="0.2">
      <c r="B379" s="93"/>
      <c r="C379" s="97"/>
      <c r="D379" s="93"/>
      <c r="E379" s="98"/>
      <c r="F379" s="100">
        <v>375</v>
      </c>
      <c r="G379" s="101">
        <f t="shared" si="21"/>
        <v>0</v>
      </c>
      <c r="H379" s="101">
        <f t="shared" si="22"/>
        <v>0</v>
      </c>
      <c r="I379" s="101">
        <f t="shared" si="23"/>
        <v>0</v>
      </c>
      <c r="J379" s="101">
        <f t="shared" si="24"/>
        <v>0</v>
      </c>
    </row>
    <row r="380" spans="2:10" x14ac:dyDescent="0.2">
      <c r="B380" s="93"/>
      <c r="C380" s="97"/>
      <c r="D380" s="93"/>
      <c r="E380" s="98"/>
      <c r="F380" s="100">
        <v>376</v>
      </c>
      <c r="G380" s="101">
        <f t="shared" si="21"/>
        <v>0</v>
      </c>
      <c r="H380" s="101">
        <f t="shared" si="22"/>
        <v>0</v>
      </c>
      <c r="I380" s="101">
        <f t="shared" si="23"/>
        <v>0</v>
      </c>
      <c r="J380" s="101">
        <f t="shared" si="24"/>
        <v>0</v>
      </c>
    </row>
    <row r="381" spans="2:10" x14ac:dyDescent="0.2">
      <c r="B381" s="93"/>
      <c r="C381" s="97"/>
      <c r="D381" s="93"/>
      <c r="E381" s="98"/>
      <c r="F381" s="100">
        <v>377</v>
      </c>
      <c r="G381" s="101">
        <f t="shared" si="21"/>
        <v>0</v>
      </c>
      <c r="H381" s="101">
        <f t="shared" si="22"/>
        <v>0</v>
      </c>
      <c r="I381" s="101">
        <f t="shared" si="23"/>
        <v>0</v>
      </c>
      <c r="J381" s="101">
        <f t="shared" si="24"/>
        <v>0</v>
      </c>
    </row>
    <row r="382" spans="2:10" x14ac:dyDescent="0.2">
      <c r="B382" s="93"/>
      <c r="C382" s="97"/>
      <c r="D382" s="93"/>
      <c r="E382" s="98"/>
      <c r="F382" s="100">
        <v>378</v>
      </c>
      <c r="G382" s="101">
        <f t="shared" si="21"/>
        <v>0</v>
      </c>
      <c r="H382" s="101">
        <f t="shared" si="22"/>
        <v>0</v>
      </c>
      <c r="I382" s="101">
        <f t="shared" si="23"/>
        <v>0</v>
      </c>
      <c r="J382" s="101">
        <f t="shared" si="24"/>
        <v>0</v>
      </c>
    </row>
    <row r="383" spans="2:10" x14ac:dyDescent="0.2">
      <c r="B383" s="93"/>
      <c r="C383" s="97"/>
      <c r="D383" s="93"/>
      <c r="E383" s="98"/>
      <c r="F383" s="100">
        <v>379</v>
      </c>
      <c r="G383" s="101">
        <f t="shared" si="21"/>
        <v>0</v>
      </c>
      <c r="H383" s="101">
        <f t="shared" si="22"/>
        <v>0</v>
      </c>
      <c r="I383" s="101">
        <f t="shared" si="23"/>
        <v>0</v>
      </c>
      <c r="J383" s="101">
        <f t="shared" si="24"/>
        <v>0</v>
      </c>
    </row>
    <row r="384" spans="2:10" x14ac:dyDescent="0.2">
      <c r="B384" s="93"/>
      <c r="C384" s="97"/>
      <c r="D384" s="93"/>
      <c r="E384" s="98"/>
      <c r="F384" s="100">
        <v>380</v>
      </c>
      <c r="G384" s="101">
        <f t="shared" si="21"/>
        <v>0</v>
      </c>
      <c r="H384" s="101">
        <f t="shared" si="22"/>
        <v>0</v>
      </c>
      <c r="I384" s="101">
        <f t="shared" si="23"/>
        <v>0</v>
      </c>
      <c r="J384" s="101">
        <f t="shared" si="24"/>
        <v>0</v>
      </c>
    </row>
    <row r="385" spans="2:10" x14ac:dyDescent="0.2">
      <c r="B385" s="93"/>
      <c r="C385" s="97"/>
      <c r="D385" s="93"/>
      <c r="E385" s="98"/>
      <c r="F385" s="100">
        <v>381</v>
      </c>
      <c r="G385" s="101">
        <f t="shared" si="21"/>
        <v>0</v>
      </c>
      <c r="H385" s="101">
        <f t="shared" si="22"/>
        <v>0</v>
      </c>
      <c r="I385" s="101">
        <f t="shared" si="23"/>
        <v>0</v>
      </c>
      <c r="J385" s="101">
        <f t="shared" si="24"/>
        <v>0</v>
      </c>
    </row>
    <row r="386" spans="2:10" x14ac:dyDescent="0.2">
      <c r="B386" s="93"/>
      <c r="C386" s="97"/>
      <c r="D386" s="93"/>
      <c r="E386" s="98"/>
      <c r="F386" s="100">
        <v>382</v>
      </c>
      <c r="G386" s="101">
        <f t="shared" si="21"/>
        <v>0</v>
      </c>
      <c r="H386" s="101">
        <f t="shared" si="22"/>
        <v>0</v>
      </c>
      <c r="I386" s="101">
        <f t="shared" si="23"/>
        <v>0</v>
      </c>
      <c r="J386" s="101">
        <f t="shared" si="24"/>
        <v>0</v>
      </c>
    </row>
    <row r="387" spans="2:10" x14ac:dyDescent="0.2">
      <c r="B387" s="93"/>
      <c r="C387" s="97"/>
      <c r="D387" s="93"/>
      <c r="E387" s="98"/>
      <c r="F387" s="100">
        <v>383</v>
      </c>
      <c r="G387" s="101">
        <f t="shared" si="21"/>
        <v>0</v>
      </c>
      <c r="H387" s="101">
        <f t="shared" si="22"/>
        <v>0</v>
      </c>
      <c r="I387" s="101">
        <f t="shared" si="23"/>
        <v>0</v>
      </c>
      <c r="J387" s="101">
        <f t="shared" si="24"/>
        <v>0</v>
      </c>
    </row>
    <row r="388" spans="2:10" x14ac:dyDescent="0.2">
      <c r="B388" s="93"/>
      <c r="C388" s="97"/>
      <c r="D388" s="93"/>
      <c r="E388" s="98"/>
      <c r="F388" s="100">
        <v>384</v>
      </c>
      <c r="G388" s="101">
        <f t="shared" si="21"/>
        <v>0</v>
      </c>
      <c r="H388" s="101">
        <f t="shared" si="22"/>
        <v>0</v>
      </c>
      <c r="I388" s="101">
        <f t="shared" si="23"/>
        <v>0</v>
      </c>
      <c r="J388" s="101">
        <f t="shared" si="24"/>
        <v>0</v>
      </c>
    </row>
    <row r="389" spans="2:10" x14ac:dyDescent="0.2">
      <c r="B389" s="93"/>
      <c r="C389" s="97"/>
      <c r="D389" s="93"/>
      <c r="E389" s="98"/>
      <c r="F389" s="100">
        <v>385</v>
      </c>
      <c r="G389" s="101">
        <f t="shared" si="21"/>
        <v>0</v>
      </c>
      <c r="H389" s="101">
        <f t="shared" si="22"/>
        <v>0</v>
      </c>
      <c r="I389" s="101">
        <f t="shared" si="23"/>
        <v>0</v>
      </c>
      <c r="J389" s="101">
        <f t="shared" si="24"/>
        <v>0</v>
      </c>
    </row>
    <row r="390" spans="2:10" x14ac:dyDescent="0.2">
      <c r="B390" s="93"/>
      <c r="C390" s="97"/>
      <c r="D390" s="93"/>
      <c r="E390" s="98"/>
      <c r="F390" s="100">
        <v>386</v>
      </c>
      <c r="G390" s="101">
        <f t="shared" ref="G390:G453" si="25">B390</f>
        <v>0</v>
      </c>
      <c r="H390" s="101">
        <f t="shared" ref="H390:H453" si="26">C390</f>
        <v>0</v>
      </c>
      <c r="I390" s="101">
        <f t="shared" ref="I390:I453" si="27">D390</f>
        <v>0</v>
      </c>
      <c r="J390" s="101">
        <f t="shared" ref="J390:J453" si="28">E390</f>
        <v>0</v>
      </c>
    </row>
    <row r="391" spans="2:10" x14ac:dyDescent="0.2">
      <c r="B391" s="93"/>
      <c r="C391" s="97"/>
      <c r="D391" s="93"/>
      <c r="E391" s="98"/>
      <c r="F391" s="100">
        <v>387</v>
      </c>
      <c r="G391" s="101">
        <f t="shared" si="25"/>
        <v>0</v>
      </c>
      <c r="H391" s="101">
        <f t="shared" si="26"/>
        <v>0</v>
      </c>
      <c r="I391" s="101">
        <f t="shared" si="27"/>
        <v>0</v>
      </c>
      <c r="J391" s="101">
        <f t="shared" si="28"/>
        <v>0</v>
      </c>
    </row>
    <row r="392" spans="2:10" x14ac:dyDescent="0.2">
      <c r="B392" s="93"/>
      <c r="C392" s="97"/>
      <c r="D392" s="93"/>
      <c r="E392" s="98"/>
      <c r="F392" s="100">
        <v>388</v>
      </c>
      <c r="G392" s="101">
        <f t="shared" si="25"/>
        <v>0</v>
      </c>
      <c r="H392" s="101">
        <f t="shared" si="26"/>
        <v>0</v>
      </c>
      <c r="I392" s="101">
        <f t="shared" si="27"/>
        <v>0</v>
      </c>
      <c r="J392" s="101">
        <f t="shared" si="28"/>
        <v>0</v>
      </c>
    </row>
    <row r="393" spans="2:10" x14ac:dyDescent="0.2">
      <c r="B393" s="93"/>
      <c r="C393" s="97"/>
      <c r="D393" s="93"/>
      <c r="E393" s="98"/>
      <c r="F393" s="100">
        <v>389</v>
      </c>
      <c r="G393" s="101">
        <f t="shared" si="25"/>
        <v>0</v>
      </c>
      <c r="H393" s="101">
        <f t="shared" si="26"/>
        <v>0</v>
      </c>
      <c r="I393" s="101">
        <f t="shared" si="27"/>
        <v>0</v>
      </c>
      <c r="J393" s="101">
        <f t="shared" si="28"/>
        <v>0</v>
      </c>
    </row>
    <row r="394" spans="2:10" x14ac:dyDescent="0.2">
      <c r="B394" s="93"/>
      <c r="C394" s="97"/>
      <c r="D394" s="93"/>
      <c r="E394" s="98"/>
      <c r="F394" s="100">
        <v>390</v>
      </c>
      <c r="G394" s="101">
        <f t="shared" si="25"/>
        <v>0</v>
      </c>
      <c r="H394" s="101">
        <f t="shared" si="26"/>
        <v>0</v>
      </c>
      <c r="I394" s="101">
        <f t="shared" si="27"/>
        <v>0</v>
      </c>
      <c r="J394" s="101">
        <f t="shared" si="28"/>
        <v>0</v>
      </c>
    </row>
    <row r="395" spans="2:10" x14ac:dyDescent="0.2">
      <c r="B395" s="93"/>
      <c r="C395" s="97"/>
      <c r="D395" s="93"/>
      <c r="E395" s="98"/>
      <c r="F395" s="100">
        <v>391</v>
      </c>
      <c r="G395" s="101">
        <f t="shared" si="25"/>
        <v>0</v>
      </c>
      <c r="H395" s="101">
        <f t="shared" si="26"/>
        <v>0</v>
      </c>
      <c r="I395" s="101">
        <f t="shared" si="27"/>
        <v>0</v>
      </c>
      <c r="J395" s="101">
        <f t="shared" si="28"/>
        <v>0</v>
      </c>
    </row>
    <row r="396" spans="2:10" x14ac:dyDescent="0.2">
      <c r="B396" s="93"/>
      <c r="C396" s="97"/>
      <c r="D396" s="93"/>
      <c r="E396" s="98"/>
      <c r="F396" s="100">
        <v>392</v>
      </c>
      <c r="G396" s="101">
        <f t="shared" si="25"/>
        <v>0</v>
      </c>
      <c r="H396" s="101">
        <f t="shared" si="26"/>
        <v>0</v>
      </c>
      <c r="I396" s="101">
        <f t="shared" si="27"/>
        <v>0</v>
      </c>
      <c r="J396" s="101">
        <f t="shared" si="28"/>
        <v>0</v>
      </c>
    </row>
    <row r="397" spans="2:10" x14ac:dyDescent="0.2">
      <c r="B397" s="93"/>
      <c r="C397" s="97"/>
      <c r="D397" s="93"/>
      <c r="E397" s="98"/>
      <c r="F397" s="100">
        <v>393</v>
      </c>
      <c r="G397" s="101">
        <f t="shared" si="25"/>
        <v>0</v>
      </c>
      <c r="H397" s="101">
        <f t="shared" si="26"/>
        <v>0</v>
      </c>
      <c r="I397" s="101">
        <f t="shared" si="27"/>
        <v>0</v>
      </c>
      <c r="J397" s="101">
        <f t="shared" si="28"/>
        <v>0</v>
      </c>
    </row>
    <row r="398" spans="2:10" x14ac:dyDescent="0.2">
      <c r="B398" s="93"/>
      <c r="C398" s="97"/>
      <c r="D398" s="93"/>
      <c r="E398" s="98"/>
      <c r="F398" s="100">
        <v>394</v>
      </c>
      <c r="G398" s="101">
        <f t="shared" si="25"/>
        <v>0</v>
      </c>
      <c r="H398" s="101">
        <f t="shared" si="26"/>
        <v>0</v>
      </c>
      <c r="I398" s="101">
        <f t="shared" si="27"/>
        <v>0</v>
      </c>
      <c r="J398" s="101">
        <f t="shared" si="28"/>
        <v>0</v>
      </c>
    </row>
    <row r="399" spans="2:10" x14ac:dyDescent="0.2">
      <c r="B399" s="93"/>
      <c r="C399" s="97"/>
      <c r="D399" s="93"/>
      <c r="E399" s="98"/>
      <c r="F399" s="100">
        <v>395</v>
      </c>
      <c r="G399" s="101">
        <f t="shared" si="25"/>
        <v>0</v>
      </c>
      <c r="H399" s="101">
        <f t="shared" si="26"/>
        <v>0</v>
      </c>
      <c r="I399" s="101">
        <f t="shared" si="27"/>
        <v>0</v>
      </c>
      <c r="J399" s="101">
        <f t="shared" si="28"/>
        <v>0</v>
      </c>
    </row>
    <row r="400" spans="2:10" x14ac:dyDescent="0.2">
      <c r="B400" s="93"/>
      <c r="C400" s="97"/>
      <c r="D400" s="93"/>
      <c r="E400" s="98"/>
      <c r="F400" s="100">
        <v>396</v>
      </c>
      <c r="G400" s="101">
        <f t="shared" si="25"/>
        <v>0</v>
      </c>
      <c r="H400" s="101">
        <f t="shared" si="26"/>
        <v>0</v>
      </c>
      <c r="I400" s="101">
        <f t="shared" si="27"/>
        <v>0</v>
      </c>
      <c r="J400" s="101">
        <f t="shared" si="28"/>
        <v>0</v>
      </c>
    </row>
    <row r="401" spans="2:10" x14ac:dyDescent="0.2">
      <c r="B401" s="93"/>
      <c r="C401" s="97"/>
      <c r="D401" s="93"/>
      <c r="E401" s="98"/>
      <c r="F401" s="100">
        <v>397</v>
      </c>
      <c r="G401" s="101">
        <f t="shared" si="25"/>
        <v>0</v>
      </c>
      <c r="H401" s="101">
        <f t="shared" si="26"/>
        <v>0</v>
      </c>
      <c r="I401" s="101">
        <f t="shared" si="27"/>
        <v>0</v>
      </c>
      <c r="J401" s="101">
        <f t="shared" si="28"/>
        <v>0</v>
      </c>
    </row>
    <row r="402" spans="2:10" x14ac:dyDescent="0.2">
      <c r="B402" s="93"/>
      <c r="C402" s="97"/>
      <c r="D402" s="93"/>
      <c r="E402" s="98"/>
      <c r="F402" s="100">
        <v>398</v>
      </c>
      <c r="G402" s="101">
        <f t="shared" si="25"/>
        <v>0</v>
      </c>
      <c r="H402" s="101">
        <f t="shared" si="26"/>
        <v>0</v>
      </c>
      <c r="I402" s="101">
        <f t="shared" si="27"/>
        <v>0</v>
      </c>
      <c r="J402" s="101">
        <f t="shared" si="28"/>
        <v>0</v>
      </c>
    </row>
    <row r="403" spans="2:10" x14ac:dyDescent="0.2">
      <c r="B403" s="93"/>
      <c r="C403" s="97"/>
      <c r="D403" s="93"/>
      <c r="E403" s="98"/>
      <c r="F403" s="100">
        <v>399</v>
      </c>
      <c r="G403" s="101">
        <f t="shared" si="25"/>
        <v>0</v>
      </c>
      <c r="H403" s="101">
        <f t="shared" si="26"/>
        <v>0</v>
      </c>
      <c r="I403" s="101">
        <f t="shared" si="27"/>
        <v>0</v>
      </c>
      <c r="J403" s="101">
        <f t="shared" si="28"/>
        <v>0</v>
      </c>
    </row>
    <row r="404" spans="2:10" x14ac:dyDescent="0.2">
      <c r="B404" s="93"/>
      <c r="C404" s="97"/>
      <c r="D404" s="93"/>
      <c r="E404" s="98"/>
      <c r="F404" s="100">
        <v>400</v>
      </c>
      <c r="G404" s="101">
        <f t="shared" si="25"/>
        <v>0</v>
      </c>
      <c r="H404" s="101">
        <f t="shared" si="26"/>
        <v>0</v>
      </c>
      <c r="I404" s="101">
        <f t="shared" si="27"/>
        <v>0</v>
      </c>
      <c r="J404" s="101">
        <f t="shared" si="28"/>
        <v>0</v>
      </c>
    </row>
    <row r="405" spans="2:10" x14ac:dyDescent="0.2">
      <c r="B405" s="93"/>
      <c r="C405" s="97"/>
      <c r="D405" s="93"/>
      <c r="E405" s="98"/>
      <c r="F405" s="100">
        <v>401</v>
      </c>
      <c r="G405" s="101">
        <f t="shared" si="25"/>
        <v>0</v>
      </c>
      <c r="H405" s="101">
        <f t="shared" si="26"/>
        <v>0</v>
      </c>
      <c r="I405" s="101">
        <f t="shared" si="27"/>
        <v>0</v>
      </c>
      <c r="J405" s="101">
        <f t="shared" si="28"/>
        <v>0</v>
      </c>
    </row>
    <row r="406" spans="2:10" x14ac:dyDescent="0.2">
      <c r="B406" s="93"/>
      <c r="C406" s="97"/>
      <c r="D406" s="93"/>
      <c r="E406" s="98"/>
      <c r="F406" s="100">
        <v>402</v>
      </c>
      <c r="G406" s="101">
        <f t="shared" si="25"/>
        <v>0</v>
      </c>
      <c r="H406" s="101">
        <f t="shared" si="26"/>
        <v>0</v>
      </c>
      <c r="I406" s="101">
        <f t="shared" si="27"/>
        <v>0</v>
      </c>
      <c r="J406" s="101">
        <f t="shared" si="28"/>
        <v>0</v>
      </c>
    </row>
    <row r="407" spans="2:10" x14ac:dyDescent="0.2">
      <c r="B407" s="93"/>
      <c r="C407" s="97"/>
      <c r="D407" s="93"/>
      <c r="E407" s="98"/>
      <c r="F407" s="100">
        <v>403</v>
      </c>
      <c r="G407" s="101">
        <f t="shared" si="25"/>
        <v>0</v>
      </c>
      <c r="H407" s="101">
        <f t="shared" si="26"/>
        <v>0</v>
      </c>
      <c r="I407" s="101">
        <f t="shared" si="27"/>
        <v>0</v>
      </c>
      <c r="J407" s="101">
        <f t="shared" si="28"/>
        <v>0</v>
      </c>
    </row>
    <row r="408" spans="2:10" x14ac:dyDescent="0.2">
      <c r="B408" s="93"/>
      <c r="C408" s="97"/>
      <c r="D408" s="93"/>
      <c r="E408" s="98"/>
      <c r="F408" s="100">
        <v>404</v>
      </c>
      <c r="G408" s="101">
        <f t="shared" si="25"/>
        <v>0</v>
      </c>
      <c r="H408" s="101">
        <f t="shared" si="26"/>
        <v>0</v>
      </c>
      <c r="I408" s="101">
        <f t="shared" si="27"/>
        <v>0</v>
      </c>
      <c r="J408" s="101">
        <f t="shared" si="28"/>
        <v>0</v>
      </c>
    </row>
    <row r="409" spans="2:10" x14ac:dyDescent="0.2">
      <c r="B409" s="93"/>
      <c r="C409" s="97"/>
      <c r="D409" s="93"/>
      <c r="E409" s="98"/>
      <c r="F409" s="100">
        <v>405</v>
      </c>
      <c r="G409" s="101">
        <f t="shared" si="25"/>
        <v>0</v>
      </c>
      <c r="H409" s="101">
        <f t="shared" si="26"/>
        <v>0</v>
      </c>
      <c r="I409" s="101">
        <f t="shared" si="27"/>
        <v>0</v>
      </c>
      <c r="J409" s="101">
        <f t="shared" si="28"/>
        <v>0</v>
      </c>
    </row>
    <row r="410" spans="2:10" x14ac:dyDescent="0.2">
      <c r="B410" s="93"/>
      <c r="C410" s="97"/>
      <c r="D410" s="93"/>
      <c r="E410" s="98"/>
      <c r="F410" s="100">
        <v>406</v>
      </c>
      <c r="G410" s="101">
        <f t="shared" si="25"/>
        <v>0</v>
      </c>
      <c r="H410" s="101">
        <f t="shared" si="26"/>
        <v>0</v>
      </c>
      <c r="I410" s="101">
        <f t="shared" si="27"/>
        <v>0</v>
      </c>
      <c r="J410" s="101">
        <f t="shared" si="28"/>
        <v>0</v>
      </c>
    </row>
    <row r="411" spans="2:10" x14ac:dyDescent="0.2">
      <c r="B411" s="93"/>
      <c r="C411" s="97"/>
      <c r="D411" s="93"/>
      <c r="E411" s="98"/>
      <c r="F411" s="100">
        <v>407</v>
      </c>
      <c r="G411" s="101">
        <f t="shared" si="25"/>
        <v>0</v>
      </c>
      <c r="H411" s="101">
        <f t="shared" si="26"/>
        <v>0</v>
      </c>
      <c r="I411" s="101">
        <f t="shared" si="27"/>
        <v>0</v>
      </c>
      <c r="J411" s="101">
        <f t="shared" si="28"/>
        <v>0</v>
      </c>
    </row>
    <row r="412" spans="2:10" x14ac:dyDescent="0.2">
      <c r="B412" s="93"/>
      <c r="C412" s="97"/>
      <c r="D412" s="93"/>
      <c r="E412" s="98"/>
      <c r="F412" s="100">
        <v>408</v>
      </c>
      <c r="G412" s="101">
        <f t="shared" si="25"/>
        <v>0</v>
      </c>
      <c r="H412" s="101">
        <f t="shared" si="26"/>
        <v>0</v>
      </c>
      <c r="I412" s="101">
        <f t="shared" si="27"/>
        <v>0</v>
      </c>
      <c r="J412" s="101">
        <f t="shared" si="28"/>
        <v>0</v>
      </c>
    </row>
    <row r="413" spans="2:10" x14ac:dyDescent="0.2">
      <c r="B413" s="93"/>
      <c r="C413" s="97"/>
      <c r="D413" s="93"/>
      <c r="E413" s="98"/>
      <c r="F413" s="100">
        <v>409</v>
      </c>
      <c r="G413" s="101">
        <f t="shared" si="25"/>
        <v>0</v>
      </c>
      <c r="H413" s="101">
        <f t="shared" si="26"/>
        <v>0</v>
      </c>
      <c r="I413" s="101">
        <f t="shared" si="27"/>
        <v>0</v>
      </c>
      <c r="J413" s="101">
        <f t="shared" si="28"/>
        <v>0</v>
      </c>
    </row>
    <row r="414" spans="2:10" x14ac:dyDescent="0.2">
      <c r="B414" s="93"/>
      <c r="C414" s="97"/>
      <c r="D414" s="93"/>
      <c r="E414" s="98"/>
      <c r="F414" s="100">
        <v>410</v>
      </c>
      <c r="G414" s="101">
        <f t="shared" si="25"/>
        <v>0</v>
      </c>
      <c r="H414" s="101">
        <f t="shared" si="26"/>
        <v>0</v>
      </c>
      <c r="I414" s="101">
        <f t="shared" si="27"/>
        <v>0</v>
      </c>
      <c r="J414" s="101">
        <f t="shared" si="28"/>
        <v>0</v>
      </c>
    </row>
    <row r="415" spans="2:10" x14ac:dyDescent="0.2">
      <c r="B415" s="93"/>
      <c r="C415" s="97"/>
      <c r="D415" s="93"/>
      <c r="E415" s="98"/>
      <c r="F415" s="100">
        <v>411</v>
      </c>
      <c r="G415" s="101">
        <f t="shared" si="25"/>
        <v>0</v>
      </c>
      <c r="H415" s="101">
        <f t="shared" si="26"/>
        <v>0</v>
      </c>
      <c r="I415" s="101">
        <f t="shared" si="27"/>
        <v>0</v>
      </c>
      <c r="J415" s="101">
        <f t="shared" si="28"/>
        <v>0</v>
      </c>
    </row>
    <row r="416" spans="2:10" x14ac:dyDescent="0.2">
      <c r="B416" s="93"/>
      <c r="C416" s="97"/>
      <c r="D416" s="93"/>
      <c r="E416" s="98"/>
      <c r="F416" s="100">
        <v>412</v>
      </c>
      <c r="G416" s="101">
        <f t="shared" si="25"/>
        <v>0</v>
      </c>
      <c r="H416" s="101">
        <f t="shared" si="26"/>
        <v>0</v>
      </c>
      <c r="I416" s="101">
        <f t="shared" si="27"/>
        <v>0</v>
      </c>
      <c r="J416" s="101">
        <f t="shared" si="28"/>
        <v>0</v>
      </c>
    </row>
    <row r="417" spans="2:10" x14ac:dyDescent="0.2">
      <c r="B417" s="93"/>
      <c r="C417" s="97"/>
      <c r="D417" s="93"/>
      <c r="E417" s="98"/>
      <c r="F417" s="100">
        <v>413</v>
      </c>
      <c r="G417" s="101">
        <f t="shared" si="25"/>
        <v>0</v>
      </c>
      <c r="H417" s="101">
        <f t="shared" si="26"/>
        <v>0</v>
      </c>
      <c r="I417" s="101">
        <f t="shared" si="27"/>
        <v>0</v>
      </c>
      <c r="J417" s="101">
        <f t="shared" si="28"/>
        <v>0</v>
      </c>
    </row>
    <row r="418" spans="2:10" x14ac:dyDescent="0.2">
      <c r="B418" s="93"/>
      <c r="C418" s="97"/>
      <c r="D418" s="93"/>
      <c r="E418" s="98"/>
      <c r="F418" s="100">
        <v>414</v>
      </c>
      <c r="G418" s="101">
        <f t="shared" si="25"/>
        <v>0</v>
      </c>
      <c r="H418" s="101">
        <f t="shared" si="26"/>
        <v>0</v>
      </c>
      <c r="I418" s="101">
        <f t="shared" si="27"/>
        <v>0</v>
      </c>
      <c r="J418" s="101">
        <f t="shared" si="28"/>
        <v>0</v>
      </c>
    </row>
    <row r="419" spans="2:10" x14ac:dyDescent="0.2">
      <c r="B419" s="93"/>
      <c r="C419" s="97"/>
      <c r="D419" s="93"/>
      <c r="E419" s="98"/>
      <c r="F419" s="100">
        <v>415</v>
      </c>
      <c r="G419" s="101">
        <f t="shared" si="25"/>
        <v>0</v>
      </c>
      <c r="H419" s="101">
        <f t="shared" si="26"/>
        <v>0</v>
      </c>
      <c r="I419" s="101">
        <f t="shared" si="27"/>
        <v>0</v>
      </c>
      <c r="J419" s="101">
        <f t="shared" si="28"/>
        <v>0</v>
      </c>
    </row>
    <row r="420" spans="2:10" x14ac:dyDescent="0.2">
      <c r="B420" s="93"/>
      <c r="C420" s="97"/>
      <c r="D420" s="93"/>
      <c r="E420" s="98"/>
      <c r="F420" s="100">
        <v>416</v>
      </c>
      <c r="G420" s="101">
        <f t="shared" si="25"/>
        <v>0</v>
      </c>
      <c r="H420" s="101">
        <f t="shared" si="26"/>
        <v>0</v>
      </c>
      <c r="I420" s="101">
        <f t="shared" si="27"/>
        <v>0</v>
      </c>
      <c r="J420" s="101">
        <f t="shared" si="28"/>
        <v>0</v>
      </c>
    </row>
    <row r="421" spans="2:10" x14ac:dyDescent="0.2">
      <c r="B421" s="93"/>
      <c r="C421" s="97"/>
      <c r="D421" s="93"/>
      <c r="E421" s="98"/>
      <c r="F421" s="100">
        <v>417</v>
      </c>
      <c r="G421" s="101">
        <f t="shared" si="25"/>
        <v>0</v>
      </c>
      <c r="H421" s="101">
        <f t="shared" si="26"/>
        <v>0</v>
      </c>
      <c r="I421" s="101">
        <f t="shared" si="27"/>
        <v>0</v>
      </c>
      <c r="J421" s="101">
        <f t="shared" si="28"/>
        <v>0</v>
      </c>
    </row>
    <row r="422" spans="2:10" x14ac:dyDescent="0.2">
      <c r="B422" s="93"/>
      <c r="C422" s="97"/>
      <c r="D422" s="93"/>
      <c r="E422" s="98"/>
      <c r="F422" s="100">
        <v>418</v>
      </c>
      <c r="G422" s="101">
        <f t="shared" si="25"/>
        <v>0</v>
      </c>
      <c r="H422" s="101">
        <f t="shared" si="26"/>
        <v>0</v>
      </c>
      <c r="I422" s="101">
        <f t="shared" si="27"/>
        <v>0</v>
      </c>
      <c r="J422" s="101">
        <f t="shared" si="28"/>
        <v>0</v>
      </c>
    </row>
    <row r="423" spans="2:10" x14ac:dyDescent="0.2">
      <c r="B423" s="93"/>
      <c r="C423" s="97"/>
      <c r="D423" s="93"/>
      <c r="E423" s="98"/>
      <c r="F423" s="100">
        <v>419</v>
      </c>
      <c r="G423" s="101">
        <f t="shared" si="25"/>
        <v>0</v>
      </c>
      <c r="H423" s="101">
        <f t="shared" si="26"/>
        <v>0</v>
      </c>
      <c r="I423" s="101">
        <f t="shared" si="27"/>
        <v>0</v>
      </c>
      <c r="J423" s="101">
        <f t="shared" si="28"/>
        <v>0</v>
      </c>
    </row>
    <row r="424" spans="2:10" x14ac:dyDescent="0.2">
      <c r="B424" s="93"/>
      <c r="C424" s="97"/>
      <c r="D424" s="93"/>
      <c r="E424" s="98"/>
      <c r="F424" s="100">
        <v>420</v>
      </c>
      <c r="G424" s="101">
        <f t="shared" si="25"/>
        <v>0</v>
      </c>
      <c r="H424" s="101">
        <f t="shared" si="26"/>
        <v>0</v>
      </c>
      <c r="I424" s="101">
        <f t="shared" si="27"/>
        <v>0</v>
      </c>
      <c r="J424" s="101">
        <f t="shared" si="28"/>
        <v>0</v>
      </c>
    </row>
    <row r="425" spans="2:10" x14ac:dyDescent="0.2">
      <c r="B425" s="93"/>
      <c r="C425" s="97"/>
      <c r="D425" s="93"/>
      <c r="E425" s="98"/>
      <c r="F425" s="100">
        <v>421</v>
      </c>
      <c r="G425" s="101">
        <f t="shared" si="25"/>
        <v>0</v>
      </c>
      <c r="H425" s="101">
        <f t="shared" si="26"/>
        <v>0</v>
      </c>
      <c r="I425" s="101">
        <f t="shared" si="27"/>
        <v>0</v>
      </c>
      <c r="J425" s="101">
        <f t="shared" si="28"/>
        <v>0</v>
      </c>
    </row>
    <row r="426" spans="2:10" x14ac:dyDescent="0.2">
      <c r="B426" s="93"/>
      <c r="C426" s="97"/>
      <c r="D426" s="93"/>
      <c r="E426" s="98"/>
      <c r="F426" s="100">
        <v>422</v>
      </c>
      <c r="G426" s="101">
        <f t="shared" si="25"/>
        <v>0</v>
      </c>
      <c r="H426" s="101">
        <f t="shared" si="26"/>
        <v>0</v>
      </c>
      <c r="I426" s="101">
        <f t="shared" si="27"/>
        <v>0</v>
      </c>
      <c r="J426" s="101">
        <f t="shared" si="28"/>
        <v>0</v>
      </c>
    </row>
    <row r="427" spans="2:10" x14ac:dyDescent="0.2">
      <c r="B427" s="93"/>
      <c r="C427" s="97"/>
      <c r="D427" s="93"/>
      <c r="E427" s="98"/>
      <c r="F427" s="100">
        <v>423</v>
      </c>
      <c r="G427" s="101">
        <f t="shared" si="25"/>
        <v>0</v>
      </c>
      <c r="H427" s="101">
        <f t="shared" si="26"/>
        <v>0</v>
      </c>
      <c r="I427" s="101">
        <f t="shared" si="27"/>
        <v>0</v>
      </c>
      <c r="J427" s="101">
        <f t="shared" si="28"/>
        <v>0</v>
      </c>
    </row>
    <row r="428" spans="2:10" x14ac:dyDescent="0.2">
      <c r="B428" s="93"/>
      <c r="C428" s="97"/>
      <c r="D428" s="93"/>
      <c r="E428" s="98"/>
      <c r="F428" s="100">
        <v>424</v>
      </c>
      <c r="G428" s="101">
        <f t="shared" si="25"/>
        <v>0</v>
      </c>
      <c r="H428" s="101">
        <f t="shared" si="26"/>
        <v>0</v>
      </c>
      <c r="I428" s="101">
        <f t="shared" si="27"/>
        <v>0</v>
      </c>
      <c r="J428" s="101">
        <f t="shared" si="28"/>
        <v>0</v>
      </c>
    </row>
    <row r="429" spans="2:10" x14ac:dyDescent="0.2">
      <c r="B429" s="93"/>
      <c r="C429" s="97"/>
      <c r="D429" s="93"/>
      <c r="E429" s="98"/>
      <c r="F429" s="100">
        <v>425</v>
      </c>
      <c r="G429" s="101">
        <f t="shared" si="25"/>
        <v>0</v>
      </c>
      <c r="H429" s="101">
        <f t="shared" si="26"/>
        <v>0</v>
      </c>
      <c r="I429" s="101">
        <f t="shared" si="27"/>
        <v>0</v>
      </c>
      <c r="J429" s="101">
        <f t="shared" si="28"/>
        <v>0</v>
      </c>
    </row>
    <row r="430" spans="2:10" x14ac:dyDescent="0.2">
      <c r="B430" s="93"/>
      <c r="C430" s="97"/>
      <c r="D430" s="93"/>
      <c r="E430" s="98"/>
      <c r="F430" s="100">
        <v>426</v>
      </c>
      <c r="G430" s="101">
        <f t="shared" si="25"/>
        <v>0</v>
      </c>
      <c r="H430" s="101">
        <f t="shared" si="26"/>
        <v>0</v>
      </c>
      <c r="I430" s="101">
        <f t="shared" si="27"/>
        <v>0</v>
      </c>
      <c r="J430" s="101">
        <f t="shared" si="28"/>
        <v>0</v>
      </c>
    </row>
    <row r="431" spans="2:10" x14ac:dyDescent="0.2">
      <c r="B431" s="93"/>
      <c r="C431" s="97"/>
      <c r="D431" s="93"/>
      <c r="E431" s="98"/>
      <c r="F431" s="100">
        <v>427</v>
      </c>
      <c r="G431" s="101">
        <f t="shared" si="25"/>
        <v>0</v>
      </c>
      <c r="H431" s="101">
        <f t="shared" si="26"/>
        <v>0</v>
      </c>
      <c r="I431" s="101">
        <f t="shared" si="27"/>
        <v>0</v>
      </c>
      <c r="J431" s="101">
        <f t="shared" si="28"/>
        <v>0</v>
      </c>
    </row>
    <row r="432" spans="2:10" x14ac:dyDescent="0.2">
      <c r="B432" s="93"/>
      <c r="C432" s="97"/>
      <c r="D432" s="93"/>
      <c r="E432" s="98"/>
      <c r="F432" s="100">
        <v>428</v>
      </c>
      <c r="G432" s="101">
        <f t="shared" si="25"/>
        <v>0</v>
      </c>
      <c r="H432" s="101">
        <f t="shared" si="26"/>
        <v>0</v>
      </c>
      <c r="I432" s="101">
        <f t="shared" si="27"/>
        <v>0</v>
      </c>
      <c r="J432" s="101">
        <f t="shared" si="28"/>
        <v>0</v>
      </c>
    </row>
    <row r="433" spans="2:10" x14ac:dyDescent="0.2">
      <c r="B433" s="93"/>
      <c r="C433" s="97"/>
      <c r="D433" s="93"/>
      <c r="E433" s="98"/>
      <c r="F433" s="100">
        <v>429</v>
      </c>
      <c r="G433" s="101">
        <f t="shared" si="25"/>
        <v>0</v>
      </c>
      <c r="H433" s="101">
        <f t="shared" si="26"/>
        <v>0</v>
      </c>
      <c r="I433" s="101">
        <f t="shared" si="27"/>
        <v>0</v>
      </c>
      <c r="J433" s="101">
        <f t="shared" si="28"/>
        <v>0</v>
      </c>
    </row>
    <row r="434" spans="2:10" x14ac:dyDescent="0.2">
      <c r="B434" s="93"/>
      <c r="C434" s="97"/>
      <c r="D434" s="93"/>
      <c r="E434" s="98"/>
      <c r="F434" s="100">
        <v>430</v>
      </c>
      <c r="G434" s="101">
        <f t="shared" si="25"/>
        <v>0</v>
      </c>
      <c r="H434" s="101">
        <f t="shared" si="26"/>
        <v>0</v>
      </c>
      <c r="I434" s="101">
        <f t="shared" si="27"/>
        <v>0</v>
      </c>
      <c r="J434" s="101">
        <f t="shared" si="28"/>
        <v>0</v>
      </c>
    </row>
    <row r="435" spans="2:10" x14ac:dyDescent="0.2">
      <c r="B435" s="93"/>
      <c r="C435" s="97"/>
      <c r="D435" s="93"/>
      <c r="E435" s="98"/>
      <c r="F435" s="100">
        <v>431</v>
      </c>
      <c r="G435" s="101">
        <f t="shared" si="25"/>
        <v>0</v>
      </c>
      <c r="H435" s="101">
        <f t="shared" si="26"/>
        <v>0</v>
      </c>
      <c r="I435" s="101">
        <f t="shared" si="27"/>
        <v>0</v>
      </c>
      <c r="J435" s="101">
        <f t="shared" si="28"/>
        <v>0</v>
      </c>
    </row>
    <row r="436" spans="2:10" x14ac:dyDescent="0.2">
      <c r="B436" s="93"/>
      <c r="C436" s="97"/>
      <c r="D436" s="93"/>
      <c r="E436" s="98"/>
      <c r="F436" s="100">
        <v>432</v>
      </c>
      <c r="G436" s="101">
        <f t="shared" si="25"/>
        <v>0</v>
      </c>
      <c r="H436" s="101">
        <f t="shared" si="26"/>
        <v>0</v>
      </c>
      <c r="I436" s="101">
        <f t="shared" si="27"/>
        <v>0</v>
      </c>
      <c r="J436" s="101">
        <f t="shared" si="28"/>
        <v>0</v>
      </c>
    </row>
    <row r="437" spans="2:10" x14ac:dyDescent="0.2">
      <c r="B437" s="93"/>
      <c r="C437" s="97"/>
      <c r="D437" s="93"/>
      <c r="E437" s="98"/>
      <c r="F437" s="100">
        <v>433</v>
      </c>
      <c r="G437" s="101">
        <f t="shared" si="25"/>
        <v>0</v>
      </c>
      <c r="H437" s="101">
        <f t="shared" si="26"/>
        <v>0</v>
      </c>
      <c r="I437" s="101">
        <f t="shared" si="27"/>
        <v>0</v>
      </c>
      <c r="J437" s="101">
        <f t="shared" si="28"/>
        <v>0</v>
      </c>
    </row>
    <row r="438" spans="2:10" x14ac:dyDescent="0.2">
      <c r="B438" s="93"/>
      <c r="C438" s="97"/>
      <c r="D438" s="93"/>
      <c r="E438" s="98"/>
      <c r="F438" s="100">
        <v>434</v>
      </c>
      <c r="G438" s="101">
        <f t="shared" si="25"/>
        <v>0</v>
      </c>
      <c r="H438" s="101">
        <f t="shared" si="26"/>
        <v>0</v>
      </c>
      <c r="I438" s="101">
        <f t="shared" si="27"/>
        <v>0</v>
      </c>
      <c r="J438" s="101">
        <f t="shared" si="28"/>
        <v>0</v>
      </c>
    </row>
    <row r="439" spans="2:10" x14ac:dyDescent="0.2">
      <c r="B439" s="93"/>
      <c r="C439" s="97"/>
      <c r="D439" s="93"/>
      <c r="E439" s="98"/>
      <c r="F439" s="100">
        <v>435</v>
      </c>
      <c r="G439" s="101">
        <f t="shared" si="25"/>
        <v>0</v>
      </c>
      <c r="H439" s="101">
        <f t="shared" si="26"/>
        <v>0</v>
      </c>
      <c r="I439" s="101">
        <f t="shared" si="27"/>
        <v>0</v>
      </c>
      <c r="J439" s="101">
        <f t="shared" si="28"/>
        <v>0</v>
      </c>
    </row>
    <row r="440" spans="2:10" x14ac:dyDescent="0.2">
      <c r="B440" s="93"/>
      <c r="C440" s="97"/>
      <c r="D440" s="93"/>
      <c r="E440" s="98"/>
      <c r="F440" s="100">
        <v>436</v>
      </c>
      <c r="G440" s="101">
        <f t="shared" si="25"/>
        <v>0</v>
      </c>
      <c r="H440" s="101">
        <f t="shared" si="26"/>
        <v>0</v>
      </c>
      <c r="I440" s="101">
        <f t="shared" si="27"/>
        <v>0</v>
      </c>
      <c r="J440" s="101">
        <f t="shared" si="28"/>
        <v>0</v>
      </c>
    </row>
    <row r="441" spans="2:10" x14ac:dyDescent="0.2">
      <c r="B441" s="93"/>
      <c r="C441" s="97"/>
      <c r="D441" s="93"/>
      <c r="E441" s="98"/>
      <c r="F441" s="100">
        <v>437</v>
      </c>
      <c r="G441" s="101">
        <f t="shared" si="25"/>
        <v>0</v>
      </c>
      <c r="H441" s="101">
        <f t="shared" si="26"/>
        <v>0</v>
      </c>
      <c r="I441" s="101">
        <f t="shared" si="27"/>
        <v>0</v>
      </c>
      <c r="J441" s="101">
        <f t="shared" si="28"/>
        <v>0</v>
      </c>
    </row>
    <row r="442" spans="2:10" x14ac:dyDescent="0.2">
      <c r="B442" s="93"/>
      <c r="C442" s="97"/>
      <c r="D442" s="93"/>
      <c r="E442" s="98"/>
      <c r="F442" s="100">
        <v>438</v>
      </c>
      <c r="G442" s="101">
        <f t="shared" si="25"/>
        <v>0</v>
      </c>
      <c r="H442" s="101">
        <f t="shared" si="26"/>
        <v>0</v>
      </c>
      <c r="I442" s="101">
        <f t="shared" si="27"/>
        <v>0</v>
      </c>
      <c r="J442" s="101">
        <f t="shared" si="28"/>
        <v>0</v>
      </c>
    </row>
    <row r="443" spans="2:10" x14ac:dyDescent="0.2">
      <c r="B443" s="93"/>
      <c r="C443" s="97"/>
      <c r="D443" s="93"/>
      <c r="E443" s="98"/>
      <c r="F443" s="100">
        <v>439</v>
      </c>
      <c r="G443" s="101">
        <f t="shared" si="25"/>
        <v>0</v>
      </c>
      <c r="H443" s="101">
        <f t="shared" si="26"/>
        <v>0</v>
      </c>
      <c r="I443" s="101">
        <f t="shared" si="27"/>
        <v>0</v>
      </c>
      <c r="J443" s="101">
        <f t="shared" si="28"/>
        <v>0</v>
      </c>
    </row>
    <row r="444" spans="2:10" x14ac:dyDescent="0.2">
      <c r="B444" s="93"/>
      <c r="C444" s="97"/>
      <c r="D444" s="93"/>
      <c r="E444" s="98"/>
      <c r="F444" s="100">
        <v>440</v>
      </c>
      <c r="G444" s="101">
        <f t="shared" si="25"/>
        <v>0</v>
      </c>
      <c r="H444" s="101">
        <f t="shared" si="26"/>
        <v>0</v>
      </c>
      <c r="I444" s="101">
        <f t="shared" si="27"/>
        <v>0</v>
      </c>
      <c r="J444" s="101">
        <f t="shared" si="28"/>
        <v>0</v>
      </c>
    </row>
    <row r="445" spans="2:10" x14ac:dyDescent="0.2">
      <c r="B445" s="93"/>
      <c r="C445" s="97"/>
      <c r="D445" s="93"/>
      <c r="E445" s="98"/>
      <c r="F445" s="100">
        <v>441</v>
      </c>
      <c r="G445" s="101">
        <f t="shared" si="25"/>
        <v>0</v>
      </c>
      <c r="H445" s="101">
        <f t="shared" si="26"/>
        <v>0</v>
      </c>
      <c r="I445" s="101">
        <f t="shared" si="27"/>
        <v>0</v>
      </c>
      <c r="J445" s="101">
        <f t="shared" si="28"/>
        <v>0</v>
      </c>
    </row>
    <row r="446" spans="2:10" x14ac:dyDescent="0.2">
      <c r="B446" s="93"/>
      <c r="C446" s="97"/>
      <c r="D446" s="93"/>
      <c r="E446" s="98"/>
      <c r="F446" s="100">
        <v>442</v>
      </c>
      <c r="G446" s="101">
        <f t="shared" si="25"/>
        <v>0</v>
      </c>
      <c r="H446" s="101">
        <f t="shared" si="26"/>
        <v>0</v>
      </c>
      <c r="I446" s="101">
        <f t="shared" si="27"/>
        <v>0</v>
      </c>
      <c r="J446" s="101">
        <f t="shared" si="28"/>
        <v>0</v>
      </c>
    </row>
    <row r="447" spans="2:10" x14ac:dyDescent="0.2">
      <c r="B447" s="93"/>
      <c r="C447" s="97"/>
      <c r="D447" s="93"/>
      <c r="E447" s="98"/>
      <c r="F447" s="100">
        <v>443</v>
      </c>
      <c r="G447" s="101">
        <f t="shared" si="25"/>
        <v>0</v>
      </c>
      <c r="H447" s="101">
        <f t="shared" si="26"/>
        <v>0</v>
      </c>
      <c r="I447" s="101">
        <f t="shared" si="27"/>
        <v>0</v>
      </c>
      <c r="J447" s="101">
        <f t="shared" si="28"/>
        <v>0</v>
      </c>
    </row>
    <row r="448" spans="2:10" x14ac:dyDescent="0.2">
      <c r="B448" s="93"/>
      <c r="C448" s="97"/>
      <c r="D448" s="93"/>
      <c r="E448" s="98"/>
      <c r="F448" s="100">
        <v>444</v>
      </c>
      <c r="G448" s="101">
        <f t="shared" si="25"/>
        <v>0</v>
      </c>
      <c r="H448" s="101">
        <f t="shared" si="26"/>
        <v>0</v>
      </c>
      <c r="I448" s="101">
        <f t="shared" si="27"/>
        <v>0</v>
      </c>
      <c r="J448" s="101">
        <f t="shared" si="28"/>
        <v>0</v>
      </c>
    </row>
    <row r="449" spans="2:10" x14ac:dyDescent="0.2">
      <c r="B449" s="93"/>
      <c r="C449" s="97"/>
      <c r="D449" s="93"/>
      <c r="E449" s="98"/>
      <c r="F449" s="100">
        <v>445</v>
      </c>
      <c r="G449" s="101">
        <f t="shared" si="25"/>
        <v>0</v>
      </c>
      <c r="H449" s="101">
        <f t="shared" si="26"/>
        <v>0</v>
      </c>
      <c r="I449" s="101">
        <f t="shared" si="27"/>
        <v>0</v>
      </c>
      <c r="J449" s="101">
        <f t="shared" si="28"/>
        <v>0</v>
      </c>
    </row>
    <row r="450" spans="2:10" x14ac:dyDescent="0.2">
      <c r="B450" s="93"/>
      <c r="C450" s="97"/>
      <c r="D450" s="93"/>
      <c r="E450" s="98"/>
      <c r="F450" s="100">
        <v>446</v>
      </c>
      <c r="G450" s="101">
        <f t="shared" si="25"/>
        <v>0</v>
      </c>
      <c r="H450" s="101">
        <f t="shared" si="26"/>
        <v>0</v>
      </c>
      <c r="I450" s="101">
        <f t="shared" si="27"/>
        <v>0</v>
      </c>
      <c r="J450" s="101">
        <f t="shared" si="28"/>
        <v>0</v>
      </c>
    </row>
    <row r="451" spans="2:10" x14ac:dyDescent="0.2">
      <c r="B451" s="93"/>
      <c r="C451" s="97"/>
      <c r="D451" s="93"/>
      <c r="E451" s="98"/>
      <c r="F451" s="100">
        <v>447</v>
      </c>
      <c r="G451" s="101">
        <f t="shared" si="25"/>
        <v>0</v>
      </c>
      <c r="H451" s="101">
        <f t="shared" si="26"/>
        <v>0</v>
      </c>
      <c r="I451" s="101">
        <f t="shared" si="27"/>
        <v>0</v>
      </c>
      <c r="J451" s="101">
        <f t="shared" si="28"/>
        <v>0</v>
      </c>
    </row>
    <row r="452" spans="2:10" x14ac:dyDescent="0.2">
      <c r="B452" s="93"/>
      <c r="C452" s="97"/>
      <c r="D452" s="93"/>
      <c r="E452" s="98"/>
      <c r="F452" s="100">
        <v>448</v>
      </c>
      <c r="G452" s="101">
        <f t="shared" si="25"/>
        <v>0</v>
      </c>
      <c r="H452" s="101">
        <f t="shared" si="26"/>
        <v>0</v>
      </c>
      <c r="I452" s="101">
        <f t="shared" si="27"/>
        <v>0</v>
      </c>
      <c r="J452" s="101">
        <f t="shared" si="28"/>
        <v>0</v>
      </c>
    </row>
    <row r="453" spans="2:10" x14ac:dyDescent="0.2">
      <c r="B453" s="93"/>
      <c r="C453" s="97"/>
      <c r="D453" s="93"/>
      <c r="E453" s="98"/>
      <c r="F453" s="100">
        <v>449</v>
      </c>
      <c r="G453" s="101">
        <f t="shared" si="25"/>
        <v>0</v>
      </c>
      <c r="H453" s="101">
        <f t="shared" si="26"/>
        <v>0</v>
      </c>
      <c r="I453" s="101">
        <f t="shared" si="27"/>
        <v>0</v>
      </c>
      <c r="J453" s="101">
        <f t="shared" si="28"/>
        <v>0</v>
      </c>
    </row>
    <row r="454" spans="2:10" x14ac:dyDescent="0.2">
      <c r="B454" s="93"/>
      <c r="C454" s="97"/>
      <c r="D454" s="93"/>
      <c r="E454" s="98"/>
      <c r="F454" s="100">
        <v>450</v>
      </c>
      <c r="G454" s="101">
        <f t="shared" ref="G454:G517" si="29">B454</f>
        <v>0</v>
      </c>
      <c r="H454" s="101">
        <f t="shared" ref="H454:H517" si="30">C454</f>
        <v>0</v>
      </c>
      <c r="I454" s="101">
        <f t="shared" ref="I454:I517" si="31">D454</f>
        <v>0</v>
      </c>
      <c r="J454" s="101">
        <f t="shared" ref="J454:J517" si="32">E454</f>
        <v>0</v>
      </c>
    </row>
    <row r="455" spans="2:10" x14ac:dyDescent="0.2">
      <c r="B455" s="93"/>
      <c r="C455" s="97"/>
      <c r="D455" s="93"/>
      <c r="E455" s="98"/>
      <c r="F455" s="100">
        <v>451</v>
      </c>
      <c r="G455" s="101">
        <f t="shared" si="29"/>
        <v>0</v>
      </c>
      <c r="H455" s="101">
        <f t="shared" si="30"/>
        <v>0</v>
      </c>
      <c r="I455" s="101">
        <f t="shared" si="31"/>
        <v>0</v>
      </c>
      <c r="J455" s="101">
        <f t="shared" si="32"/>
        <v>0</v>
      </c>
    </row>
    <row r="456" spans="2:10" x14ac:dyDescent="0.2">
      <c r="B456" s="93"/>
      <c r="C456" s="97"/>
      <c r="D456" s="93"/>
      <c r="E456" s="98"/>
      <c r="F456" s="100">
        <v>452</v>
      </c>
      <c r="G456" s="101">
        <f t="shared" si="29"/>
        <v>0</v>
      </c>
      <c r="H456" s="101">
        <f t="shared" si="30"/>
        <v>0</v>
      </c>
      <c r="I456" s="101">
        <f t="shared" si="31"/>
        <v>0</v>
      </c>
      <c r="J456" s="101">
        <f t="shared" si="32"/>
        <v>0</v>
      </c>
    </row>
    <row r="457" spans="2:10" x14ac:dyDescent="0.2">
      <c r="B457" s="93"/>
      <c r="C457" s="97"/>
      <c r="D457" s="93"/>
      <c r="E457" s="98"/>
      <c r="F457" s="100">
        <v>453</v>
      </c>
      <c r="G457" s="101">
        <f t="shared" si="29"/>
        <v>0</v>
      </c>
      <c r="H457" s="101">
        <f t="shared" si="30"/>
        <v>0</v>
      </c>
      <c r="I457" s="101">
        <f t="shared" si="31"/>
        <v>0</v>
      </c>
      <c r="J457" s="101">
        <f t="shared" si="32"/>
        <v>0</v>
      </c>
    </row>
    <row r="458" spans="2:10" x14ac:dyDescent="0.2">
      <c r="B458" s="93"/>
      <c r="C458" s="97"/>
      <c r="D458" s="93"/>
      <c r="E458" s="98"/>
      <c r="F458" s="100">
        <v>454</v>
      </c>
      <c r="G458" s="101">
        <f t="shared" si="29"/>
        <v>0</v>
      </c>
      <c r="H458" s="101">
        <f t="shared" si="30"/>
        <v>0</v>
      </c>
      <c r="I458" s="101">
        <f t="shared" si="31"/>
        <v>0</v>
      </c>
      <c r="J458" s="101">
        <f t="shared" si="32"/>
        <v>0</v>
      </c>
    </row>
    <row r="459" spans="2:10" x14ac:dyDescent="0.2">
      <c r="B459" s="93"/>
      <c r="C459" s="97"/>
      <c r="D459" s="93"/>
      <c r="E459" s="98"/>
      <c r="F459" s="100">
        <v>455</v>
      </c>
      <c r="G459" s="101">
        <f t="shared" si="29"/>
        <v>0</v>
      </c>
      <c r="H459" s="101">
        <f t="shared" si="30"/>
        <v>0</v>
      </c>
      <c r="I459" s="101">
        <f t="shared" si="31"/>
        <v>0</v>
      </c>
      <c r="J459" s="101">
        <f t="shared" si="32"/>
        <v>0</v>
      </c>
    </row>
    <row r="460" spans="2:10" x14ac:dyDescent="0.2">
      <c r="B460" s="93"/>
      <c r="C460" s="97"/>
      <c r="D460" s="93"/>
      <c r="E460" s="98"/>
      <c r="F460" s="100">
        <v>456</v>
      </c>
      <c r="G460" s="101">
        <f t="shared" si="29"/>
        <v>0</v>
      </c>
      <c r="H460" s="101">
        <f t="shared" si="30"/>
        <v>0</v>
      </c>
      <c r="I460" s="101">
        <f t="shared" si="31"/>
        <v>0</v>
      </c>
      <c r="J460" s="101">
        <f t="shared" si="32"/>
        <v>0</v>
      </c>
    </row>
    <row r="461" spans="2:10" x14ac:dyDescent="0.2">
      <c r="B461" s="93"/>
      <c r="C461" s="97"/>
      <c r="D461" s="93"/>
      <c r="E461" s="98"/>
      <c r="F461" s="100">
        <v>457</v>
      </c>
      <c r="G461" s="101">
        <f t="shared" si="29"/>
        <v>0</v>
      </c>
      <c r="H461" s="101">
        <f t="shared" si="30"/>
        <v>0</v>
      </c>
      <c r="I461" s="101">
        <f t="shared" si="31"/>
        <v>0</v>
      </c>
      <c r="J461" s="101">
        <f t="shared" si="32"/>
        <v>0</v>
      </c>
    </row>
    <row r="462" spans="2:10" x14ac:dyDescent="0.2">
      <c r="B462" s="93"/>
      <c r="C462" s="97"/>
      <c r="D462" s="93"/>
      <c r="E462" s="98"/>
      <c r="F462" s="100">
        <v>458</v>
      </c>
      <c r="G462" s="101">
        <f t="shared" si="29"/>
        <v>0</v>
      </c>
      <c r="H462" s="101">
        <f t="shared" si="30"/>
        <v>0</v>
      </c>
      <c r="I462" s="101">
        <f t="shared" si="31"/>
        <v>0</v>
      </c>
      <c r="J462" s="101">
        <f t="shared" si="32"/>
        <v>0</v>
      </c>
    </row>
    <row r="463" spans="2:10" x14ac:dyDescent="0.2">
      <c r="B463" s="93"/>
      <c r="C463" s="97"/>
      <c r="D463" s="93"/>
      <c r="E463" s="98"/>
      <c r="F463" s="100">
        <v>459</v>
      </c>
      <c r="G463" s="101">
        <f t="shared" si="29"/>
        <v>0</v>
      </c>
      <c r="H463" s="101">
        <f t="shared" si="30"/>
        <v>0</v>
      </c>
      <c r="I463" s="101">
        <f t="shared" si="31"/>
        <v>0</v>
      </c>
      <c r="J463" s="101">
        <f t="shared" si="32"/>
        <v>0</v>
      </c>
    </row>
    <row r="464" spans="2:10" x14ac:dyDescent="0.2">
      <c r="B464" s="93"/>
      <c r="C464" s="97"/>
      <c r="D464" s="93"/>
      <c r="E464" s="98"/>
      <c r="F464" s="100">
        <v>460</v>
      </c>
      <c r="G464" s="101">
        <f t="shared" si="29"/>
        <v>0</v>
      </c>
      <c r="H464" s="101">
        <f t="shared" si="30"/>
        <v>0</v>
      </c>
      <c r="I464" s="101">
        <f t="shared" si="31"/>
        <v>0</v>
      </c>
      <c r="J464" s="101">
        <f t="shared" si="32"/>
        <v>0</v>
      </c>
    </row>
    <row r="465" spans="2:10" x14ac:dyDescent="0.2">
      <c r="B465" s="93"/>
      <c r="C465" s="97"/>
      <c r="D465" s="93"/>
      <c r="E465" s="98"/>
      <c r="F465" s="100">
        <v>461</v>
      </c>
      <c r="G465" s="101">
        <f t="shared" si="29"/>
        <v>0</v>
      </c>
      <c r="H465" s="101">
        <f t="shared" si="30"/>
        <v>0</v>
      </c>
      <c r="I465" s="101">
        <f t="shared" si="31"/>
        <v>0</v>
      </c>
      <c r="J465" s="101">
        <f t="shared" si="32"/>
        <v>0</v>
      </c>
    </row>
    <row r="466" spans="2:10" x14ac:dyDescent="0.2">
      <c r="B466" s="93"/>
      <c r="C466" s="97"/>
      <c r="D466" s="93"/>
      <c r="E466" s="98"/>
      <c r="F466" s="100">
        <v>462</v>
      </c>
      <c r="G466" s="101">
        <f t="shared" si="29"/>
        <v>0</v>
      </c>
      <c r="H466" s="101">
        <f t="shared" si="30"/>
        <v>0</v>
      </c>
      <c r="I466" s="101">
        <f t="shared" si="31"/>
        <v>0</v>
      </c>
      <c r="J466" s="101">
        <f t="shared" si="32"/>
        <v>0</v>
      </c>
    </row>
    <row r="467" spans="2:10" x14ac:dyDescent="0.2">
      <c r="B467" s="93"/>
      <c r="C467" s="97"/>
      <c r="D467" s="93"/>
      <c r="E467" s="98"/>
      <c r="F467" s="100">
        <v>463</v>
      </c>
      <c r="G467" s="101">
        <f t="shared" si="29"/>
        <v>0</v>
      </c>
      <c r="H467" s="101">
        <f t="shared" si="30"/>
        <v>0</v>
      </c>
      <c r="I467" s="101">
        <f t="shared" si="31"/>
        <v>0</v>
      </c>
      <c r="J467" s="101">
        <f t="shared" si="32"/>
        <v>0</v>
      </c>
    </row>
    <row r="468" spans="2:10" x14ac:dyDescent="0.2">
      <c r="B468" s="93"/>
      <c r="C468" s="97"/>
      <c r="D468" s="93"/>
      <c r="E468" s="98"/>
      <c r="F468" s="100">
        <v>464</v>
      </c>
      <c r="G468" s="101">
        <f t="shared" si="29"/>
        <v>0</v>
      </c>
      <c r="H468" s="101">
        <f t="shared" si="30"/>
        <v>0</v>
      </c>
      <c r="I468" s="101">
        <f t="shared" si="31"/>
        <v>0</v>
      </c>
      <c r="J468" s="101">
        <f t="shared" si="32"/>
        <v>0</v>
      </c>
    </row>
    <row r="469" spans="2:10" x14ac:dyDescent="0.2">
      <c r="B469" s="93"/>
      <c r="C469" s="97"/>
      <c r="D469" s="93"/>
      <c r="E469" s="98"/>
      <c r="F469" s="100">
        <v>465</v>
      </c>
      <c r="G469" s="101">
        <f t="shared" si="29"/>
        <v>0</v>
      </c>
      <c r="H469" s="101">
        <f t="shared" si="30"/>
        <v>0</v>
      </c>
      <c r="I469" s="101">
        <f t="shared" si="31"/>
        <v>0</v>
      </c>
      <c r="J469" s="101">
        <f t="shared" si="32"/>
        <v>0</v>
      </c>
    </row>
    <row r="470" spans="2:10" x14ac:dyDescent="0.2">
      <c r="B470" s="93"/>
      <c r="C470" s="97"/>
      <c r="D470" s="93"/>
      <c r="E470" s="98"/>
      <c r="F470" s="100">
        <v>466</v>
      </c>
      <c r="G470" s="101">
        <f t="shared" si="29"/>
        <v>0</v>
      </c>
      <c r="H470" s="101">
        <f t="shared" si="30"/>
        <v>0</v>
      </c>
      <c r="I470" s="101">
        <f t="shared" si="31"/>
        <v>0</v>
      </c>
      <c r="J470" s="101">
        <f t="shared" si="32"/>
        <v>0</v>
      </c>
    </row>
    <row r="471" spans="2:10" x14ac:dyDescent="0.2">
      <c r="B471" s="93"/>
      <c r="C471" s="97"/>
      <c r="D471" s="93"/>
      <c r="E471" s="98"/>
      <c r="F471" s="100">
        <v>467</v>
      </c>
      <c r="G471" s="101">
        <f t="shared" si="29"/>
        <v>0</v>
      </c>
      <c r="H471" s="101">
        <f t="shared" si="30"/>
        <v>0</v>
      </c>
      <c r="I471" s="101">
        <f t="shared" si="31"/>
        <v>0</v>
      </c>
      <c r="J471" s="101">
        <f t="shared" si="32"/>
        <v>0</v>
      </c>
    </row>
    <row r="472" spans="2:10" x14ac:dyDescent="0.2">
      <c r="B472" s="93"/>
      <c r="C472" s="97"/>
      <c r="D472" s="93"/>
      <c r="E472" s="98"/>
      <c r="F472" s="100">
        <v>468</v>
      </c>
      <c r="G472" s="101">
        <f t="shared" si="29"/>
        <v>0</v>
      </c>
      <c r="H472" s="101">
        <f t="shared" si="30"/>
        <v>0</v>
      </c>
      <c r="I472" s="101">
        <f t="shared" si="31"/>
        <v>0</v>
      </c>
      <c r="J472" s="101">
        <f t="shared" si="32"/>
        <v>0</v>
      </c>
    </row>
    <row r="473" spans="2:10" x14ac:dyDescent="0.2">
      <c r="B473" s="93"/>
      <c r="C473" s="97"/>
      <c r="D473" s="93"/>
      <c r="E473" s="98"/>
      <c r="F473" s="100">
        <v>469</v>
      </c>
      <c r="G473" s="101">
        <f t="shared" si="29"/>
        <v>0</v>
      </c>
      <c r="H473" s="101">
        <f t="shared" si="30"/>
        <v>0</v>
      </c>
      <c r="I473" s="101">
        <f t="shared" si="31"/>
        <v>0</v>
      </c>
      <c r="J473" s="101">
        <f t="shared" si="32"/>
        <v>0</v>
      </c>
    </row>
    <row r="474" spans="2:10" x14ac:dyDescent="0.2">
      <c r="B474" s="93"/>
      <c r="C474" s="97"/>
      <c r="D474" s="93"/>
      <c r="E474" s="98"/>
      <c r="F474" s="100">
        <v>470</v>
      </c>
      <c r="G474" s="101">
        <f t="shared" si="29"/>
        <v>0</v>
      </c>
      <c r="H474" s="101">
        <f t="shared" si="30"/>
        <v>0</v>
      </c>
      <c r="I474" s="101">
        <f t="shared" si="31"/>
        <v>0</v>
      </c>
      <c r="J474" s="101">
        <f t="shared" si="32"/>
        <v>0</v>
      </c>
    </row>
    <row r="475" spans="2:10" x14ac:dyDescent="0.2">
      <c r="B475" s="93"/>
      <c r="C475" s="97"/>
      <c r="D475" s="93"/>
      <c r="E475" s="98"/>
      <c r="F475" s="100">
        <v>471</v>
      </c>
      <c r="G475" s="101">
        <f t="shared" si="29"/>
        <v>0</v>
      </c>
      <c r="H475" s="101">
        <f t="shared" si="30"/>
        <v>0</v>
      </c>
      <c r="I475" s="101">
        <f t="shared" si="31"/>
        <v>0</v>
      </c>
      <c r="J475" s="101">
        <f t="shared" si="32"/>
        <v>0</v>
      </c>
    </row>
    <row r="476" spans="2:10" x14ac:dyDescent="0.2">
      <c r="B476" s="93"/>
      <c r="C476" s="97"/>
      <c r="D476" s="93"/>
      <c r="E476" s="98"/>
      <c r="F476" s="100">
        <v>472</v>
      </c>
      <c r="G476" s="101">
        <f t="shared" si="29"/>
        <v>0</v>
      </c>
      <c r="H476" s="101">
        <f t="shared" si="30"/>
        <v>0</v>
      </c>
      <c r="I476" s="101">
        <f t="shared" si="31"/>
        <v>0</v>
      </c>
      <c r="J476" s="101">
        <f t="shared" si="32"/>
        <v>0</v>
      </c>
    </row>
    <row r="477" spans="2:10" x14ac:dyDescent="0.2">
      <c r="B477" s="93"/>
      <c r="C477" s="97"/>
      <c r="D477" s="93"/>
      <c r="E477" s="98"/>
      <c r="F477" s="100">
        <v>473</v>
      </c>
      <c r="G477" s="101">
        <f t="shared" si="29"/>
        <v>0</v>
      </c>
      <c r="H477" s="101">
        <f t="shared" si="30"/>
        <v>0</v>
      </c>
      <c r="I477" s="101">
        <f t="shared" si="31"/>
        <v>0</v>
      </c>
      <c r="J477" s="101">
        <f t="shared" si="32"/>
        <v>0</v>
      </c>
    </row>
    <row r="478" spans="2:10" x14ac:dyDescent="0.2">
      <c r="B478" s="93"/>
      <c r="C478" s="97"/>
      <c r="D478" s="93"/>
      <c r="E478" s="98"/>
      <c r="F478" s="100">
        <v>474</v>
      </c>
      <c r="G478" s="101">
        <f t="shared" si="29"/>
        <v>0</v>
      </c>
      <c r="H478" s="101">
        <f t="shared" si="30"/>
        <v>0</v>
      </c>
      <c r="I478" s="101">
        <f t="shared" si="31"/>
        <v>0</v>
      </c>
      <c r="J478" s="101">
        <f t="shared" si="32"/>
        <v>0</v>
      </c>
    </row>
    <row r="479" spans="2:10" x14ac:dyDescent="0.2">
      <c r="B479" s="93"/>
      <c r="C479" s="97"/>
      <c r="D479" s="93"/>
      <c r="E479" s="98"/>
      <c r="F479" s="100">
        <v>475</v>
      </c>
      <c r="G479" s="101">
        <f t="shared" si="29"/>
        <v>0</v>
      </c>
      <c r="H479" s="101">
        <f t="shared" si="30"/>
        <v>0</v>
      </c>
      <c r="I479" s="101">
        <f t="shared" si="31"/>
        <v>0</v>
      </c>
      <c r="J479" s="101">
        <f t="shared" si="32"/>
        <v>0</v>
      </c>
    </row>
    <row r="480" spans="2:10" x14ac:dyDescent="0.2">
      <c r="B480" s="93"/>
      <c r="C480" s="97"/>
      <c r="D480" s="93"/>
      <c r="E480" s="98"/>
      <c r="F480" s="100">
        <v>476</v>
      </c>
      <c r="G480" s="101">
        <f t="shared" si="29"/>
        <v>0</v>
      </c>
      <c r="H480" s="101">
        <f t="shared" si="30"/>
        <v>0</v>
      </c>
      <c r="I480" s="101">
        <f t="shared" si="31"/>
        <v>0</v>
      </c>
      <c r="J480" s="101">
        <f t="shared" si="32"/>
        <v>0</v>
      </c>
    </row>
    <row r="481" spans="2:10" x14ac:dyDescent="0.2">
      <c r="B481" s="93"/>
      <c r="C481" s="97"/>
      <c r="D481" s="93"/>
      <c r="E481" s="98"/>
      <c r="F481" s="100">
        <v>477</v>
      </c>
      <c r="G481" s="101">
        <f t="shared" si="29"/>
        <v>0</v>
      </c>
      <c r="H481" s="101">
        <f t="shared" si="30"/>
        <v>0</v>
      </c>
      <c r="I481" s="101">
        <f t="shared" si="31"/>
        <v>0</v>
      </c>
      <c r="J481" s="101">
        <f t="shared" si="32"/>
        <v>0</v>
      </c>
    </row>
    <row r="482" spans="2:10" x14ac:dyDescent="0.2">
      <c r="B482" s="93"/>
      <c r="C482" s="97"/>
      <c r="D482" s="93"/>
      <c r="E482" s="98"/>
      <c r="F482" s="100">
        <v>478</v>
      </c>
      <c r="G482" s="101">
        <f t="shared" si="29"/>
        <v>0</v>
      </c>
      <c r="H482" s="101">
        <f t="shared" si="30"/>
        <v>0</v>
      </c>
      <c r="I482" s="101">
        <f t="shared" si="31"/>
        <v>0</v>
      </c>
      <c r="J482" s="101">
        <f t="shared" si="32"/>
        <v>0</v>
      </c>
    </row>
    <row r="483" spans="2:10" x14ac:dyDescent="0.2">
      <c r="B483" s="93"/>
      <c r="C483" s="97"/>
      <c r="D483" s="93"/>
      <c r="E483" s="98"/>
      <c r="F483" s="100">
        <v>479</v>
      </c>
      <c r="G483" s="101">
        <f t="shared" si="29"/>
        <v>0</v>
      </c>
      <c r="H483" s="101">
        <f t="shared" si="30"/>
        <v>0</v>
      </c>
      <c r="I483" s="101">
        <f t="shared" si="31"/>
        <v>0</v>
      </c>
      <c r="J483" s="101">
        <f t="shared" si="32"/>
        <v>0</v>
      </c>
    </row>
    <row r="484" spans="2:10" x14ac:dyDescent="0.2">
      <c r="B484" s="93"/>
      <c r="C484" s="97"/>
      <c r="D484" s="93"/>
      <c r="E484" s="98"/>
      <c r="F484" s="100">
        <v>480</v>
      </c>
      <c r="G484" s="101">
        <f t="shared" si="29"/>
        <v>0</v>
      </c>
      <c r="H484" s="101">
        <f t="shared" si="30"/>
        <v>0</v>
      </c>
      <c r="I484" s="101">
        <f t="shared" si="31"/>
        <v>0</v>
      </c>
      <c r="J484" s="101">
        <f t="shared" si="32"/>
        <v>0</v>
      </c>
    </row>
    <row r="485" spans="2:10" x14ac:dyDescent="0.2">
      <c r="B485" s="93"/>
      <c r="C485" s="97"/>
      <c r="D485" s="93"/>
      <c r="E485" s="98"/>
      <c r="F485" s="100">
        <v>481</v>
      </c>
      <c r="G485" s="101">
        <f t="shared" si="29"/>
        <v>0</v>
      </c>
      <c r="H485" s="101">
        <f t="shared" si="30"/>
        <v>0</v>
      </c>
      <c r="I485" s="101">
        <f t="shared" si="31"/>
        <v>0</v>
      </c>
      <c r="J485" s="101">
        <f t="shared" si="32"/>
        <v>0</v>
      </c>
    </row>
    <row r="486" spans="2:10" x14ac:dyDescent="0.2">
      <c r="B486" s="93"/>
      <c r="C486" s="97"/>
      <c r="D486" s="93"/>
      <c r="E486" s="98"/>
      <c r="F486" s="100">
        <v>482</v>
      </c>
      <c r="G486" s="101">
        <f t="shared" si="29"/>
        <v>0</v>
      </c>
      <c r="H486" s="101">
        <f t="shared" si="30"/>
        <v>0</v>
      </c>
      <c r="I486" s="101">
        <f t="shared" si="31"/>
        <v>0</v>
      </c>
      <c r="J486" s="101">
        <f t="shared" si="32"/>
        <v>0</v>
      </c>
    </row>
    <row r="487" spans="2:10" x14ac:dyDescent="0.2">
      <c r="B487" s="93"/>
      <c r="C487" s="97"/>
      <c r="D487" s="93"/>
      <c r="E487" s="98"/>
      <c r="F487" s="100">
        <v>483</v>
      </c>
      <c r="G487" s="101">
        <f t="shared" si="29"/>
        <v>0</v>
      </c>
      <c r="H487" s="101">
        <f t="shared" si="30"/>
        <v>0</v>
      </c>
      <c r="I487" s="101">
        <f t="shared" si="31"/>
        <v>0</v>
      </c>
      <c r="J487" s="101">
        <f t="shared" si="32"/>
        <v>0</v>
      </c>
    </row>
    <row r="488" spans="2:10" x14ac:dyDescent="0.2">
      <c r="B488" s="93"/>
      <c r="C488" s="97"/>
      <c r="D488" s="93"/>
      <c r="E488" s="98"/>
      <c r="F488" s="100">
        <v>484</v>
      </c>
      <c r="G488" s="101">
        <f t="shared" si="29"/>
        <v>0</v>
      </c>
      <c r="H488" s="101">
        <f t="shared" si="30"/>
        <v>0</v>
      </c>
      <c r="I488" s="101">
        <f t="shared" si="31"/>
        <v>0</v>
      </c>
      <c r="J488" s="101">
        <f t="shared" si="32"/>
        <v>0</v>
      </c>
    </row>
    <row r="489" spans="2:10" x14ac:dyDescent="0.2">
      <c r="B489" s="93"/>
      <c r="C489" s="97"/>
      <c r="D489" s="93"/>
      <c r="E489" s="98"/>
      <c r="F489" s="100">
        <v>485</v>
      </c>
      <c r="G489" s="101">
        <f t="shared" si="29"/>
        <v>0</v>
      </c>
      <c r="H489" s="101">
        <f t="shared" si="30"/>
        <v>0</v>
      </c>
      <c r="I489" s="101">
        <f t="shared" si="31"/>
        <v>0</v>
      </c>
      <c r="J489" s="101">
        <f t="shared" si="32"/>
        <v>0</v>
      </c>
    </row>
    <row r="490" spans="2:10" x14ac:dyDescent="0.2">
      <c r="B490" s="93"/>
      <c r="C490" s="97"/>
      <c r="D490" s="93"/>
      <c r="E490" s="98"/>
      <c r="F490" s="100">
        <v>486</v>
      </c>
      <c r="G490" s="101">
        <f t="shared" si="29"/>
        <v>0</v>
      </c>
      <c r="H490" s="101">
        <f t="shared" si="30"/>
        <v>0</v>
      </c>
      <c r="I490" s="101">
        <f t="shared" si="31"/>
        <v>0</v>
      </c>
      <c r="J490" s="101">
        <f t="shared" si="32"/>
        <v>0</v>
      </c>
    </row>
    <row r="491" spans="2:10" x14ac:dyDescent="0.2">
      <c r="B491" s="93"/>
      <c r="C491" s="97"/>
      <c r="D491" s="93"/>
      <c r="E491" s="98"/>
      <c r="F491" s="100">
        <v>487</v>
      </c>
      <c r="G491" s="101">
        <f t="shared" si="29"/>
        <v>0</v>
      </c>
      <c r="H491" s="101">
        <f t="shared" si="30"/>
        <v>0</v>
      </c>
      <c r="I491" s="101">
        <f t="shared" si="31"/>
        <v>0</v>
      </c>
      <c r="J491" s="101">
        <f t="shared" si="32"/>
        <v>0</v>
      </c>
    </row>
    <row r="492" spans="2:10" x14ac:dyDescent="0.2">
      <c r="B492" s="93"/>
      <c r="C492" s="97"/>
      <c r="D492" s="93"/>
      <c r="E492" s="98"/>
      <c r="F492" s="100">
        <v>488</v>
      </c>
      <c r="G492" s="101">
        <f t="shared" si="29"/>
        <v>0</v>
      </c>
      <c r="H492" s="101">
        <f t="shared" si="30"/>
        <v>0</v>
      </c>
      <c r="I492" s="101">
        <f t="shared" si="31"/>
        <v>0</v>
      </c>
      <c r="J492" s="101">
        <f t="shared" si="32"/>
        <v>0</v>
      </c>
    </row>
    <row r="493" spans="2:10" x14ac:dyDescent="0.2">
      <c r="B493" s="93"/>
      <c r="C493" s="97"/>
      <c r="D493" s="93"/>
      <c r="E493" s="98"/>
      <c r="F493" s="100">
        <v>489</v>
      </c>
      <c r="G493" s="101">
        <f t="shared" si="29"/>
        <v>0</v>
      </c>
      <c r="H493" s="101">
        <f t="shared" si="30"/>
        <v>0</v>
      </c>
      <c r="I493" s="101">
        <f t="shared" si="31"/>
        <v>0</v>
      </c>
      <c r="J493" s="101">
        <f t="shared" si="32"/>
        <v>0</v>
      </c>
    </row>
    <row r="494" spans="2:10" x14ac:dyDescent="0.2">
      <c r="B494" s="93"/>
      <c r="C494" s="97"/>
      <c r="D494" s="93"/>
      <c r="E494" s="98"/>
      <c r="F494" s="100">
        <v>490</v>
      </c>
      <c r="G494" s="101">
        <f t="shared" si="29"/>
        <v>0</v>
      </c>
      <c r="H494" s="101">
        <f t="shared" si="30"/>
        <v>0</v>
      </c>
      <c r="I494" s="101">
        <f t="shared" si="31"/>
        <v>0</v>
      </c>
      <c r="J494" s="101">
        <f t="shared" si="32"/>
        <v>0</v>
      </c>
    </row>
    <row r="495" spans="2:10" x14ac:dyDescent="0.2">
      <c r="B495" s="93"/>
      <c r="C495" s="97"/>
      <c r="D495" s="93"/>
      <c r="E495" s="98"/>
      <c r="F495" s="100">
        <v>491</v>
      </c>
      <c r="G495" s="101">
        <f t="shared" si="29"/>
        <v>0</v>
      </c>
      <c r="H495" s="101">
        <f t="shared" si="30"/>
        <v>0</v>
      </c>
      <c r="I495" s="101">
        <f t="shared" si="31"/>
        <v>0</v>
      </c>
      <c r="J495" s="101">
        <f t="shared" si="32"/>
        <v>0</v>
      </c>
    </row>
    <row r="496" spans="2:10" x14ac:dyDescent="0.2">
      <c r="B496" s="93"/>
      <c r="C496" s="97"/>
      <c r="D496" s="93"/>
      <c r="E496" s="98"/>
      <c r="F496" s="100">
        <v>492</v>
      </c>
      <c r="G496" s="101">
        <f t="shared" si="29"/>
        <v>0</v>
      </c>
      <c r="H496" s="101">
        <f t="shared" si="30"/>
        <v>0</v>
      </c>
      <c r="I496" s="101">
        <f t="shared" si="31"/>
        <v>0</v>
      </c>
      <c r="J496" s="101">
        <f t="shared" si="32"/>
        <v>0</v>
      </c>
    </row>
    <row r="497" spans="2:10" x14ac:dyDescent="0.2">
      <c r="B497" s="93"/>
      <c r="C497" s="97"/>
      <c r="D497" s="93"/>
      <c r="E497" s="98"/>
      <c r="F497" s="100">
        <v>493</v>
      </c>
      <c r="G497" s="101">
        <f t="shared" si="29"/>
        <v>0</v>
      </c>
      <c r="H497" s="101">
        <f t="shared" si="30"/>
        <v>0</v>
      </c>
      <c r="I497" s="101">
        <f t="shared" si="31"/>
        <v>0</v>
      </c>
      <c r="J497" s="101">
        <f t="shared" si="32"/>
        <v>0</v>
      </c>
    </row>
    <row r="498" spans="2:10" x14ac:dyDescent="0.2">
      <c r="B498" s="93"/>
      <c r="C498" s="97"/>
      <c r="D498" s="93"/>
      <c r="E498" s="98"/>
      <c r="F498" s="100">
        <v>494</v>
      </c>
      <c r="G498" s="101">
        <f t="shared" si="29"/>
        <v>0</v>
      </c>
      <c r="H498" s="101">
        <f t="shared" si="30"/>
        <v>0</v>
      </c>
      <c r="I498" s="101">
        <f t="shared" si="31"/>
        <v>0</v>
      </c>
      <c r="J498" s="101">
        <f t="shared" si="32"/>
        <v>0</v>
      </c>
    </row>
    <row r="499" spans="2:10" x14ac:dyDescent="0.2">
      <c r="B499" s="93"/>
      <c r="C499" s="97"/>
      <c r="D499" s="93"/>
      <c r="E499" s="98"/>
      <c r="F499" s="100">
        <v>495</v>
      </c>
      <c r="G499" s="101">
        <f t="shared" si="29"/>
        <v>0</v>
      </c>
      <c r="H499" s="101">
        <f t="shared" si="30"/>
        <v>0</v>
      </c>
      <c r="I499" s="101">
        <f t="shared" si="31"/>
        <v>0</v>
      </c>
      <c r="J499" s="101">
        <f t="shared" si="32"/>
        <v>0</v>
      </c>
    </row>
    <row r="500" spans="2:10" x14ac:dyDescent="0.2">
      <c r="B500" s="93"/>
      <c r="C500" s="97"/>
      <c r="D500" s="93"/>
      <c r="E500" s="98"/>
      <c r="F500" s="100">
        <v>496</v>
      </c>
      <c r="G500" s="101">
        <f t="shared" si="29"/>
        <v>0</v>
      </c>
      <c r="H500" s="101">
        <f t="shared" si="30"/>
        <v>0</v>
      </c>
      <c r="I500" s="101">
        <f t="shared" si="31"/>
        <v>0</v>
      </c>
      <c r="J500" s="101">
        <f t="shared" si="32"/>
        <v>0</v>
      </c>
    </row>
    <row r="501" spans="2:10" x14ac:dyDescent="0.2">
      <c r="B501" s="93"/>
      <c r="C501" s="97"/>
      <c r="D501" s="93"/>
      <c r="E501" s="98"/>
      <c r="F501" s="100">
        <v>497</v>
      </c>
      <c r="G501" s="101">
        <f t="shared" si="29"/>
        <v>0</v>
      </c>
      <c r="H501" s="101">
        <f t="shared" si="30"/>
        <v>0</v>
      </c>
      <c r="I501" s="101">
        <f t="shared" si="31"/>
        <v>0</v>
      </c>
      <c r="J501" s="101">
        <f t="shared" si="32"/>
        <v>0</v>
      </c>
    </row>
    <row r="502" spans="2:10" x14ac:dyDescent="0.2">
      <c r="B502" s="93"/>
      <c r="C502" s="97"/>
      <c r="D502" s="93"/>
      <c r="E502" s="98"/>
      <c r="F502" s="100">
        <v>498</v>
      </c>
      <c r="G502" s="101">
        <f t="shared" si="29"/>
        <v>0</v>
      </c>
      <c r="H502" s="101">
        <f t="shared" si="30"/>
        <v>0</v>
      </c>
      <c r="I502" s="101">
        <f t="shared" si="31"/>
        <v>0</v>
      </c>
      <c r="J502" s="101">
        <f t="shared" si="32"/>
        <v>0</v>
      </c>
    </row>
    <row r="503" spans="2:10" x14ac:dyDescent="0.2">
      <c r="B503" s="93"/>
      <c r="C503" s="97"/>
      <c r="D503" s="93"/>
      <c r="E503" s="98"/>
      <c r="F503" s="100">
        <v>499</v>
      </c>
      <c r="G503" s="101">
        <f t="shared" si="29"/>
        <v>0</v>
      </c>
      <c r="H503" s="101">
        <f t="shared" si="30"/>
        <v>0</v>
      </c>
      <c r="I503" s="101">
        <f t="shared" si="31"/>
        <v>0</v>
      </c>
      <c r="J503" s="101">
        <f t="shared" si="32"/>
        <v>0</v>
      </c>
    </row>
    <row r="504" spans="2:10" x14ac:dyDescent="0.2">
      <c r="B504" s="93"/>
      <c r="C504" s="97"/>
      <c r="D504" s="93"/>
      <c r="E504" s="98"/>
      <c r="F504" s="100">
        <v>500</v>
      </c>
      <c r="G504" s="101">
        <f t="shared" si="29"/>
        <v>0</v>
      </c>
      <c r="H504" s="101">
        <f t="shared" si="30"/>
        <v>0</v>
      </c>
      <c r="I504" s="101">
        <f t="shared" si="31"/>
        <v>0</v>
      </c>
      <c r="J504" s="101">
        <f t="shared" si="32"/>
        <v>0</v>
      </c>
    </row>
    <row r="505" spans="2:10" x14ac:dyDescent="0.2">
      <c r="B505" s="93"/>
      <c r="C505" s="97"/>
      <c r="D505" s="93"/>
      <c r="E505" s="98"/>
      <c r="F505" s="100">
        <v>501</v>
      </c>
      <c r="G505" s="101">
        <f t="shared" si="29"/>
        <v>0</v>
      </c>
      <c r="H505" s="101">
        <f t="shared" si="30"/>
        <v>0</v>
      </c>
      <c r="I505" s="101">
        <f t="shared" si="31"/>
        <v>0</v>
      </c>
      <c r="J505" s="101">
        <f t="shared" si="32"/>
        <v>0</v>
      </c>
    </row>
    <row r="506" spans="2:10" x14ac:dyDescent="0.2">
      <c r="B506" s="93"/>
      <c r="C506" s="97"/>
      <c r="D506" s="93"/>
      <c r="E506" s="98"/>
      <c r="F506" s="100">
        <v>502</v>
      </c>
      <c r="G506" s="101">
        <f t="shared" si="29"/>
        <v>0</v>
      </c>
      <c r="H506" s="101">
        <f t="shared" si="30"/>
        <v>0</v>
      </c>
      <c r="I506" s="101">
        <f t="shared" si="31"/>
        <v>0</v>
      </c>
      <c r="J506" s="101">
        <f t="shared" si="32"/>
        <v>0</v>
      </c>
    </row>
    <row r="507" spans="2:10" x14ac:dyDescent="0.2">
      <c r="B507" s="93"/>
      <c r="C507" s="97"/>
      <c r="D507" s="93"/>
      <c r="E507" s="98"/>
      <c r="F507" s="100">
        <v>503</v>
      </c>
      <c r="G507" s="101">
        <f t="shared" si="29"/>
        <v>0</v>
      </c>
      <c r="H507" s="101">
        <f t="shared" si="30"/>
        <v>0</v>
      </c>
      <c r="I507" s="101">
        <f t="shared" si="31"/>
        <v>0</v>
      </c>
      <c r="J507" s="101">
        <f t="shared" si="32"/>
        <v>0</v>
      </c>
    </row>
    <row r="508" spans="2:10" x14ac:dyDescent="0.2">
      <c r="B508" s="93"/>
      <c r="C508" s="97"/>
      <c r="D508" s="93"/>
      <c r="E508" s="98"/>
      <c r="F508" s="100">
        <v>504</v>
      </c>
      <c r="G508" s="101">
        <f t="shared" si="29"/>
        <v>0</v>
      </c>
      <c r="H508" s="101">
        <f t="shared" si="30"/>
        <v>0</v>
      </c>
      <c r="I508" s="101">
        <f t="shared" si="31"/>
        <v>0</v>
      </c>
      <c r="J508" s="101">
        <f t="shared" si="32"/>
        <v>0</v>
      </c>
    </row>
    <row r="509" spans="2:10" x14ac:dyDescent="0.2">
      <c r="B509" s="93"/>
      <c r="C509" s="97"/>
      <c r="D509" s="93"/>
      <c r="E509" s="98"/>
      <c r="F509" s="100">
        <v>505</v>
      </c>
      <c r="G509" s="101">
        <f t="shared" si="29"/>
        <v>0</v>
      </c>
      <c r="H509" s="101">
        <f t="shared" si="30"/>
        <v>0</v>
      </c>
      <c r="I509" s="101">
        <f t="shared" si="31"/>
        <v>0</v>
      </c>
      <c r="J509" s="101">
        <f t="shared" si="32"/>
        <v>0</v>
      </c>
    </row>
    <row r="510" spans="2:10" x14ac:dyDescent="0.2">
      <c r="B510" s="93"/>
      <c r="C510" s="97"/>
      <c r="D510" s="93"/>
      <c r="E510" s="98"/>
      <c r="F510" s="100">
        <v>506</v>
      </c>
      <c r="G510" s="101">
        <f t="shared" si="29"/>
        <v>0</v>
      </c>
      <c r="H510" s="101">
        <f t="shared" si="30"/>
        <v>0</v>
      </c>
      <c r="I510" s="101">
        <f t="shared" si="31"/>
        <v>0</v>
      </c>
      <c r="J510" s="101">
        <f t="shared" si="32"/>
        <v>0</v>
      </c>
    </row>
    <row r="511" spans="2:10" x14ac:dyDescent="0.2">
      <c r="B511" s="93"/>
      <c r="C511" s="97"/>
      <c r="D511" s="93"/>
      <c r="E511" s="98"/>
      <c r="F511" s="100">
        <v>507</v>
      </c>
      <c r="G511" s="101">
        <f t="shared" si="29"/>
        <v>0</v>
      </c>
      <c r="H511" s="101">
        <f t="shared" si="30"/>
        <v>0</v>
      </c>
      <c r="I511" s="101">
        <f t="shared" si="31"/>
        <v>0</v>
      </c>
      <c r="J511" s="101">
        <f t="shared" si="32"/>
        <v>0</v>
      </c>
    </row>
    <row r="512" spans="2:10" x14ac:dyDescent="0.2">
      <c r="B512" s="93"/>
      <c r="C512" s="97"/>
      <c r="D512" s="93"/>
      <c r="E512" s="98"/>
      <c r="F512" s="100">
        <v>508</v>
      </c>
      <c r="G512" s="101">
        <f t="shared" si="29"/>
        <v>0</v>
      </c>
      <c r="H512" s="101">
        <f t="shared" si="30"/>
        <v>0</v>
      </c>
      <c r="I512" s="101">
        <f t="shared" si="31"/>
        <v>0</v>
      </c>
      <c r="J512" s="101">
        <f t="shared" si="32"/>
        <v>0</v>
      </c>
    </row>
    <row r="513" spans="2:10" x14ac:dyDescent="0.2">
      <c r="B513" s="93"/>
      <c r="C513" s="97"/>
      <c r="D513" s="93"/>
      <c r="E513" s="98"/>
      <c r="F513" s="100">
        <v>509</v>
      </c>
      <c r="G513" s="101">
        <f t="shared" si="29"/>
        <v>0</v>
      </c>
      <c r="H513" s="101">
        <f t="shared" si="30"/>
        <v>0</v>
      </c>
      <c r="I513" s="101">
        <f t="shared" si="31"/>
        <v>0</v>
      </c>
      <c r="J513" s="101">
        <f t="shared" si="32"/>
        <v>0</v>
      </c>
    </row>
    <row r="514" spans="2:10" x14ac:dyDescent="0.2">
      <c r="B514" s="93"/>
      <c r="C514" s="97"/>
      <c r="D514" s="93"/>
      <c r="E514" s="98"/>
      <c r="F514" s="100">
        <v>510</v>
      </c>
      <c r="G514" s="101">
        <f t="shared" si="29"/>
        <v>0</v>
      </c>
      <c r="H514" s="101">
        <f t="shared" si="30"/>
        <v>0</v>
      </c>
      <c r="I514" s="101">
        <f t="shared" si="31"/>
        <v>0</v>
      </c>
      <c r="J514" s="101">
        <f t="shared" si="32"/>
        <v>0</v>
      </c>
    </row>
    <row r="515" spans="2:10" x14ac:dyDescent="0.2">
      <c r="B515" s="93"/>
      <c r="C515" s="97"/>
      <c r="D515" s="93"/>
      <c r="E515" s="98"/>
      <c r="F515" s="100">
        <v>511</v>
      </c>
      <c r="G515" s="101">
        <f t="shared" si="29"/>
        <v>0</v>
      </c>
      <c r="H515" s="101">
        <f t="shared" si="30"/>
        <v>0</v>
      </c>
      <c r="I515" s="101">
        <f t="shared" si="31"/>
        <v>0</v>
      </c>
      <c r="J515" s="101">
        <f t="shared" si="32"/>
        <v>0</v>
      </c>
    </row>
    <row r="516" spans="2:10" x14ac:dyDescent="0.2">
      <c r="B516" s="93"/>
      <c r="C516" s="97"/>
      <c r="D516" s="93"/>
      <c r="E516" s="98"/>
      <c r="F516" s="100">
        <v>512</v>
      </c>
      <c r="G516" s="101">
        <f t="shared" si="29"/>
        <v>0</v>
      </c>
      <c r="H516" s="101">
        <f t="shared" si="30"/>
        <v>0</v>
      </c>
      <c r="I516" s="101">
        <f t="shared" si="31"/>
        <v>0</v>
      </c>
      <c r="J516" s="101">
        <f t="shared" si="32"/>
        <v>0</v>
      </c>
    </row>
    <row r="517" spans="2:10" x14ac:dyDescent="0.2">
      <c r="B517" s="93"/>
      <c r="C517" s="97"/>
      <c r="D517" s="93"/>
      <c r="E517" s="98"/>
      <c r="F517" s="100">
        <v>513</v>
      </c>
      <c r="G517" s="101">
        <f t="shared" si="29"/>
        <v>0</v>
      </c>
      <c r="H517" s="101">
        <f t="shared" si="30"/>
        <v>0</v>
      </c>
      <c r="I517" s="101">
        <f t="shared" si="31"/>
        <v>0</v>
      </c>
      <c r="J517" s="101">
        <f t="shared" si="32"/>
        <v>0</v>
      </c>
    </row>
    <row r="518" spans="2:10" x14ac:dyDescent="0.2">
      <c r="B518" s="93"/>
      <c r="C518" s="97"/>
      <c r="D518" s="93"/>
      <c r="E518" s="98"/>
      <c r="F518" s="100">
        <v>514</v>
      </c>
      <c r="G518" s="101">
        <f t="shared" ref="G518:G581" si="33">B518</f>
        <v>0</v>
      </c>
      <c r="H518" s="101">
        <f t="shared" ref="H518:H581" si="34">C518</f>
        <v>0</v>
      </c>
      <c r="I518" s="101">
        <f t="shared" ref="I518:I581" si="35">D518</f>
        <v>0</v>
      </c>
      <c r="J518" s="101">
        <f t="shared" ref="J518:J581" si="36">E518</f>
        <v>0</v>
      </c>
    </row>
    <row r="519" spans="2:10" x14ac:dyDescent="0.2">
      <c r="B519" s="93"/>
      <c r="C519" s="97"/>
      <c r="D519" s="93"/>
      <c r="E519" s="98"/>
      <c r="F519" s="100">
        <v>515</v>
      </c>
      <c r="G519" s="101">
        <f t="shared" si="33"/>
        <v>0</v>
      </c>
      <c r="H519" s="101">
        <f t="shared" si="34"/>
        <v>0</v>
      </c>
      <c r="I519" s="101">
        <f t="shared" si="35"/>
        <v>0</v>
      </c>
      <c r="J519" s="101">
        <f t="shared" si="36"/>
        <v>0</v>
      </c>
    </row>
    <row r="520" spans="2:10" x14ac:dyDescent="0.2">
      <c r="B520" s="93"/>
      <c r="C520" s="97"/>
      <c r="D520" s="93"/>
      <c r="E520" s="98"/>
      <c r="F520" s="100">
        <v>516</v>
      </c>
      <c r="G520" s="101">
        <f t="shared" si="33"/>
        <v>0</v>
      </c>
      <c r="H520" s="101">
        <f t="shared" si="34"/>
        <v>0</v>
      </c>
      <c r="I520" s="101">
        <f t="shared" si="35"/>
        <v>0</v>
      </c>
      <c r="J520" s="101">
        <f t="shared" si="36"/>
        <v>0</v>
      </c>
    </row>
    <row r="521" spans="2:10" x14ac:dyDescent="0.2">
      <c r="B521" s="93"/>
      <c r="C521" s="97"/>
      <c r="D521" s="93"/>
      <c r="E521" s="98"/>
      <c r="F521" s="100">
        <v>517</v>
      </c>
      <c r="G521" s="101">
        <f t="shared" si="33"/>
        <v>0</v>
      </c>
      <c r="H521" s="101">
        <f t="shared" si="34"/>
        <v>0</v>
      </c>
      <c r="I521" s="101">
        <f t="shared" si="35"/>
        <v>0</v>
      </c>
      <c r="J521" s="101">
        <f t="shared" si="36"/>
        <v>0</v>
      </c>
    </row>
    <row r="522" spans="2:10" x14ac:dyDescent="0.2">
      <c r="B522" s="93"/>
      <c r="C522" s="97"/>
      <c r="D522" s="93"/>
      <c r="E522" s="98"/>
      <c r="F522" s="100">
        <v>518</v>
      </c>
      <c r="G522" s="101">
        <f t="shared" si="33"/>
        <v>0</v>
      </c>
      <c r="H522" s="101">
        <f t="shared" si="34"/>
        <v>0</v>
      </c>
      <c r="I522" s="101">
        <f t="shared" si="35"/>
        <v>0</v>
      </c>
      <c r="J522" s="101">
        <f t="shared" si="36"/>
        <v>0</v>
      </c>
    </row>
    <row r="523" spans="2:10" x14ac:dyDescent="0.2">
      <c r="B523" s="93"/>
      <c r="C523" s="97"/>
      <c r="D523" s="93"/>
      <c r="E523" s="98"/>
      <c r="F523" s="100">
        <v>519</v>
      </c>
      <c r="G523" s="101">
        <f t="shared" si="33"/>
        <v>0</v>
      </c>
      <c r="H523" s="101">
        <f t="shared" si="34"/>
        <v>0</v>
      </c>
      <c r="I523" s="101">
        <f t="shared" si="35"/>
        <v>0</v>
      </c>
      <c r="J523" s="101">
        <f t="shared" si="36"/>
        <v>0</v>
      </c>
    </row>
    <row r="524" spans="2:10" x14ac:dyDescent="0.2">
      <c r="B524" s="93"/>
      <c r="C524" s="97"/>
      <c r="D524" s="93"/>
      <c r="E524" s="98"/>
      <c r="F524" s="100">
        <v>520</v>
      </c>
      <c r="G524" s="101">
        <f t="shared" si="33"/>
        <v>0</v>
      </c>
      <c r="H524" s="101">
        <f t="shared" si="34"/>
        <v>0</v>
      </c>
      <c r="I524" s="101">
        <f t="shared" si="35"/>
        <v>0</v>
      </c>
      <c r="J524" s="101">
        <f t="shared" si="36"/>
        <v>0</v>
      </c>
    </row>
    <row r="525" spans="2:10" x14ac:dyDescent="0.2">
      <c r="B525" s="93"/>
      <c r="C525" s="97"/>
      <c r="D525" s="93"/>
      <c r="E525" s="98"/>
      <c r="F525" s="100">
        <v>521</v>
      </c>
      <c r="G525" s="101">
        <f t="shared" si="33"/>
        <v>0</v>
      </c>
      <c r="H525" s="101">
        <f t="shared" si="34"/>
        <v>0</v>
      </c>
      <c r="I525" s="101">
        <f t="shared" si="35"/>
        <v>0</v>
      </c>
      <c r="J525" s="101">
        <f t="shared" si="36"/>
        <v>0</v>
      </c>
    </row>
    <row r="526" spans="2:10" x14ac:dyDescent="0.2">
      <c r="B526" s="93"/>
      <c r="C526" s="97"/>
      <c r="D526" s="93"/>
      <c r="E526" s="98"/>
      <c r="F526" s="100">
        <v>522</v>
      </c>
      <c r="G526" s="101">
        <f t="shared" si="33"/>
        <v>0</v>
      </c>
      <c r="H526" s="101">
        <f t="shared" si="34"/>
        <v>0</v>
      </c>
      <c r="I526" s="101">
        <f t="shared" si="35"/>
        <v>0</v>
      </c>
      <c r="J526" s="101">
        <f t="shared" si="36"/>
        <v>0</v>
      </c>
    </row>
    <row r="527" spans="2:10" x14ac:dyDescent="0.2">
      <c r="B527" s="93"/>
      <c r="C527" s="97"/>
      <c r="D527" s="93"/>
      <c r="E527" s="98"/>
      <c r="F527" s="100">
        <v>523</v>
      </c>
      <c r="G527" s="101">
        <f t="shared" si="33"/>
        <v>0</v>
      </c>
      <c r="H527" s="101">
        <f t="shared" si="34"/>
        <v>0</v>
      </c>
      <c r="I527" s="101">
        <f t="shared" si="35"/>
        <v>0</v>
      </c>
      <c r="J527" s="101">
        <f t="shared" si="36"/>
        <v>0</v>
      </c>
    </row>
    <row r="528" spans="2:10" x14ac:dyDescent="0.2">
      <c r="B528" s="93"/>
      <c r="C528" s="97"/>
      <c r="D528" s="93"/>
      <c r="E528" s="98"/>
      <c r="F528" s="100">
        <v>524</v>
      </c>
      <c r="G528" s="101">
        <f t="shared" si="33"/>
        <v>0</v>
      </c>
      <c r="H528" s="101">
        <f t="shared" si="34"/>
        <v>0</v>
      </c>
      <c r="I528" s="101">
        <f t="shared" si="35"/>
        <v>0</v>
      </c>
      <c r="J528" s="101">
        <f t="shared" si="36"/>
        <v>0</v>
      </c>
    </row>
    <row r="529" spans="2:10" x14ac:dyDescent="0.2">
      <c r="B529" s="93"/>
      <c r="C529" s="97"/>
      <c r="D529" s="93"/>
      <c r="E529" s="98"/>
      <c r="F529" s="100">
        <v>525</v>
      </c>
      <c r="G529" s="101">
        <f t="shared" si="33"/>
        <v>0</v>
      </c>
      <c r="H529" s="101">
        <f t="shared" si="34"/>
        <v>0</v>
      </c>
      <c r="I529" s="101">
        <f t="shared" si="35"/>
        <v>0</v>
      </c>
      <c r="J529" s="101">
        <f t="shared" si="36"/>
        <v>0</v>
      </c>
    </row>
    <row r="530" spans="2:10" x14ac:dyDescent="0.2">
      <c r="B530" s="93"/>
      <c r="C530" s="97"/>
      <c r="D530" s="93"/>
      <c r="E530" s="98"/>
      <c r="F530" s="100">
        <v>526</v>
      </c>
      <c r="G530" s="101">
        <f t="shared" si="33"/>
        <v>0</v>
      </c>
      <c r="H530" s="101">
        <f t="shared" si="34"/>
        <v>0</v>
      </c>
      <c r="I530" s="101">
        <f t="shared" si="35"/>
        <v>0</v>
      </c>
      <c r="J530" s="101">
        <f t="shared" si="36"/>
        <v>0</v>
      </c>
    </row>
    <row r="531" spans="2:10" x14ac:dyDescent="0.2">
      <c r="B531" s="93"/>
      <c r="C531" s="97"/>
      <c r="D531" s="93"/>
      <c r="E531" s="98"/>
      <c r="F531" s="100">
        <v>527</v>
      </c>
      <c r="G531" s="101">
        <f t="shared" si="33"/>
        <v>0</v>
      </c>
      <c r="H531" s="101">
        <f t="shared" si="34"/>
        <v>0</v>
      </c>
      <c r="I531" s="101">
        <f t="shared" si="35"/>
        <v>0</v>
      </c>
      <c r="J531" s="101">
        <f t="shared" si="36"/>
        <v>0</v>
      </c>
    </row>
    <row r="532" spans="2:10" x14ac:dyDescent="0.2">
      <c r="B532" s="93"/>
      <c r="C532" s="97"/>
      <c r="D532" s="93"/>
      <c r="E532" s="98"/>
      <c r="F532" s="100">
        <v>528</v>
      </c>
      <c r="G532" s="101">
        <f t="shared" si="33"/>
        <v>0</v>
      </c>
      <c r="H532" s="101">
        <f t="shared" si="34"/>
        <v>0</v>
      </c>
      <c r="I532" s="101">
        <f t="shared" si="35"/>
        <v>0</v>
      </c>
      <c r="J532" s="101">
        <f t="shared" si="36"/>
        <v>0</v>
      </c>
    </row>
    <row r="533" spans="2:10" x14ac:dyDescent="0.2">
      <c r="B533" s="93"/>
      <c r="C533" s="97"/>
      <c r="D533" s="93"/>
      <c r="E533" s="98"/>
      <c r="F533" s="100">
        <v>529</v>
      </c>
      <c r="G533" s="101">
        <f t="shared" si="33"/>
        <v>0</v>
      </c>
      <c r="H533" s="101">
        <f t="shared" si="34"/>
        <v>0</v>
      </c>
      <c r="I533" s="101">
        <f t="shared" si="35"/>
        <v>0</v>
      </c>
      <c r="J533" s="101">
        <f t="shared" si="36"/>
        <v>0</v>
      </c>
    </row>
    <row r="534" spans="2:10" x14ac:dyDescent="0.2">
      <c r="B534" s="93"/>
      <c r="C534" s="97"/>
      <c r="D534" s="93"/>
      <c r="E534" s="98"/>
      <c r="F534" s="100">
        <v>530</v>
      </c>
      <c r="G534" s="101">
        <f t="shared" si="33"/>
        <v>0</v>
      </c>
      <c r="H534" s="101">
        <f t="shared" si="34"/>
        <v>0</v>
      </c>
      <c r="I534" s="101">
        <f t="shared" si="35"/>
        <v>0</v>
      </c>
      <c r="J534" s="101">
        <f t="shared" si="36"/>
        <v>0</v>
      </c>
    </row>
    <row r="535" spans="2:10" x14ac:dyDescent="0.2">
      <c r="B535" s="93"/>
      <c r="C535" s="97"/>
      <c r="D535" s="93"/>
      <c r="E535" s="98"/>
      <c r="F535" s="100">
        <v>531</v>
      </c>
      <c r="G535" s="101">
        <f t="shared" si="33"/>
        <v>0</v>
      </c>
      <c r="H535" s="101">
        <f t="shared" si="34"/>
        <v>0</v>
      </c>
      <c r="I535" s="101">
        <f t="shared" si="35"/>
        <v>0</v>
      </c>
      <c r="J535" s="101">
        <f t="shared" si="36"/>
        <v>0</v>
      </c>
    </row>
    <row r="536" spans="2:10" x14ac:dyDescent="0.2">
      <c r="B536" s="93"/>
      <c r="C536" s="97"/>
      <c r="D536" s="93"/>
      <c r="E536" s="98"/>
      <c r="F536" s="100">
        <v>532</v>
      </c>
      <c r="G536" s="101">
        <f t="shared" si="33"/>
        <v>0</v>
      </c>
      <c r="H536" s="101">
        <f t="shared" si="34"/>
        <v>0</v>
      </c>
      <c r="I536" s="101">
        <f t="shared" si="35"/>
        <v>0</v>
      </c>
      <c r="J536" s="101">
        <f t="shared" si="36"/>
        <v>0</v>
      </c>
    </row>
    <row r="537" spans="2:10" x14ac:dyDescent="0.2">
      <c r="B537" s="93"/>
      <c r="C537" s="97"/>
      <c r="D537" s="93"/>
      <c r="E537" s="98"/>
      <c r="F537" s="100">
        <v>533</v>
      </c>
      <c r="G537" s="101">
        <f t="shared" si="33"/>
        <v>0</v>
      </c>
      <c r="H537" s="101">
        <f t="shared" si="34"/>
        <v>0</v>
      </c>
      <c r="I537" s="101">
        <f t="shared" si="35"/>
        <v>0</v>
      </c>
      <c r="J537" s="101">
        <f t="shared" si="36"/>
        <v>0</v>
      </c>
    </row>
    <row r="538" spans="2:10" x14ac:dyDescent="0.2">
      <c r="B538" s="93"/>
      <c r="C538" s="97"/>
      <c r="D538" s="93"/>
      <c r="E538" s="98"/>
      <c r="F538" s="100">
        <v>534</v>
      </c>
      <c r="G538" s="101">
        <f t="shared" si="33"/>
        <v>0</v>
      </c>
      <c r="H538" s="101">
        <f t="shared" si="34"/>
        <v>0</v>
      </c>
      <c r="I538" s="101">
        <f t="shared" si="35"/>
        <v>0</v>
      </c>
      <c r="J538" s="101">
        <f t="shared" si="36"/>
        <v>0</v>
      </c>
    </row>
    <row r="539" spans="2:10" x14ac:dyDescent="0.2">
      <c r="B539" s="93"/>
      <c r="C539" s="97"/>
      <c r="D539" s="93"/>
      <c r="E539" s="98"/>
      <c r="F539" s="100">
        <v>535</v>
      </c>
      <c r="G539" s="101">
        <f t="shared" si="33"/>
        <v>0</v>
      </c>
      <c r="H539" s="101">
        <f t="shared" si="34"/>
        <v>0</v>
      </c>
      <c r="I539" s="101">
        <f t="shared" si="35"/>
        <v>0</v>
      </c>
      <c r="J539" s="101">
        <f t="shared" si="36"/>
        <v>0</v>
      </c>
    </row>
    <row r="540" spans="2:10" x14ac:dyDescent="0.2">
      <c r="B540" s="93"/>
      <c r="C540" s="97"/>
      <c r="D540" s="93"/>
      <c r="E540" s="98"/>
      <c r="F540" s="100">
        <v>536</v>
      </c>
      <c r="G540" s="101">
        <f t="shared" si="33"/>
        <v>0</v>
      </c>
      <c r="H540" s="101">
        <f t="shared" si="34"/>
        <v>0</v>
      </c>
      <c r="I540" s="101">
        <f t="shared" si="35"/>
        <v>0</v>
      </c>
      <c r="J540" s="101">
        <f t="shared" si="36"/>
        <v>0</v>
      </c>
    </row>
    <row r="541" spans="2:10" x14ac:dyDescent="0.2">
      <c r="B541" s="93"/>
      <c r="C541" s="97"/>
      <c r="D541" s="93"/>
      <c r="E541" s="98"/>
      <c r="F541" s="100">
        <v>537</v>
      </c>
      <c r="G541" s="101">
        <f t="shared" si="33"/>
        <v>0</v>
      </c>
      <c r="H541" s="101">
        <f t="shared" si="34"/>
        <v>0</v>
      </c>
      <c r="I541" s="101">
        <f t="shared" si="35"/>
        <v>0</v>
      </c>
      <c r="J541" s="101">
        <f t="shared" si="36"/>
        <v>0</v>
      </c>
    </row>
    <row r="542" spans="2:10" x14ac:dyDescent="0.2">
      <c r="B542" s="93"/>
      <c r="C542" s="97"/>
      <c r="D542" s="93"/>
      <c r="E542" s="98"/>
      <c r="F542" s="100">
        <v>538</v>
      </c>
      <c r="G542" s="101">
        <f t="shared" si="33"/>
        <v>0</v>
      </c>
      <c r="H542" s="101">
        <f t="shared" si="34"/>
        <v>0</v>
      </c>
      <c r="I542" s="101">
        <f t="shared" si="35"/>
        <v>0</v>
      </c>
      <c r="J542" s="101">
        <f t="shared" si="36"/>
        <v>0</v>
      </c>
    </row>
    <row r="543" spans="2:10" x14ac:dyDescent="0.2">
      <c r="B543" s="93"/>
      <c r="C543" s="97"/>
      <c r="D543" s="93"/>
      <c r="E543" s="98"/>
      <c r="F543" s="100">
        <v>539</v>
      </c>
      <c r="G543" s="101">
        <f t="shared" si="33"/>
        <v>0</v>
      </c>
      <c r="H543" s="101">
        <f t="shared" si="34"/>
        <v>0</v>
      </c>
      <c r="I543" s="101">
        <f t="shared" si="35"/>
        <v>0</v>
      </c>
      <c r="J543" s="101">
        <f t="shared" si="36"/>
        <v>0</v>
      </c>
    </row>
    <row r="544" spans="2:10" x14ac:dyDescent="0.2">
      <c r="B544" s="93"/>
      <c r="C544" s="97"/>
      <c r="D544" s="93"/>
      <c r="E544" s="98"/>
      <c r="F544" s="100">
        <v>540</v>
      </c>
      <c r="G544" s="101">
        <f t="shared" si="33"/>
        <v>0</v>
      </c>
      <c r="H544" s="101">
        <f t="shared" si="34"/>
        <v>0</v>
      </c>
      <c r="I544" s="101">
        <f t="shared" si="35"/>
        <v>0</v>
      </c>
      <c r="J544" s="101">
        <f t="shared" si="36"/>
        <v>0</v>
      </c>
    </row>
    <row r="545" spans="2:10" x14ac:dyDescent="0.2">
      <c r="B545" s="93"/>
      <c r="C545" s="97"/>
      <c r="D545" s="93"/>
      <c r="E545" s="98"/>
      <c r="F545" s="100">
        <v>541</v>
      </c>
      <c r="G545" s="101">
        <f t="shared" si="33"/>
        <v>0</v>
      </c>
      <c r="H545" s="101">
        <f t="shared" si="34"/>
        <v>0</v>
      </c>
      <c r="I545" s="101">
        <f t="shared" si="35"/>
        <v>0</v>
      </c>
      <c r="J545" s="101">
        <f t="shared" si="36"/>
        <v>0</v>
      </c>
    </row>
    <row r="546" spans="2:10" x14ac:dyDescent="0.2">
      <c r="B546" s="93"/>
      <c r="C546" s="97"/>
      <c r="D546" s="93"/>
      <c r="E546" s="98"/>
      <c r="F546" s="100">
        <v>542</v>
      </c>
      <c r="G546" s="101">
        <f t="shared" si="33"/>
        <v>0</v>
      </c>
      <c r="H546" s="101">
        <f t="shared" si="34"/>
        <v>0</v>
      </c>
      <c r="I546" s="101">
        <f t="shared" si="35"/>
        <v>0</v>
      </c>
      <c r="J546" s="101">
        <f t="shared" si="36"/>
        <v>0</v>
      </c>
    </row>
    <row r="547" spans="2:10" x14ac:dyDescent="0.2">
      <c r="B547" s="93"/>
      <c r="C547" s="97"/>
      <c r="D547" s="93"/>
      <c r="E547" s="98"/>
      <c r="F547" s="100">
        <v>543</v>
      </c>
      <c r="G547" s="101">
        <f t="shared" si="33"/>
        <v>0</v>
      </c>
      <c r="H547" s="101">
        <f t="shared" si="34"/>
        <v>0</v>
      </c>
      <c r="I547" s="101">
        <f t="shared" si="35"/>
        <v>0</v>
      </c>
      <c r="J547" s="101">
        <f t="shared" si="36"/>
        <v>0</v>
      </c>
    </row>
    <row r="548" spans="2:10" x14ac:dyDescent="0.2">
      <c r="B548" s="93"/>
      <c r="C548" s="97"/>
      <c r="D548" s="93"/>
      <c r="E548" s="98"/>
      <c r="F548" s="100">
        <v>544</v>
      </c>
      <c r="G548" s="101">
        <f t="shared" si="33"/>
        <v>0</v>
      </c>
      <c r="H548" s="101">
        <f t="shared" si="34"/>
        <v>0</v>
      </c>
      <c r="I548" s="101">
        <f t="shared" si="35"/>
        <v>0</v>
      </c>
      <c r="J548" s="101">
        <f t="shared" si="36"/>
        <v>0</v>
      </c>
    </row>
    <row r="549" spans="2:10" x14ac:dyDescent="0.2">
      <c r="B549" s="93"/>
      <c r="C549" s="97"/>
      <c r="D549" s="93"/>
      <c r="E549" s="98"/>
      <c r="F549" s="100">
        <v>545</v>
      </c>
      <c r="G549" s="101">
        <f t="shared" si="33"/>
        <v>0</v>
      </c>
      <c r="H549" s="101">
        <f t="shared" si="34"/>
        <v>0</v>
      </c>
      <c r="I549" s="101">
        <f t="shared" si="35"/>
        <v>0</v>
      </c>
      <c r="J549" s="101">
        <f t="shared" si="36"/>
        <v>0</v>
      </c>
    </row>
    <row r="550" spans="2:10" x14ac:dyDescent="0.2">
      <c r="B550" s="93"/>
      <c r="C550" s="97"/>
      <c r="D550" s="93"/>
      <c r="E550" s="98"/>
      <c r="F550" s="100">
        <v>546</v>
      </c>
      <c r="G550" s="101">
        <f t="shared" si="33"/>
        <v>0</v>
      </c>
      <c r="H550" s="101">
        <f t="shared" si="34"/>
        <v>0</v>
      </c>
      <c r="I550" s="101">
        <f t="shared" si="35"/>
        <v>0</v>
      </c>
      <c r="J550" s="101">
        <f t="shared" si="36"/>
        <v>0</v>
      </c>
    </row>
    <row r="551" spans="2:10" x14ac:dyDescent="0.2">
      <c r="B551" s="93"/>
      <c r="C551" s="97"/>
      <c r="D551" s="93"/>
      <c r="E551" s="98"/>
      <c r="F551" s="100">
        <v>547</v>
      </c>
      <c r="G551" s="101">
        <f t="shared" si="33"/>
        <v>0</v>
      </c>
      <c r="H551" s="101">
        <f t="shared" si="34"/>
        <v>0</v>
      </c>
      <c r="I551" s="101">
        <f t="shared" si="35"/>
        <v>0</v>
      </c>
      <c r="J551" s="101">
        <f t="shared" si="36"/>
        <v>0</v>
      </c>
    </row>
    <row r="552" spans="2:10" x14ac:dyDescent="0.2">
      <c r="B552" s="93"/>
      <c r="C552" s="97"/>
      <c r="D552" s="93"/>
      <c r="E552" s="98"/>
      <c r="F552" s="100">
        <v>548</v>
      </c>
      <c r="G552" s="101">
        <f t="shared" si="33"/>
        <v>0</v>
      </c>
      <c r="H552" s="101">
        <f t="shared" si="34"/>
        <v>0</v>
      </c>
      <c r="I552" s="101">
        <f t="shared" si="35"/>
        <v>0</v>
      </c>
      <c r="J552" s="101">
        <f t="shared" si="36"/>
        <v>0</v>
      </c>
    </row>
    <row r="553" spans="2:10" x14ac:dyDescent="0.2">
      <c r="B553" s="93"/>
      <c r="C553" s="97"/>
      <c r="D553" s="93"/>
      <c r="E553" s="98"/>
      <c r="F553" s="100">
        <v>549</v>
      </c>
      <c r="G553" s="101">
        <f t="shared" si="33"/>
        <v>0</v>
      </c>
      <c r="H553" s="101">
        <f t="shared" si="34"/>
        <v>0</v>
      </c>
      <c r="I553" s="101">
        <f t="shared" si="35"/>
        <v>0</v>
      </c>
      <c r="J553" s="101">
        <f t="shared" si="36"/>
        <v>0</v>
      </c>
    </row>
    <row r="554" spans="2:10" x14ac:dyDescent="0.2">
      <c r="B554" s="93"/>
      <c r="C554" s="97"/>
      <c r="D554" s="93"/>
      <c r="E554" s="98"/>
      <c r="F554" s="100">
        <v>550</v>
      </c>
      <c r="G554" s="101">
        <f t="shared" si="33"/>
        <v>0</v>
      </c>
      <c r="H554" s="101">
        <f t="shared" si="34"/>
        <v>0</v>
      </c>
      <c r="I554" s="101">
        <f t="shared" si="35"/>
        <v>0</v>
      </c>
      <c r="J554" s="101">
        <f t="shared" si="36"/>
        <v>0</v>
      </c>
    </row>
    <row r="555" spans="2:10" x14ac:dyDescent="0.2">
      <c r="B555" s="93"/>
      <c r="C555" s="97"/>
      <c r="D555" s="93"/>
      <c r="E555" s="98"/>
      <c r="F555" s="100">
        <v>551</v>
      </c>
      <c r="G555" s="101">
        <f t="shared" si="33"/>
        <v>0</v>
      </c>
      <c r="H555" s="101">
        <f t="shared" si="34"/>
        <v>0</v>
      </c>
      <c r="I555" s="101">
        <f t="shared" si="35"/>
        <v>0</v>
      </c>
      <c r="J555" s="101">
        <f t="shared" si="36"/>
        <v>0</v>
      </c>
    </row>
    <row r="556" spans="2:10" x14ac:dyDescent="0.2">
      <c r="B556" s="93"/>
      <c r="C556" s="97"/>
      <c r="D556" s="93"/>
      <c r="E556" s="98"/>
      <c r="F556" s="100">
        <v>552</v>
      </c>
      <c r="G556" s="101">
        <f t="shared" si="33"/>
        <v>0</v>
      </c>
      <c r="H556" s="101">
        <f t="shared" si="34"/>
        <v>0</v>
      </c>
      <c r="I556" s="101">
        <f t="shared" si="35"/>
        <v>0</v>
      </c>
      <c r="J556" s="101">
        <f t="shared" si="36"/>
        <v>0</v>
      </c>
    </row>
    <row r="557" spans="2:10" x14ac:dyDescent="0.2">
      <c r="B557" s="93"/>
      <c r="C557" s="97"/>
      <c r="D557" s="93"/>
      <c r="E557" s="98"/>
      <c r="F557" s="100">
        <v>553</v>
      </c>
      <c r="G557" s="101">
        <f t="shared" si="33"/>
        <v>0</v>
      </c>
      <c r="H557" s="101">
        <f t="shared" si="34"/>
        <v>0</v>
      </c>
      <c r="I557" s="101">
        <f t="shared" si="35"/>
        <v>0</v>
      </c>
      <c r="J557" s="101">
        <f t="shared" si="36"/>
        <v>0</v>
      </c>
    </row>
    <row r="558" spans="2:10" x14ac:dyDescent="0.2">
      <c r="B558" s="93"/>
      <c r="C558" s="97"/>
      <c r="D558" s="93"/>
      <c r="E558" s="98"/>
      <c r="F558" s="100">
        <v>554</v>
      </c>
      <c r="G558" s="101">
        <f t="shared" si="33"/>
        <v>0</v>
      </c>
      <c r="H558" s="101">
        <f t="shared" si="34"/>
        <v>0</v>
      </c>
      <c r="I558" s="101">
        <f t="shared" si="35"/>
        <v>0</v>
      </c>
      <c r="J558" s="101">
        <f t="shared" si="36"/>
        <v>0</v>
      </c>
    </row>
    <row r="559" spans="2:10" x14ac:dyDescent="0.2">
      <c r="B559" s="93"/>
      <c r="C559" s="97"/>
      <c r="D559" s="93"/>
      <c r="E559" s="98"/>
      <c r="F559" s="100">
        <v>555</v>
      </c>
      <c r="G559" s="101">
        <f t="shared" si="33"/>
        <v>0</v>
      </c>
      <c r="H559" s="101">
        <f t="shared" si="34"/>
        <v>0</v>
      </c>
      <c r="I559" s="101">
        <f t="shared" si="35"/>
        <v>0</v>
      </c>
      <c r="J559" s="101">
        <f t="shared" si="36"/>
        <v>0</v>
      </c>
    </row>
    <row r="560" spans="2:10" x14ac:dyDescent="0.2">
      <c r="B560" s="93"/>
      <c r="C560" s="97"/>
      <c r="D560" s="93"/>
      <c r="E560" s="98"/>
      <c r="F560" s="100">
        <v>556</v>
      </c>
      <c r="G560" s="101">
        <f t="shared" si="33"/>
        <v>0</v>
      </c>
      <c r="H560" s="101">
        <f t="shared" si="34"/>
        <v>0</v>
      </c>
      <c r="I560" s="101">
        <f t="shared" si="35"/>
        <v>0</v>
      </c>
      <c r="J560" s="101">
        <f t="shared" si="36"/>
        <v>0</v>
      </c>
    </row>
    <row r="561" spans="2:10" x14ac:dyDescent="0.2">
      <c r="B561" s="93"/>
      <c r="C561" s="97"/>
      <c r="D561" s="93"/>
      <c r="E561" s="98"/>
      <c r="F561" s="100">
        <v>557</v>
      </c>
      <c r="G561" s="101">
        <f t="shared" si="33"/>
        <v>0</v>
      </c>
      <c r="H561" s="101">
        <f t="shared" si="34"/>
        <v>0</v>
      </c>
      <c r="I561" s="101">
        <f t="shared" si="35"/>
        <v>0</v>
      </c>
      <c r="J561" s="101">
        <f t="shared" si="36"/>
        <v>0</v>
      </c>
    </row>
    <row r="562" spans="2:10" x14ac:dyDescent="0.2">
      <c r="B562" s="93"/>
      <c r="C562" s="97"/>
      <c r="D562" s="93"/>
      <c r="E562" s="98"/>
      <c r="F562" s="100">
        <v>558</v>
      </c>
      <c r="G562" s="101">
        <f t="shared" si="33"/>
        <v>0</v>
      </c>
      <c r="H562" s="101">
        <f t="shared" si="34"/>
        <v>0</v>
      </c>
      <c r="I562" s="101">
        <f t="shared" si="35"/>
        <v>0</v>
      </c>
      <c r="J562" s="101">
        <f t="shared" si="36"/>
        <v>0</v>
      </c>
    </row>
    <row r="563" spans="2:10" x14ac:dyDescent="0.2">
      <c r="B563" s="93"/>
      <c r="C563" s="97"/>
      <c r="D563" s="93"/>
      <c r="E563" s="98"/>
      <c r="F563" s="100">
        <v>559</v>
      </c>
      <c r="G563" s="101">
        <f t="shared" si="33"/>
        <v>0</v>
      </c>
      <c r="H563" s="101">
        <f t="shared" si="34"/>
        <v>0</v>
      </c>
      <c r="I563" s="101">
        <f t="shared" si="35"/>
        <v>0</v>
      </c>
      <c r="J563" s="101">
        <f t="shared" si="36"/>
        <v>0</v>
      </c>
    </row>
    <row r="564" spans="2:10" x14ac:dyDescent="0.2">
      <c r="B564" s="93"/>
      <c r="C564" s="97"/>
      <c r="D564" s="93"/>
      <c r="E564" s="98"/>
      <c r="F564" s="100">
        <v>560</v>
      </c>
      <c r="G564" s="101">
        <f t="shared" si="33"/>
        <v>0</v>
      </c>
      <c r="H564" s="101">
        <f t="shared" si="34"/>
        <v>0</v>
      </c>
      <c r="I564" s="101">
        <f t="shared" si="35"/>
        <v>0</v>
      </c>
      <c r="J564" s="101">
        <f t="shared" si="36"/>
        <v>0</v>
      </c>
    </row>
    <row r="565" spans="2:10" x14ac:dyDescent="0.2">
      <c r="B565" s="93"/>
      <c r="C565" s="97"/>
      <c r="D565" s="93"/>
      <c r="E565" s="98"/>
      <c r="F565" s="100">
        <v>561</v>
      </c>
      <c r="G565" s="101">
        <f t="shared" si="33"/>
        <v>0</v>
      </c>
      <c r="H565" s="101">
        <f t="shared" si="34"/>
        <v>0</v>
      </c>
      <c r="I565" s="101">
        <f t="shared" si="35"/>
        <v>0</v>
      </c>
      <c r="J565" s="101">
        <f t="shared" si="36"/>
        <v>0</v>
      </c>
    </row>
    <row r="566" spans="2:10" x14ac:dyDescent="0.2">
      <c r="B566" s="93"/>
      <c r="C566" s="97"/>
      <c r="D566" s="93"/>
      <c r="E566" s="98"/>
      <c r="F566" s="100">
        <v>562</v>
      </c>
      <c r="G566" s="101">
        <f t="shared" si="33"/>
        <v>0</v>
      </c>
      <c r="H566" s="101">
        <f t="shared" si="34"/>
        <v>0</v>
      </c>
      <c r="I566" s="101">
        <f t="shared" si="35"/>
        <v>0</v>
      </c>
      <c r="J566" s="101">
        <f t="shared" si="36"/>
        <v>0</v>
      </c>
    </row>
    <row r="567" spans="2:10" x14ac:dyDescent="0.2">
      <c r="B567" s="93"/>
      <c r="C567" s="97"/>
      <c r="D567" s="93"/>
      <c r="E567" s="98"/>
      <c r="F567" s="100">
        <v>563</v>
      </c>
      <c r="G567" s="101">
        <f t="shared" si="33"/>
        <v>0</v>
      </c>
      <c r="H567" s="101">
        <f t="shared" si="34"/>
        <v>0</v>
      </c>
      <c r="I567" s="101">
        <f t="shared" si="35"/>
        <v>0</v>
      </c>
      <c r="J567" s="101">
        <f t="shared" si="36"/>
        <v>0</v>
      </c>
    </row>
    <row r="568" spans="2:10" x14ac:dyDescent="0.2">
      <c r="B568" s="93"/>
      <c r="C568" s="97"/>
      <c r="D568" s="93"/>
      <c r="E568" s="98"/>
      <c r="F568" s="100">
        <v>564</v>
      </c>
      <c r="G568" s="101">
        <f t="shared" si="33"/>
        <v>0</v>
      </c>
      <c r="H568" s="101">
        <f t="shared" si="34"/>
        <v>0</v>
      </c>
      <c r="I568" s="101">
        <f t="shared" si="35"/>
        <v>0</v>
      </c>
      <c r="J568" s="101">
        <f t="shared" si="36"/>
        <v>0</v>
      </c>
    </row>
    <row r="569" spans="2:10" x14ac:dyDescent="0.2">
      <c r="B569" s="93"/>
      <c r="C569" s="97"/>
      <c r="D569" s="93"/>
      <c r="E569" s="98"/>
      <c r="F569" s="100">
        <v>565</v>
      </c>
      <c r="G569" s="101">
        <f t="shared" si="33"/>
        <v>0</v>
      </c>
      <c r="H569" s="101">
        <f t="shared" si="34"/>
        <v>0</v>
      </c>
      <c r="I569" s="101">
        <f t="shared" si="35"/>
        <v>0</v>
      </c>
      <c r="J569" s="101">
        <f t="shared" si="36"/>
        <v>0</v>
      </c>
    </row>
    <row r="570" spans="2:10" x14ac:dyDescent="0.2">
      <c r="B570" s="93"/>
      <c r="C570" s="97"/>
      <c r="D570" s="93"/>
      <c r="E570" s="98"/>
      <c r="F570" s="100">
        <v>566</v>
      </c>
      <c r="G570" s="101">
        <f t="shared" si="33"/>
        <v>0</v>
      </c>
      <c r="H570" s="101">
        <f t="shared" si="34"/>
        <v>0</v>
      </c>
      <c r="I570" s="101">
        <f t="shared" si="35"/>
        <v>0</v>
      </c>
      <c r="J570" s="101">
        <f t="shared" si="36"/>
        <v>0</v>
      </c>
    </row>
    <row r="571" spans="2:10" x14ac:dyDescent="0.2">
      <c r="B571" s="93"/>
      <c r="C571" s="97"/>
      <c r="D571" s="93"/>
      <c r="E571" s="98"/>
      <c r="F571" s="100">
        <v>567</v>
      </c>
      <c r="G571" s="101">
        <f t="shared" si="33"/>
        <v>0</v>
      </c>
      <c r="H571" s="101">
        <f t="shared" si="34"/>
        <v>0</v>
      </c>
      <c r="I571" s="101">
        <f t="shared" si="35"/>
        <v>0</v>
      </c>
      <c r="J571" s="101">
        <f t="shared" si="36"/>
        <v>0</v>
      </c>
    </row>
    <row r="572" spans="2:10" x14ac:dyDescent="0.2">
      <c r="B572" s="93"/>
      <c r="C572" s="97"/>
      <c r="D572" s="93"/>
      <c r="E572" s="98"/>
      <c r="F572" s="100">
        <v>568</v>
      </c>
      <c r="G572" s="101">
        <f t="shared" si="33"/>
        <v>0</v>
      </c>
      <c r="H572" s="101">
        <f t="shared" si="34"/>
        <v>0</v>
      </c>
      <c r="I572" s="101">
        <f t="shared" si="35"/>
        <v>0</v>
      </c>
      <c r="J572" s="101">
        <f t="shared" si="36"/>
        <v>0</v>
      </c>
    </row>
    <row r="573" spans="2:10" x14ac:dyDescent="0.2">
      <c r="B573" s="93"/>
      <c r="C573" s="97"/>
      <c r="D573" s="93"/>
      <c r="E573" s="98"/>
      <c r="F573" s="100">
        <v>569</v>
      </c>
      <c r="G573" s="101">
        <f t="shared" si="33"/>
        <v>0</v>
      </c>
      <c r="H573" s="101">
        <f t="shared" si="34"/>
        <v>0</v>
      </c>
      <c r="I573" s="101">
        <f t="shared" si="35"/>
        <v>0</v>
      </c>
      <c r="J573" s="101">
        <f t="shared" si="36"/>
        <v>0</v>
      </c>
    </row>
    <row r="574" spans="2:10" x14ac:dyDescent="0.2">
      <c r="B574" s="93"/>
      <c r="C574" s="97"/>
      <c r="D574" s="93"/>
      <c r="E574" s="98"/>
      <c r="F574" s="100">
        <v>570</v>
      </c>
      <c r="G574" s="101">
        <f t="shared" si="33"/>
        <v>0</v>
      </c>
      <c r="H574" s="101">
        <f t="shared" si="34"/>
        <v>0</v>
      </c>
      <c r="I574" s="101">
        <f t="shared" si="35"/>
        <v>0</v>
      </c>
      <c r="J574" s="101">
        <f t="shared" si="36"/>
        <v>0</v>
      </c>
    </row>
    <row r="575" spans="2:10" x14ac:dyDescent="0.2">
      <c r="B575" s="93"/>
      <c r="C575" s="97"/>
      <c r="D575" s="93"/>
      <c r="E575" s="98"/>
      <c r="F575" s="100">
        <v>571</v>
      </c>
      <c r="G575" s="101">
        <f t="shared" si="33"/>
        <v>0</v>
      </c>
      <c r="H575" s="101">
        <f t="shared" si="34"/>
        <v>0</v>
      </c>
      <c r="I575" s="101">
        <f t="shared" si="35"/>
        <v>0</v>
      </c>
      <c r="J575" s="101">
        <f t="shared" si="36"/>
        <v>0</v>
      </c>
    </row>
    <row r="576" spans="2:10" x14ac:dyDescent="0.2">
      <c r="B576" s="93"/>
      <c r="C576" s="97"/>
      <c r="D576" s="93"/>
      <c r="E576" s="98"/>
      <c r="F576" s="100">
        <v>572</v>
      </c>
      <c r="G576" s="101">
        <f t="shared" si="33"/>
        <v>0</v>
      </c>
      <c r="H576" s="101">
        <f t="shared" si="34"/>
        <v>0</v>
      </c>
      <c r="I576" s="101">
        <f t="shared" si="35"/>
        <v>0</v>
      </c>
      <c r="J576" s="101">
        <f t="shared" si="36"/>
        <v>0</v>
      </c>
    </row>
    <row r="577" spans="2:10" x14ac:dyDescent="0.2">
      <c r="B577" s="93"/>
      <c r="C577" s="97"/>
      <c r="D577" s="93"/>
      <c r="E577" s="98"/>
      <c r="F577" s="100">
        <v>573</v>
      </c>
      <c r="G577" s="101">
        <f t="shared" si="33"/>
        <v>0</v>
      </c>
      <c r="H577" s="101">
        <f t="shared" si="34"/>
        <v>0</v>
      </c>
      <c r="I577" s="101">
        <f t="shared" si="35"/>
        <v>0</v>
      </c>
      <c r="J577" s="101">
        <f t="shared" si="36"/>
        <v>0</v>
      </c>
    </row>
    <row r="578" spans="2:10" x14ac:dyDescent="0.2">
      <c r="B578" s="93"/>
      <c r="C578" s="97"/>
      <c r="D578" s="93"/>
      <c r="E578" s="98"/>
      <c r="F578" s="100">
        <v>574</v>
      </c>
      <c r="G578" s="101">
        <f t="shared" si="33"/>
        <v>0</v>
      </c>
      <c r="H578" s="101">
        <f t="shared" si="34"/>
        <v>0</v>
      </c>
      <c r="I578" s="101">
        <f t="shared" si="35"/>
        <v>0</v>
      </c>
      <c r="J578" s="101">
        <f t="shared" si="36"/>
        <v>0</v>
      </c>
    </row>
    <row r="579" spans="2:10" x14ac:dyDescent="0.2">
      <c r="B579" s="93"/>
      <c r="C579" s="97"/>
      <c r="D579" s="93"/>
      <c r="E579" s="98"/>
      <c r="F579" s="100">
        <v>575</v>
      </c>
      <c r="G579" s="101">
        <f t="shared" si="33"/>
        <v>0</v>
      </c>
      <c r="H579" s="101">
        <f t="shared" si="34"/>
        <v>0</v>
      </c>
      <c r="I579" s="101">
        <f t="shared" si="35"/>
        <v>0</v>
      </c>
      <c r="J579" s="101">
        <f t="shared" si="36"/>
        <v>0</v>
      </c>
    </row>
    <row r="580" spans="2:10" x14ac:dyDescent="0.2">
      <c r="B580" s="93"/>
      <c r="C580" s="97"/>
      <c r="D580" s="93"/>
      <c r="E580" s="98"/>
      <c r="F580" s="100">
        <v>576</v>
      </c>
      <c r="G580" s="101">
        <f t="shared" si="33"/>
        <v>0</v>
      </c>
      <c r="H580" s="101">
        <f t="shared" si="34"/>
        <v>0</v>
      </c>
      <c r="I580" s="101">
        <f t="shared" si="35"/>
        <v>0</v>
      </c>
      <c r="J580" s="101">
        <f t="shared" si="36"/>
        <v>0</v>
      </c>
    </row>
    <row r="581" spans="2:10" x14ac:dyDescent="0.2">
      <c r="B581" s="93"/>
      <c r="C581" s="97"/>
      <c r="D581" s="93"/>
      <c r="E581" s="98"/>
      <c r="F581" s="100">
        <v>577</v>
      </c>
      <c r="G581" s="101">
        <f t="shared" si="33"/>
        <v>0</v>
      </c>
      <c r="H581" s="101">
        <f t="shared" si="34"/>
        <v>0</v>
      </c>
      <c r="I581" s="101">
        <f t="shared" si="35"/>
        <v>0</v>
      </c>
      <c r="J581" s="101">
        <f t="shared" si="36"/>
        <v>0</v>
      </c>
    </row>
    <row r="582" spans="2:10" x14ac:dyDescent="0.2">
      <c r="B582" s="93"/>
      <c r="C582" s="97"/>
      <c r="D582" s="93"/>
      <c r="E582" s="98"/>
      <c r="F582" s="100">
        <v>578</v>
      </c>
      <c r="G582" s="101">
        <f t="shared" ref="G582:G645" si="37">B582</f>
        <v>0</v>
      </c>
      <c r="H582" s="101">
        <f t="shared" ref="H582:H645" si="38">C582</f>
        <v>0</v>
      </c>
      <c r="I582" s="101">
        <f t="shared" ref="I582:I645" si="39">D582</f>
        <v>0</v>
      </c>
      <c r="J582" s="101">
        <f t="shared" ref="J582:J645" si="40">E582</f>
        <v>0</v>
      </c>
    </row>
    <row r="583" spans="2:10" x14ac:dyDescent="0.2">
      <c r="B583" s="93"/>
      <c r="C583" s="97"/>
      <c r="D583" s="93"/>
      <c r="E583" s="98"/>
      <c r="F583" s="100">
        <v>579</v>
      </c>
      <c r="G583" s="101">
        <f t="shared" si="37"/>
        <v>0</v>
      </c>
      <c r="H583" s="101">
        <f t="shared" si="38"/>
        <v>0</v>
      </c>
      <c r="I583" s="101">
        <f t="shared" si="39"/>
        <v>0</v>
      </c>
      <c r="J583" s="101">
        <f t="shared" si="40"/>
        <v>0</v>
      </c>
    </row>
    <row r="584" spans="2:10" x14ac:dyDescent="0.2">
      <c r="B584" s="93"/>
      <c r="C584" s="97"/>
      <c r="D584" s="93"/>
      <c r="E584" s="98"/>
      <c r="F584" s="100">
        <v>580</v>
      </c>
      <c r="G584" s="101">
        <f t="shared" si="37"/>
        <v>0</v>
      </c>
      <c r="H584" s="101">
        <f t="shared" si="38"/>
        <v>0</v>
      </c>
      <c r="I584" s="101">
        <f t="shared" si="39"/>
        <v>0</v>
      </c>
      <c r="J584" s="101">
        <f t="shared" si="40"/>
        <v>0</v>
      </c>
    </row>
    <row r="585" spans="2:10" x14ac:dyDescent="0.2">
      <c r="B585" s="93"/>
      <c r="C585" s="97"/>
      <c r="D585" s="93"/>
      <c r="E585" s="98"/>
      <c r="F585" s="100">
        <v>581</v>
      </c>
      <c r="G585" s="101">
        <f t="shared" si="37"/>
        <v>0</v>
      </c>
      <c r="H585" s="101">
        <f t="shared" si="38"/>
        <v>0</v>
      </c>
      <c r="I585" s="101">
        <f t="shared" si="39"/>
        <v>0</v>
      </c>
      <c r="J585" s="101">
        <f t="shared" si="40"/>
        <v>0</v>
      </c>
    </row>
    <row r="586" spans="2:10" x14ac:dyDescent="0.2">
      <c r="B586" s="93"/>
      <c r="C586" s="97"/>
      <c r="D586" s="93"/>
      <c r="E586" s="98"/>
      <c r="F586" s="100">
        <v>582</v>
      </c>
      <c r="G586" s="101">
        <f t="shared" si="37"/>
        <v>0</v>
      </c>
      <c r="H586" s="101">
        <f t="shared" si="38"/>
        <v>0</v>
      </c>
      <c r="I586" s="101">
        <f t="shared" si="39"/>
        <v>0</v>
      </c>
      <c r="J586" s="101">
        <f t="shared" si="40"/>
        <v>0</v>
      </c>
    </row>
    <row r="587" spans="2:10" x14ac:dyDescent="0.2">
      <c r="B587" s="93"/>
      <c r="C587" s="97"/>
      <c r="D587" s="93"/>
      <c r="E587" s="98"/>
      <c r="F587" s="100">
        <v>583</v>
      </c>
      <c r="G587" s="101">
        <f t="shared" si="37"/>
        <v>0</v>
      </c>
      <c r="H587" s="101">
        <f t="shared" si="38"/>
        <v>0</v>
      </c>
      <c r="I587" s="101">
        <f t="shared" si="39"/>
        <v>0</v>
      </c>
      <c r="J587" s="101">
        <f t="shared" si="40"/>
        <v>0</v>
      </c>
    </row>
    <row r="588" spans="2:10" x14ac:dyDescent="0.2">
      <c r="B588" s="93"/>
      <c r="C588" s="97"/>
      <c r="D588" s="93"/>
      <c r="E588" s="98"/>
      <c r="F588" s="100">
        <v>584</v>
      </c>
      <c r="G588" s="101">
        <f t="shared" si="37"/>
        <v>0</v>
      </c>
      <c r="H588" s="101">
        <f t="shared" si="38"/>
        <v>0</v>
      </c>
      <c r="I588" s="101">
        <f t="shared" si="39"/>
        <v>0</v>
      </c>
      <c r="J588" s="101">
        <f t="shared" si="40"/>
        <v>0</v>
      </c>
    </row>
    <row r="589" spans="2:10" x14ac:dyDescent="0.2">
      <c r="B589" s="93"/>
      <c r="C589" s="97"/>
      <c r="D589" s="93"/>
      <c r="E589" s="98"/>
      <c r="F589" s="100">
        <v>585</v>
      </c>
      <c r="G589" s="101">
        <f t="shared" si="37"/>
        <v>0</v>
      </c>
      <c r="H589" s="101">
        <f t="shared" si="38"/>
        <v>0</v>
      </c>
      <c r="I589" s="101">
        <f t="shared" si="39"/>
        <v>0</v>
      </c>
      <c r="J589" s="101">
        <f t="shared" si="40"/>
        <v>0</v>
      </c>
    </row>
    <row r="590" spans="2:10" x14ac:dyDescent="0.2">
      <c r="B590" s="93"/>
      <c r="C590" s="97"/>
      <c r="D590" s="93"/>
      <c r="E590" s="98"/>
      <c r="F590" s="100">
        <v>586</v>
      </c>
      <c r="G590" s="101">
        <f t="shared" si="37"/>
        <v>0</v>
      </c>
      <c r="H590" s="101">
        <f t="shared" si="38"/>
        <v>0</v>
      </c>
      <c r="I590" s="101">
        <f t="shared" si="39"/>
        <v>0</v>
      </c>
      <c r="J590" s="101">
        <f t="shared" si="40"/>
        <v>0</v>
      </c>
    </row>
    <row r="591" spans="2:10" x14ac:dyDescent="0.2">
      <c r="B591" s="93"/>
      <c r="C591" s="97"/>
      <c r="D591" s="93"/>
      <c r="E591" s="98"/>
      <c r="F591" s="100">
        <v>587</v>
      </c>
      <c r="G591" s="101">
        <f t="shared" si="37"/>
        <v>0</v>
      </c>
      <c r="H591" s="101">
        <f t="shared" si="38"/>
        <v>0</v>
      </c>
      <c r="I591" s="101">
        <f t="shared" si="39"/>
        <v>0</v>
      </c>
      <c r="J591" s="101">
        <f t="shared" si="40"/>
        <v>0</v>
      </c>
    </row>
    <row r="592" spans="2:10" x14ac:dyDescent="0.2">
      <c r="B592" s="93"/>
      <c r="C592" s="97"/>
      <c r="D592" s="93"/>
      <c r="E592" s="98"/>
      <c r="F592" s="100">
        <v>588</v>
      </c>
      <c r="G592" s="101">
        <f t="shared" si="37"/>
        <v>0</v>
      </c>
      <c r="H592" s="101">
        <f t="shared" si="38"/>
        <v>0</v>
      </c>
      <c r="I592" s="101">
        <f t="shared" si="39"/>
        <v>0</v>
      </c>
      <c r="J592" s="101">
        <f t="shared" si="40"/>
        <v>0</v>
      </c>
    </row>
    <row r="593" spans="2:10" x14ac:dyDescent="0.2">
      <c r="B593" s="93"/>
      <c r="C593" s="97"/>
      <c r="D593" s="93"/>
      <c r="E593" s="98"/>
      <c r="F593" s="100">
        <v>589</v>
      </c>
      <c r="G593" s="101">
        <f t="shared" si="37"/>
        <v>0</v>
      </c>
      <c r="H593" s="101">
        <f t="shared" si="38"/>
        <v>0</v>
      </c>
      <c r="I593" s="101">
        <f t="shared" si="39"/>
        <v>0</v>
      </c>
      <c r="J593" s="101">
        <f t="shared" si="40"/>
        <v>0</v>
      </c>
    </row>
    <row r="594" spans="2:10" x14ac:dyDescent="0.2">
      <c r="B594" s="93"/>
      <c r="C594" s="97"/>
      <c r="D594" s="93"/>
      <c r="E594" s="98"/>
      <c r="F594" s="100">
        <v>590</v>
      </c>
      <c r="G594" s="101">
        <f t="shared" si="37"/>
        <v>0</v>
      </c>
      <c r="H594" s="101">
        <f t="shared" si="38"/>
        <v>0</v>
      </c>
      <c r="I594" s="101">
        <f t="shared" si="39"/>
        <v>0</v>
      </c>
      <c r="J594" s="101">
        <f t="shared" si="40"/>
        <v>0</v>
      </c>
    </row>
    <row r="595" spans="2:10" x14ac:dyDescent="0.2">
      <c r="B595" s="93"/>
      <c r="C595" s="97"/>
      <c r="D595" s="93"/>
      <c r="E595" s="98"/>
      <c r="F595" s="100">
        <v>591</v>
      </c>
      <c r="G595" s="101">
        <f t="shared" si="37"/>
        <v>0</v>
      </c>
      <c r="H595" s="101">
        <f t="shared" si="38"/>
        <v>0</v>
      </c>
      <c r="I595" s="101">
        <f t="shared" si="39"/>
        <v>0</v>
      </c>
      <c r="J595" s="101">
        <f t="shared" si="40"/>
        <v>0</v>
      </c>
    </row>
    <row r="596" spans="2:10" x14ac:dyDescent="0.2">
      <c r="B596" s="93"/>
      <c r="C596" s="97"/>
      <c r="D596" s="93"/>
      <c r="E596" s="98"/>
      <c r="F596" s="100">
        <v>592</v>
      </c>
      <c r="G596" s="101">
        <f t="shared" si="37"/>
        <v>0</v>
      </c>
      <c r="H596" s="101">
        <f t="shared" si="38"/>
        <v>0</v>
      </c>
      <c r="I596" s="101">
        <f t="shared" si="39"/>
        <v>0</v>
      </c>
      <c r="J596" s="101">
        <f t="shared" si="40"/>
        <v>0</v>
      </c>
    </row>
    <row r="597" spans="2:10" x14ac:dyDescent="0.2">
      <c r="B597" s="93"/>
      <c r="C597" s="97"/>
      <c r="D597" s="93"/>
      <c r="E597" s="98"/>
      <c r="F597" s="100">
        <v>593</v>
      </c>
      <c r="G597" s="101">
        <f t="shared" si="37"/>
        <v>0</v>
      </c>
      <c r="H597" s="101">
        <f t="shared" si="38"/>
        <v>0</v>
      </c>
      <c r="I597" s="101">
        <f t="shared" si="39"/>
        <v>0</v>
      </c>
      <c r="J597" s="101">
        <f t="shared" si="40"/>
        <v>0</v>
      </c>
    </row>
    <row r="598" spans="2:10" x14ac:dyDescent="0.2">
      <c r="B598" s="93"/>
      <c r="C598" s="97"/>
      <c r="D598" s="93"/>
      <c r="E598" s="98"/>
      <c r="F598" s="100">
        <v>594</v>
      </c>
      <c r="G598" s="101">
        <f t="shared" si="37"/>
        <v>0</v>
      </c>
      <c r="H598" s="101">
        <f t="shared" si="38"/>
        <v>0</v>
      </c>
      <c r="I598" s="101">
        <f t="shared" si="39"/>
        <v>0</v>
      </c>
      <c r="J598" s="101">
        <f t="shared" si="40"/>
        <v>0</v>
      </c>
    </row>
    <row r="599" spans="2:10" x14ac:dyDescent="0.2">
      <c r="B599" s="93"/>
      <c r="C599" s="97"/>
      <c r="D599" s="93"/>
      <c r="E599" s="98"/>
      <c r="F599" s="100">
        <v>595</v>
      </c>
      <c r="G599" s="101">
        <f t="shared" si="37"/>
        <v>0</v>
      </c>
      <c r="H599" s="101">
        <f t="shared" si="38"/>
        <v>0</v>
      </c>
      <c r="I599" s="101">
        <f t="shared" si="39"/>
        <v>0</v>
      </c>
      <c r="J599" s="101">
        <f t="shared" si="40"/>
        <v>0</v>
      </c>
    </row>
    <row r="600" spans="2:10" x14ac:dyDescent="0.2">
      <c r="B600" s="93"/>
      <c r="C600" s="97"/>
      <c r="D600" s="93"/>
      <c r="E600" s="98"/>
      <c r="F600" s="100">
        <v>596</v>
      </c>
      <c r="G600" s="101">
        <f t="shared" si="37"/>
        <v>0</v>
      </c>
      <c r="H600" s="101">
        <f t="shared" si="38"/>
        <v>0</v>
      </c>
      <c r="I600" s="101">
        <f t="shared" si="39"/>
        <v>0</v>
      </c>
      <c r="J600" s="101">
        <f t="shared" si="40"/>
        <v>0</v>
      </c>
    </row>
    <row r="601" spans="2:10" x14ac:dyDescent="0.2">
      <c r="B601" s="93"/>
      <c r="C601" s="97"/>
      <c r="D601" s="93"/>
      <c r="E601" s="98"/>
      <c r="F601" s="100">
        <v>597</v>
      </c>
      <c r="G601" s="101">
        <f t="shared" si="37"/>
        <v>0</v>
      </c>
      <c r="H601" s="101">
        <f t="shared" si="38"/>
        <v>0</v>
      </c>
      <c r="I601" s="101">
        <f t="shared" si="39"/>
        <v>0</v>
      </c>
      <c r="J601" s="101">
        <f t="shared" si="40"/>
        <v>0</v>
      </c>
    </row>
    <row r="602" spans="2:10" x14ac:dyDescent="0.2">
      <c r="B602" s="93"/>
      <c r="C602" s="97"/>
      <c r="D602" s="93"/>
      <c r="E602" s="98"/>
      <c r="F602" s="100">
        <v>598</v>
      </c>
      <c r="G602" s="101">
        <f t="shared" si="37"/>
        <v>0</v>
      </c>
      <c r="H602" s="101">
        <f t="shared" si="38"/>
        <v>0</v>
      </c>
      <c r="I602" s="101">
        <f t="shared" si="39"/>
        <v>0</v>
      </c>
      <c r="J602" s="101">
        <f t="shared" si="40"/>
        <v>0</v>
      </c>
    </row>
    <row r="603" spans="2:10" x14ac:dyDescent="0.2">
      <c r="B603" s="93"/>
      <c r="C603" s="97"/>
      <c r="D603" s="93"/>
      <c r="E603" s="98"/>
      <c r="F603" s="100">
        <v>599</v>
      </c>
      <c r="G603" s="101">
        <f t="shared" si="37"/>
        <v>0</v>
      </c>
      <c r="H603" s="101">
        <f t="shared" si="38"/>
        <v>0</v>
      </c>
      <c r="I603" s="101">
        <f t="shared" si="39"/>
        <v>0</v>
      </c>
      <c r="J603" s="101">
        <f t="shared" si="40"/>
        <v>0</v>
      </c>
    </row>
    <row r="604" spans="2:10" x14ac:dyDescent="0.2">
      <c r="B604" s="93"/>
      <c r="C604" s="97"/>
      <c r="D604" s="93"/>
      <c r="E604" s="98"/>
      <c r="F604" s="100">
        <v>600</v>
      </c>
      <c r="G604" s="101">
        <f t="shared" si="37"/>
        <v>0</v>
      </c>
      <c r="H604" s="101">
        <f t="shared" si="38"/>
        <v>0</v>
      </c>
      <c r="I604" s="101">
        <f t="shared" si="39"/>
        <v>0</v>
      </c>
      <c r="J604" s="101">
        <f t="shared" si="40"/>
        <v>0</v>
      </c>
    </row>
    <row r="605" spans="2:10" x14ac:dyDescent="0.2">
      <c r="B605" s="93"/>
      <c r="C605" s="97"/>
      <c r="D605" s="93"/>
      <c r="E605" s="98"/>
      <c r="F605" s="100">
        <v>601</v>
      </c>
      <c r="G605" s="101">
        <f t="shared" si="37"/>
        <v>0</v>
      </c>
      <c r="H605" s="101">
        <f t="shared" si="38"/>
        <v>0</v>
      </c>
      <c r="I605" s="101">
        <f t="shared" si="39"/>
        <v>0</v>
      </c>
      <c r="J605" s="101">
        <f t="shared" si="40"/>
        <v>0</v>
      </c>
    </row>
    <row r="606" spans="2:10" x14ac:dyDescent="0.2">
      <c r="B606" s="93"/>
      <c r="C606" s="97"/>
      <c r="D606" s="93"/>
      <c r="E606" s="98"/>
      <c r="F606" s="100">
        <v>602</v>
      </c>
      <c r="G606" s="101">
        <f t="shared" si="37"/>
        <v>0</v>
      </c>
      <c r="H606" s="101">
        <f t="shared" si="38"/>
        <v>0</v>
      </c>
      <c r="I606" s="101">
        <f t="shared" si="39"/>
        <v>0</v>
      </c>
      <c r="J606" s="101">
        <f t="shared" si="40"/>
        <v>0</v>
      </c>
    </row>
    <row r="607" spans="2:10" x14ac:dyDescent="0.2">
      <c r="B607" s="93"/>
      <c r="C607" s="97"/>
      <c r="D607" s="93"/>
      <c r="E607" s="98"/>
      <c r="F607" s="100">
        <v>603</v>
      </c>
      <c r="G607" s="101">
        <f t="shared" si="37"/>
        <v>0</v>
      </c>
      <c r="H607" s="101">
        <f t="shared" si="38"/>
        <v>0</v>
      </c>
      <c r="I607" s="101">
        <f t="shared" si="39"/>
        <v>0</v>
      </c>
      <c r="J607" s="101">
        <f t="shared" si="40"/>
        <v>0</v>
      </c>
    </row>
    <row r="608" spans="2:10" x14ac:dyDescent="0.2">
      <c r="B608" s="93"/>
      <c r="C608" s="97"/>
      <c r="D608" s="93"/>
      <c r="E608" s="98"/>
      <c r="F608" s="100">
        <v>604</v>
      </c>
      <c r="G608" s="101">
        <f t="shared" si="37"/>
        <v>0</v>
      </c>
      <c r="H608" s="101">
        <f t="shared" si="38"/>
        <v>0</v>
      </c>
      <c r="I608" s="101">
        <f t="shared" si="39"/>
        <v>0</v>
      </c>
      <c r="J608" s="101">
        <f t="shared" si="40"/>
        <v>0</v>
      </c>
    </row>
    <row r="609" spans="2:10" x14ac:dyDescent="0.2">
      <c r="B609" s="93"/>
      <c r="C609" s="97"/>
      <c r="D609" s="93"/>
      <c r="E609" s="98"/>
      <c r="F609" s="100">
        <v>605</v>
      </c>
      <c r="G609" s="101">
        <f t="shared" si="37"/>
        <v>0</v>
      </c>
      <c r="H609" s="101">
        <f t="shared" si="38"/>
        <v>0</v>
      </c>
      <c r="I609" s="101">
        <f t="shared" si="39"/>
        <v>0</v>
      </c>
      <c r="J609" s="101">
        <f t="shared" si="40"/>
        <v>0</v>
      </c>
    </row>
    <row r="610" spans="2:10" x14ac:dyDescent="0.2">
      <c r="B610" s="93"/>
      <c r="C610" s="97"/>
      <c r="D610" s="93"/>
      <c r="E610" s="98"/>
      <c r="F610" s="100">
        <v>606</v>
      </c>
      <c r="G610" s="101">
        <f t="shared" si="37"/>
        <v>0</v>
      </c>
      <c r="H610" s="101">
        <f t="shared" si="38"/>
        <v>0</v>
      </c>
      <c r="I610" s="101">
        <f t="shared" si="39"/>
        <v>0</v>
      </c>
      <c r="J610" s="101">
        <f t="shared" si="40"/>
        <v>0</v>
      </c>
    </row>
    <row r="611" spans="2:10" x14ac:dyDescent="0.2">
      <c r="B611" s="93"/>
      <c r="C611" s="97"/>
      <c r="D611" s="93"/>
      <c r="E611" s="98"/>
      <c r="F611" s="100">
        <v>607</v>
      </c>
      <c r="G611" s="101">
        <f t="shared" si="37"/>
        <v>0</v>
      </c>
      <c r="H611" s="101">
        <f t="shared" si="38"/>
        <v>0</v>
      </c>
      <c r="I611" s="101">
        <f t="shared" si="39"/>
        <v>0</v>
      </c>
      <c r="J611" s="101">
        <f t="shared" si="40"/>
        <v>0</v>
      </c>
    </row>
    <row r="612" spans="2:10" x14ac:dyDescent="0.2">
      <c r="B612" s="93"/>
      <c r="C612" s="97"/>
      <c r="D612" s="93"/>
      <c r="E612" s="98"/>
      <c r="F612" s="100">
        <v>608</v>
      </c>
      <c r="G612" s="101">
        <f t="shared" si="37"/>
        <v>0</v>
      </c>
      <c r="H612" s="101">
        <f t="shared" si="38"/>
        <v>0</v>
      </c>
      <c r="I612" s="101">
        <f t="shared" si="39"/>
        <v>0</v>
      </c>
      <c r="J612" s="101">
        <f t="shared" si="40"/>
        <v>0</v>
      </c>
    </row>
    <row r="613" spans="2:10" x14ac:dyDescent="0.2">
      <c r="B613" s="93"/>
      <c r="C613" s="97"/>
      <c r="D613" s="93"/>
      <c r="E613" s="98"/>
      <c r="F613" s="100">
        <v>609</v>
      </c>
      <c r="G613" s="101">
        <f t="shared" si="37"/>
        <v>0</v>
      </c>
      <c r="H613" s="101">
        <f t="shared" si="38"/>
        <v>0</v>
      </c>
      <c r="I613" s="101">
        <f t="shared" si="39"/>
        <v>0</v>
      </c>
      <c r="J613" s="101">
        <f t="shared" si="40"/>
        <v>0</v>
      </c>
    </row>
    <row r="614" spans="2:10" x14ac:dyDescent="0.2">
      <c r="B614" s="93"/>
      <c r="C614" s="97"/>
      <c r="D614" s="93"/>
      <c r="E614" s="98"/>
      <c r="F614" s="100">
        <v>610</v>
      </c>
      <c r="G614" s="101">
        <f t="shared" si="37"/>
        <v>0</v>
      </c>
      <c r="H614" s="101">
        <f t="shared" si="38"/>
        <v>0</v>
      </c>
      <c r="I614" s="101">
        <f t="shared" si="39"/>
        <v>0</v>
      </c>
      <c r="J614" s="101">
        <f t="shared" si="40"/>
        <v>0</v>
      </c>
    </row>
    <row r="615" spans="2:10" x14ac:dyDescent="0.2">
      <c r="B615" s="93"/>
      <c r="C615" s="97"/>
      <c r="D615" s="93"/>
      <c r="E615" s="98"/>
      <c r="F615" s="100">
        <v>611</v>
      </c>
      <c r="G615" s="101">
        <f t="shared" si="37"/>
        <v>0</v>
      </c>
      <c r="H615" s="101">
        <f t="shared" si="38"/>
        <v>0</v>
      </c>
      <c r="I615" s="101">
        <f t="shared" si="39"/>
        <v>0</v>
      </c>
      <c r="J615" s="101">
        <f t="shared" si="40"/>
        <v>0</v>
      </c>
    </row>
    <row r="616" spans="2:10" x14ac:dyDescent="0.2">
      <c r="B616" s="93"/>
      <c r="C616" s="97"/>
      <c r="D616" s="93"/>
      <c r="E616" s="98"/>
      <c r="F616" s="100">
        <v>612</v>
      </c>
      <c r="G616" s="101">
        <f t="shared" si="37"/>
        <v>0</v>
      </c>
      <c r="H616" s="101">
        <f t="shared" si="38"/>
        <v>0</v>
      </c>
      <c r="I616" s="101">
        <f t="shared" si="39"/>
        <v>0</v>
      </c>
      <c r="J616" s="101">
        <f t="shared" si="40"/>
        <v>0</v>
      </c>
    </row>
    <row r="617" spans="2:10" x14ac:dyDescent="0.2">
      <c r="B617" s="93"/>
      <c r="C617" s="97"/>
      <c r="D617" s="93"/>
      <c r="E617" s="98"/>
      <c r="F617" s="100">
        <v>613</v>
      </c>
      <c r="G617" s="101">
        <f t="shared" si="37"/>
        <v>0</v>
      </c>
      <c r="H617" s="101">
        <f t="shared" si="38"/>
        <v>0</v>
      </c>
      <c r="I617" s="101">
        <f t="shared" si="39"/>
        <v>0</v>
      </c>
      <c r="J617" s="101">
        <f t="shared" si="40"/>
        <v>0</v>
      </c>
    </row>
    <row r="618" spans="2:10" x14ac:dyDescent="0.2">
      <c r="B618" s="93"/>
      <c r="C618" s="97"/>
      <c r="D618" s="93"/>
      <c r="E618" s="98"/>
      <c r="F618" s="100">
        <v>614</v>
      </c>
      <c r="G618" s="101">
        <f t="shared" si="37"/>
        <v>0</v>
      </c>
      <c r="H618" s="101">
        <f t="shared" si="38"/>
        <v>0</v>
      </c>
      <c r="I618" s="101">
        <f t="shared" si="39"/>
        <v>0</v>
      </c>
      <c r="J618" s="101">
        <f t="shared" si="40"/>
        <v>0</v>
      </c>
    </row>
    <row r="619" spans="2:10" x14ac:dyDescent="0.2">
      <c r="B619" s="93"/>
      <c r="C619" s="97"/>
      <c r="D619" s="93"/>
      <c r="E619" s="98"/>
      <c r="F619" s="100">
        <v>615</v>
      </c>
      <c r="G619" s="101">
        <f t="shared" si="37"/>
        <v>0</v>
      </c>
      <c r="H619" s="101">
        <f t="shared" si="38"/>
        <v>0</v>
      </c>
      <c r="I619" s="101">
        <f t="shared" si="39"/>
        <v>0</v>
      </c>
      <c r="J619" s="101">
        <f t="shared" si="40"/>
        <v>0</v>
      </c>
    </row>
    <row r="620" spans="2:10" x14ac:dyDescent="0.2">
      <c r="B620" s="93"/>
      <c r="C620" s="97"/>
      <c r="D620" s="93"/>
      <c r="E620" s="98"/>
      <c r="F620" s="100">
        <v>616</v>
      </c>
      <c r="G620" s="101">
        <f t="shared" si="37"/>
        <v>0</v>
      </c>
      <c r="H620" s="101">
        <f t="shared" si="38"/>
        <v>0</v>
      </c>
      <c r="I620" s="101">
        <f t="shared" si="39"/>
        <v>0</v>
      </c>
      <c r="J620" s="101">
        <f t="shared" si="40"/>
        <v>0</v>
      </c>
    </row>
    <row r="621" spans="2:10" x14ac:dyDescent="0.2">
      <c r="B621" s="93"/>
      <c r="C621" s="97"/>
      <c r="D621" s="93"/>
      <c r="E621" s="98"/>
      <c r="F621" s="100">
        <v>617</v>
      </c>
      <c r="G621" s="101">
        <f t="shared" si="37"/>
        <v>0</v>
      </c>
      <c r="H621" s="101">
        <f t="shared" si="38"/>
        <v>0</v>
      </c>
      <c r="I621" s="101">
        <f t="shared" si="39"/>
        <v>0</v>
      </c>
      <c r="J621" s="101">
        <f t="shared" si="40"/>
        <v>0</v>
      </c>
    </row>
    <row r="622" spans="2:10" x14ac:dyDescent="0.2">
      <c r="B622" s="93"/>
      <c r="C622" s="97"/>
      <c r="D622" s="93"/>
      <c r="E622" s="98"/>
      <c r="F622" s="100">
        <v>618</v>
      </c>
      <c r="G622" s="101">
        <f t="shared" si="37"/>
        <v>0</v>
      </c>
      <c r="H622" s="101">
        <f t="shared" si="38"/>
        <v>0</v>
      </c>
      <c r="I622" s="101">
        <f t="shared" si="39"/>
        <v>0</v>
      </c>
      <c r="J622" s="101">
        <f t="shared" si="40"/>
        <v>0</v>
      </c>
    </row>
    <row r="623" spans="2:10" x14ac:dyDescent="0.2">
      <c r="B623" s="93"/>
      <c r="C623" s="97"/>
      <c r="D623" s="93"/>
      <c r="E623" s="98"/>
      <c r="F623" s="100">
        <v>619</v>
      </c>
      <c r="G623" s="101">
        <f t="shared" si="37"/>
        <v>0</v>
      </c>
      <c r="H623" s="101">
        <f t="shared" si="38"/>
        <v>0</v>
      </c>
      <c r="I623" s="101">
        <f t="shared" si="39"/>
        <v>0</v>
      </c>
      <c r="J623" s="101">
        <f t="shared" si="40"/>
        <v>0</v>
      </c>
    </row>
    <row r="624" spans="2:10" x14ac:dyDescent="0.2">
      <c r="B624" s="93"/>
      <c r="C624" s="97"/>
      <c r="D624" s="93"/>
      <c r="E624" s="98"/>
      <c r="F624" s="100">
        <v>620</v>
      </c>
      <c r="G624" s="101">
        <f t="shared" si="37"/>
        <v>0</v>
      </c>
      <c r="H624" s="101">
        <f t="shared" si="38"/>
        <v>0</v>
      </c>
      <c r="I624" s="101">
        <f t="shared" si="39"/>
        <v>0</v>
      </c>
      <c r="J624" s="101">
        <f t="shared" si="40"/>
        <v>0</v>
      </c>
    </row>
    <row r="625" spans="2:10" x14ac:dyDescent="0.2">
      <c r="B625" s="93"/>
      <c r="C625" s="97"/>
      <c r="D625" s="93"/>
      <c r="E625" s="98"/>
      <c r="F625" s="100">
        <v>621</v>
      </c>
      <c r="G625" s="101">
        <f t="shared" si="37"/>
        <v>0</v>
      </c>
      <c r="H625" s="101">
        <f t="shared" si="38"/>
        <v>0</v>
      </c>
      <c r="I625" s="101">
        <f t="shared" si="39"/>
        <v>0</v>
      </c>
      <c r="J625" s="101">
        <f t="shared" si="40"/>
        <v>0</v>
      </c>
    </row>
    <row r="626" spans="2:10" x14ac:dyDescent="0.2">
      <c r="B626" s="93"/>
      <c r="C626" s="97"/>
      <c r="D626" s="93"/>
      <c r="E626" s="98"/>
      <c r="F626" s="100">
        <v>622</v>
      </c>
      <c r="G626" s="101">
        <f t="shared" si="37"/>
        <v>0</v>
      </c>
      <c r="H626" s="101">
        <f t="shared" si="38"/>
        <v>0</v>
      </c>
      <c r="I626" s="101">
        <f t="shared" si="39"/>
        <v>0</v>
      </c>
      <c r="J626" s="101">
        <f t="shared" si="40"/>
        <v>0</v>
      </c>
    </row>
    <row r="627" spans="2:10" x14ac:dyDescent="0.2">
      <c r="B627" s="93"/>
      <c r="C627" s="97"/>
      <c r="D627" s="93"/>
      <c r="E627" s="98"/>
      <c r="F627" s="100">
        <v>623</v>
      </c>
      <c r="G627" s="101">
        <f t="shared" si="37"/>
        <v>0</v>
      </c>
      <c r="H627" s="101">
        <f t="shared" si="38"/>
        <v>0</v>
      </c>
      <c r="I627" s="101">
        <f t="shared" si="39"/>
        <v>0</v>
      </c>
      <c r="J627" s="101">
        <f t="shared" si="40"/>
        <v>0</v>
      </c>
    </row>
    <row r="628" spans="2:10" x14ac:dyDescent="0.2">
      <c r="B628" s="93"/>
      <c r="C628" s="97"/>
      <c r="D628" s="93"/>
      <c r="E628" s="98"/>
      <c r="F628" s="100">
        <v>624</v>
      </c>
      <c r="G628" s="101">
        <f t="shared" si="37"/>
        <v>0</v>
      </c>
      <c r="H628" s="101">
        <f t="shared" si="38"/>
        <v>0</v>
      </c>
      <c r="I628" s="101">
        <f t="shared" si="39"/>
        <v>0</v>
      </c>
      <c r="J628" s="101">
        <f t="shared" si="40"/>
        <v>0</v>
      </c>
    </row>
    <row r="629" spans="2:10" x14ac:dyDescent="0.2">
      <c r="B629" s="93"/>
      <c r="C629" s="97"/>
      <c r="D629" s="93"/>
      <c r="E629" s="98"/>
      <c r="F629" s="100">
        <v>625</v>
      </c>
      <c r="G629" s="101">
        <f t="shared" si="37"/>
        <v>0</v>
      </c>
      <c r="H629" s="101">
        <f t="shared" si="38"/>
        <v>0</v>
      </c>
      <c r="I629" s="101">
        <f t="shared" si="39"/>
        <v>0</v>
      </c>
      <c r="J629" s="101">
        <f t="shared" si="40"/>
        <v>0</v>
      </c>
    </row>
    <row r="630" spans="2:10" x14ac:dyDescent="0.2">
      <c r="B630" s="93"/>
      <c r="C630" s="97"/>
      <c r="D630" s="93"/>
      <c r="E630" s="98"/>
      <c r="F630" s="100">
        <v>626</v>
      </c>
      <c r="G630" s="101">
        <f t="shared" si="37"/>
        <v>0</v>
      </c>
      <c r="H630" s="101">
        <f t="shared" si="38"/>
        <v>0</v>
      </c>
      <c r="I630" s="101">
        <f t="shared" si="39"/>
        <v>0</v>
      </c>
      <c r="J630" s="101">
        <f t="shared" si="40"/>
        <v>0</v>
      </c>
    </row>
    <row r="631" spans="2:10" x14ac:dyDescent="0.2">
      <c r="B631" s="93"/>
      <c r="C631" s="97"/>
      <c r="D631" s="93"/>
      <c r="E631" s="98"/>
      <c r="F631" s="100">
        <v>627</v>
      </c>
      <c r="G631" s="101">
        <f t="shared" si="37"/>
        <v>0</v>
      </c>
      <c r="H631" s="101">
        <f t="shared" si="38"/>
        <v>0</v>
      </c>
      <c r="I631" s="101">
        <f t="shared" si="39"/>
        <v>0</v>
      </c>
      <c r="J631" s="101">
        <f t="shared" si="40"/>
        <v>0</v>
      </c>
    </row>
    <row r="632" spans="2:10" x14ac:dyDescent="0.2">
      <c r="B632" s="93"/>
      <c r="C632" s="97"/>
      <c r="D632" s="93"/>
      <c r="E632" s="98"/>
      <c r="F632" s="100">
        <v>628</v>
      </c>
      <c r="G632" s="101">
        <f t="shared" si="37"/>
        <v>0</v>
      </c>
      <c r="H632" s="101">
        <f t="shared" si="38"/>
        <v>0</v>
      </c>
      <c r="I632" s="101">
        <f t="shared" si="39"/>
        <v>0</v>
      </c>
      <c r="J632" s="101">
        <f t="shared" si="40"/>
        <v>0</v>
      </c>
    </row>
    <row r="633" spans="2:10" x14ac:dyDescent="0.2">
      <c r="B633" s="93"/>
      <c r="C633" s="97"/>
      <c r="D633" s="93"/>
      <c r="E633" s="98"/>
      <c r="F633" s="100">
        <v>629</v>
      </c>
      <c r="G633" s="101">
        <f t="shared" si="37"/>
        <v>0</v>
      </c>
      <c r="H633" s="101">
        <f t="shared" si="38"/>
        <v>0</v>
      </c>
      <c r="I633" s="101">
        <f t="shared" si="39"/>
        <v>0</v>
      </c>
      <c r="J633" s="101">
        <f t="shared" si="40"/>
        <v>0</v>
      </c>
    </row>
    <row r="634" spans="2:10" x14ac:dyDescent="0.2">
      <c r="B634" s="93"/>
      <c r="C634" s="97"/>
      <c r="D634" s="93"/>
      <c r="E634" s="98"/>
      <c r="F634" s="100">
        <v>630</v>
      </c>
      <c r="G634" s="101">
        <f t="shared" si="37"/>
        <v>0</v>
      </c>
      <c r="H634" s="101">
        <f t="shared" si="38"/>
        <v>0</v>
      </c>
      <c r="I634" s="101">
        <f t="shared" si="39"/>
        <v>0</v>
      </c>
      <c r="J634" s="101">
        <f t="shared" si="40"/>
        <v>0</v>
      </c>
    </row>
    <row r="635" spans="2:10" x14ac:dyDescent="0.2">
      <c r="B635" s="93"/>
      <c r="C635" s="97"/>
      <c r="D635" s="93"/>
      <c r="E635" s="98"/>
      <c r="F635" s="100">
        <v>631</v>
      </c>
      <c r="G635" s="101">
        <f t="shared" si="37"/>
        <v>0</v>
      </c>
      <c r="H635" s="101">
        <f t="shared" si="38"/>
        <v>0</v>
      </c>
      <c r="I635" s="101">
        <f t="shared" si="39"/>
        <v>0</v>
      </c>
      <c r="J635" s="101">
        <f t="shared" si="40"/>
        <v>0</v>
      </c>
    </row>
    <row r="636" spans="2:10" x14ac:dyDescent="0.2">
      <c r="B636" s="93"/>
      <c r="C636" s="97"/>
      <c r="D636" s="93"/>
      <c r="E636" s="98"/>
      <c r="F636" s="100">
        <v>632</v>
      </c>
      <c r="G636" s="101">
        <f t="shared" si="37"/>
        <v>0</v>
      </c>
      <c r="H636" s="101">
        <f t="shared" si="38"/>
        <v>0</v>
      </c>
      <c r="I636" s="101">
        <f t="shared" si="39"/>
        <v>0</v>
      </c>
      <c r="J636" s="101">
        <f t="shared" si="40"/>
        <v>0</v>
      </c>
    </row>
    <row r="637" spans="2:10" x14ac:dyDescent="0.2">
      <c r="B637" s="93"/>
      <c r="C637" s="97"/>
      <c r="D637" s="93"/>
      <c r="E637" s="98"/>
      <c r="F637" s="100">
        <v>633</v>
      </c>
      <c r="G637" s="101">
        <f t="shared" si="37"/>
        <v>0</v>
      </c>
      <c r="H637" s="101">
        <f t="shared" si="38"/>
        <v>0</v>
      </c>
      <c r="I637" s="101">
        <f t="shared" si="39"/>
        <v>0</v>
      </c>
      <c r="J637" s="101">
        <f t="shared" si="40"/>
        <v>0</v>
      </c>
    </row>
    <row r="638" spans="2:10" x14ac:dyDescent="0.2">
      <c r="B638" s="93"/>
      <c r="C638" s="97"/>
      <c r="D638" s="93"/>
      <c r="E638" s="98"/>
      <c r="F638" s="100">
        <v>634</v>
      </c>
      <c r="G638" s="101">
        <f t="shared" si="37"/>
        <v>0</v>
      </c>
      <c r="H638" s="101">
        <f t="shared" si="38"/>
        <v>0</v>
      </c>
      <c r="I638" s="101">
        <f t="shared" si="39"/>
        <v>0</v>
      </c>
      <c r="J638" s="101">
        <f t="shared" si="40"/>
        <v>0</v>
      </c>
    </row>
    <row r="639" spans="2:10" x14ac:dyDescent="0.2">
      <c r="B639" s="93"/>
      <c r="C639" s="97"/>
      <c r="D639" s="93"/>
      <c r="E639" s="98"/>
      <c r="F639" s="100">
        <v>635</v>
      </c>
      <c r="G639" s="101">
        <f t="shared" si="37"/>
        <v>0</v>
      </c>
      <c r="H639" s="101">
        <f t="shared" si="38"/>
        <v>0</v>
      </c>
      <c r="I639" s="101">
        <f t="shared" si="39"/>
        <v>0</v>
      </c>
      <c r="J639" s="101">
        <f t="shared" si="40"/>
        <v>0</v>
      </c>
    </row>
    <row r="640" spans="2:10" x14ac:dyDescent="0.2">
      <c r="B640" s="93"/>
      <c r="C640" s="97"/>
      <c r="D640" s="93"/>
      <c r="E640" s="98"/>
      <c r="F640" s="100">
        <v>636</v>
      </c>
      <c r="G640" s="101">
        <f t="shared" si="37"/>
        <v>0</v>
      </c>
      <c r="H640" s="101">
        <f t="shared" si="38"/>
        <v>0</v>
      </c>
      <c r="I640" s="101">
        <f t="shared" si="39"/>
        <v>0</v>
      </c>
      <c r="J640" s="101">
        <f t="shared" si="40"/>
        <v>0</v>
      </c>
    </row>
    <row r="641" spans="2:10" x14ac:dyDescent="0.2">
      <c r="B641" s="93"/>
      <c r="C641" s="97"/>
      <c r="D641" s="93"/>
      <c r="E641" s="98"/>
      <c r="F641" s="100">
        <v>637</v>
      </c>
      <c r="G641" s="101">
        <f t="shared" si="37"/>
        <v>0</v>
      </c>
      <c r="H641" s="101">
        <f t="shared" si="38"/>
        <v>0</v>
      </c>
      <c r="I641" s="101">
        <f t="shared" si="39"/>
        <v>0</v>
      </c>
      <c r="J641" s="101">
        <f t="shared" si="40"/>
        <v>0</v>
      </c>
    </row>
    <row r="642" spans="2:10" x14ac:dyDescent="0.2">
      <c r="B642" s="93"/>
      <c r="C642" s="97"/>
      <c r="D642" s="93"/>
      <c r="E642" s="98"/>
      <c r="F642" s="100">
        <v>638</v>
      </c>
      <c r="G642" s="101">
        <f t="shared" si="37"/>
        <v>0</v>
      </c>
      <c r="H642" s="101">
        <f t="shared" si="38"/>
        <v>0</v>
      </c>
      <c r="I642" s="101">
        <f t="shared" si="39"/>
        <v>0</v>
      </c>
      <c r="J642" s="101">
        <f t="shared" si="40"/>
        <v>0</v>
      </c>
    </row>
    <row r="643" spans="2:10" x14ac:dyDescent="0.2">
      <c r="B643" s="93"/>
      <c r="C643" s="97"/>
      <c r="D643" s="93"/>
      <c r="E643" s="98"/>
      <c r="F643" s="100">
        <v>639</v>
      </c>
      <c r="G643" s="101">
        <f t="shared" si="37"/>
        <v>0</v>
      </c>
      <c r="H643" s="101">
        <f t="shared" si="38"/>
        <v>0</v>
      </c>
      <c r="I643" s="101">
        <f t="shared" si="39"/>
        <v>0</v>
      </c>
      <c r="J643" s="101">
        <f t="shared" si="40"/>
        <v>0</v>
      </c>
    </row>
    <row r="644" spans="2:10" x14ac:dyDescent="0.2">
      <c r="B644" s="93"/>
      <c r="C644" s="97"/>
      <c r="D644" s="93"/>
      <c r="E644" s="98"/>
      <c r="F644" s="100">
        <v>640</v>
      </c>
      <c r="G644" s="101">
        <f t="shared" si="37"/>
        <v>0</v>
      </c>
      <c r="H644" s="101">
        <f t="shared" si="38"/>
        <v>0</v>
      </c>
      <c r="I644" s="101">
        <f t="shared" si="39"/>
        <v>0</v>
      </c>
      <c r="J644" s="101">
        <f t="shared" si="40"/>
        <v>0</v>
      </c>
    </row>
    <row r="645" spans="2:10" x14ac:dyDescent="0.2">
      <c r="B645" s="93"/>
      <c r="C645" s="97"/>
      <c r="D645" s="93"/>
      <c r="E645" s="98"/>
      <c r="F645" s="100">
        <v>641</v>
      </c>
      <c r="G645" s="101">
        <f t="shared" si="37"/>
        <v>0</v>
      </c>
      <c r="H645" s="101">
        <f t="shared" si="38"/>
        <v>0</v>
      </c>
      <c r="I645" s="101">
        <f t="shared" si="39"/>
        <v>0</v>
      </c>
      <c r="J645" s="101">
        <f t="shared" si="40"/>
        <v>0</v>
      </c>
    </row>
    <row r="646" spans="2:10" x14ac:dyDescent="0.2">
      <c r="B646" s="93"/>
      <c r="C646" s="97"/>
      <c r="D646" s="93"/>
      <c r="E646" s="98"/>
      <c r="F646" s="100">
        <v>642</v>
      </c>
      <c r="G646" s="101">
        <f t="shared" ref="G646:G709" si="41">B646</f>
        <v>0</v>
      </c>
      <c r="H646" s="101">
        <f t="shared" ref="H646:H709" si="42">C646</f>
        <v>0</v>
      </c>
      <c r="I646" s="101">
        <f t="shared" ref="I646:I709" si="43">D646</f>
        <v>0</v>
      </c>
      <c r="J646" s="101">
        <f t="shared" ref="J646:J709" si="44">E646</f>
        <v>0</v>
      </c>
    </row>
    <row r="647" spans="2:10" x14ac:dyDescent="0.2">
      <c r="B647" s="93"/>
      <c r="C647" s="97"/>
      <c r="D647" s="93"/>
      <c r="E647" s="98"/>
      <c r="F647" s="100">
        <v>643</v>
      </c>
      <c r="G647" s="101">
        <f t="shared" si="41"/>
        <v>0</v>
      </c>
      <c r="H647" s="101">
        <f t="shared" si="42"/>
        <v>0</v>
      </c>
      <c r="I647" s="101">
        <f t="shared" si="43"/>
        <v>0</v>
      </c>
      <c r="J647" s="101">
        <f t="shared" si="44"/>
        <v>0</v>
      </c>
    </row>
    <row r="648" spans="2:10" x14ac:dyDescent="0.2">
      <c r="B648" s="93"/>
      <c r="C648" s="97"/>
      <c r="D648" s="93"/>
      <c r="E648" s="98"/>
      <c r="F648" s="100">
        <v>644</v>
      </c>
      <c r="G648" s="101">
        <f t="shared" si="41"/>
        <v>0</v>
      </c>
      <c r="H648" s="101">
        <f t="shared" si="42"/>
        <v>0</v>
      </c>
      <c r="I648" s="101">
        <f t="shared" si="43"/>
        <v>0</v>
      </c>
      <c r="J648" s="101">
        <f t="shared" si="44"/>
        <v>0</v>
      </c>
    </row>
    <row r="649" spans="2:10" x14ac:dyDescent="0.2">
      <c r="B649" s="93"/>
      <c r="C649" s="97"/>
      <c r="D649" s="93"/>
      <c r="E649" s="98"/>
      <c r="F649" s="100">
        <v>645</v>
      </c>
      <c r="G649" s="101">
        <f t="shared" si="41"/>
        <v>0</v>
      </c>
      <c r="H649" s="101">
        <f t="shared" si="42"/>
        <v>0</v>
      </c>
      <c r="I649" s="101">
        <f t="shared" si="43"/>
        <v>0</v>
      </c>
      <c r="J649" s="101">
        <f t="shared" si="44"/>
        <v>0</v>
      </c>
    </row>
    <row r="650" spans="2:10" x14ac:dyDescent="0.2">
      <c r="B650" s="93"/>
      <c r="C650" s="97"/>
      <c r="D650" s="93"/>
      <c r="E650" s="98"/>
      <c r="F650" s="100">
        <v>646</v>
      </c>
      <c r="G650" s="101">
        <f t="shared" si="41"/>
        <v>0</v>
      </c>
      <c r="H650" s="101">
        <f t="shared" si="42"/>
        <v>0</v>
      </c>
      <c r="I650" s="101">
        <f t="shared" si="43"/>
        <v>0</v>
      </c>
      <c r="J650" s="101">
        <f t="shared" si="44"/>
        <v>0</v>
      </c>
    </row>
    <row r="651" spans="2:10" x14ac:dyDescent="0.2">
      <c r="B651" s="93"/>
      <c r="C651" s="97"/>
      <c r="D651" s="93"/>
      <c r="E651" s="98"/>
      <c r="F651" s="100">
        <v>647</v>
      </c>
      <c r="G651" s="101">
        <f t="shared" si="41"/>
        <v>0</v>
      </c>
      <c r="H651" s="101">
        <f t="shared" si="42"/>
        <v>0</v>
      </c>
      <c r="I651" s="101">
        <f t="shared" si="43"/>
        <v>0</v>
      </c>
      <c r="J651" s="101">
        <f t="shared" si="44"/>
        <v>0</v>
      </c>
    </row>
    <row r="652" spans="2:10" x14ac:dyDescent="0.2">
      <c r="B652" s="93"/>
      <c r="C652" s="97"/>
      <c r="D652" s="93"/>
      <c r="E652" s="98"/>
      <c r="F652" s="100">
        <v>648</v>
      </c>
      <c r="G652" s="101">
        <f t="shared" si="41"/>
        <v>0</v>
      </c>
      <c r="H652" s="101">
        <f t="shared" si="42"/>
        <v>0</v>
      </c>
      <c r="I652" s="101">
        <f t="shared" si="43"/>
        <v>0</v>
      </c>
      <c r="J652" s="101">
        <f t="shared" si="44"/>
        <v>0</v>
      </c>
    </row>
    <row r="653" spans="2:10" x14ac:dyDescent="0.2">
      <c r="B653" s="93"/>
      <c r="C653" s="97"/>
      <c r="D653" s="93"/>
      <c r="E653" s="98"/>
      <c r="F653" s="100">
        <v>649</v>
      </c>
      <c r="G653" s="101">
        <f t="shared" si="41"/>
        <v>0</v>
      </c>
      <c r="H653" s="101">
        <f t="shared" si="42"/>
        <v>0</v>
      </c>
      <c r="I653" s="101">
        <f t="shared" si="43"/>
        <v>0</v>
      </c>
      <c r="J653" s="101">
        <f t="shared" si="44"/>
        <v>0</v>
      </c>
    </row>
    <row r="654" spans="2:10" x14ac:dyDescent="0.2">
      <c r="B654" s="93"/>
      <c r="C654" s="97"/>
      <c r="D654" s="93"/>
      <c r="E654" s="98"/>
      <c r="F654" s="100">
        <v>650</v>
      </c>
      <c r="G654" s="101">
        <f t="shared" si="41"/>
        <v>0</v>
      </c>
      <c r="H654" s="101">
        <f t="shared" si="42"/>
        <v>0</v>
      </c>
      <c r="I654" s="101">
        <f t="shared" si="43"/>
        <v>0</v>
      </c>
      <c r="J654" s="101">
        <f t="shared" si="44"/>
        <v>0</v>
      </c>
    </row>
    <row r="655" spans="2:10" x14ac:dyDescent="0.2">
      <c r="B655" s="93"/>
      <c r="C655" s="97"/>
      <c r="D655" s="93"/>
      <c r="E655" s="98"/>
      <c r="F655" s="100">
        <v>651</v>
      </c>
      <c r="G655" s="101">
        <f t="shared" si="41"/>
        <v>0</v>
      </c>
      <c r="H655" s="101">
        <f t="shared" si="42"/>
        <v>0</v>
      </c>
      <c r="I655" s="101">
        <f t="shared" si="43"/>
        <v>0</v>
      </c>
      <c r="J655" s="101">
        <f t="shared" si="44"/>
        <v>0</v>
      </c>
    </row>
    <row r="656" spans="2:10" x14ac:dyDescent="0.2">
      <c r="B656" s="93"/>
      <c r="C656" s="97"/>
      <c r="D656" s="93"/>
      <c r="E656" s="98"/>
      <c r="F656" s="100">
        <v>652</v>
      </c>
      <c r="G656" s="101">
        <f t="shared" si="41"/>
        <v>0</v>
      </c>
      <c r="H656" s="101">
        <f t="shared" si="42"/>
        <v>0</v>
      </c>
      <c r="I656" s="101">
        <f t="shared" si="43"/>
        <v>0</v>
      </c>
      <c r="J656" s="101">
        <f t="shared" si="44"/>
        <v>0</v>
      </c>
    </row>
    <row r="657" spans="2:10" x14ac:dyDescent="0.2">
      <c r="B657" s="93"/>
      <c r="C657" s="97"/>
      <c r="D657" s="93"/>
      <c r="E657" s="98"/>
      <c r="F657" s="100">
        <v>653</v>
      </c>
      <c r="G657" s="101">
        <f t="shared" si="41"/>
        <v>0</v>
      </c>
      <c r="H657" s="101">
        <f t="shared" si="42"/>
        <v>0</v>
      </c>
      <c r="I657" s="101">
        <f t="shared" si="43"/>
        <v>0</v>
      </c>
      <c r="J657" s="101">
        <f t="shared" si="44"/>
        <v>0</v>
      </c>
    </row>
    <row r="658" spans="2:10" x14ac:dyDescent="0.2">
      <c r="B658" s="93"/>
      <c r="C658" s="97"/>
      <c r="D658" s="93"/>
      <c r="E658" s="98"/>
      <c r="F658" s="100">
        <v>654</v>
      </c>
      <c r="G658" s="101">
        <f t="shared" si="41"/>
        <v>0</v>
      </c>
      <c r="H658" s="101">
        <f t="shared" si="42"/>
        <v>0</v>
      </c>
      <c r="I658" s="101">
        <f t="shared" si="43"/>
        <v>0</v>
      </c>
      <c r="J658" s="101">
        <f t="shared" si="44"/>
        <v>0</v>
      </c>
    </row>
    <row r="659" spans="2:10" x14ac:dyDescent="0.2">
      <c r="B659" s="93"/>
      <c r="C659" s="97"/>
      <c r="D659" s="93"/>
      <c r="E659" s="98"/>
      <c r="F659" s="100">
        <v>655</v>
      </c>
      <c r="G659" s="101">
        <f t="shared" si="41"/>
        <v>0</v>
      </c>
      <c r="H659" s="101">
        <f t="shared" si="42"/>
        <v>0</v>
      </c>
      <c r="I659" s="101">
        <f t="shared" si="43"/>
        <v>0</v>
      </c>
      <c r="J659" s="101">
        <f t="shared" si="44"/>
        <v>0</v>
      </c>
    </row>
    <row r="660" spans="2:10" x14ac:dyDescent="0.2">
      <c r="B660" s="93"/>
      <c r="C660" s="97"/>
      <c r="D660" s="93"/>
      <c r="E660" s="98"/>
      <c r="F660" s="100">
        <v>656</v>
      </c>
      <c r="G660" s="101">
        <f t="shared" si="41"/>
        <v>0</v>
      </c>
      <c r="H660" s="101">
        <f t="shared" si="42"/>
        <v>0</v>
      </c>
      <c r="I660" s="101">
        <f t="shared" si="43"/>
        <v>0</v>
      </c>
      <c r="J660" s="101">
        <f t="shared" si="44"/>
        <v>0</v>
      </c>
    </row>
    <row r="661" spans="2:10" x14ac:dyDescent="0.2">
      <c r="B661" s="93"/>
      <c r="C661" s="97"/>
      <c r="D661" s="93"/>
      <c r="E661" s="98"/>
      <c r="F661" s="100">
        <v>657</v>
      </c>
      <c r="G661" s="101">
        <f t="shared" si="41"/>
        <v>0</v>
      </c>
      <c r="H661" s="101">
        <f t="shared" si="42"/>
        <v>0</v>
      </c>
      <c r="I661" s="101">
        <f t="shared" si="43"/>
        <v>0</v>
      </c>
      <c r="J661" s="101">
        <f t="shared" si="44"/>
        <v>0</v>
      </c>
    </row>
    <row r="662" spans="2:10" x14ac:dyDescent="0.2">
      <c r="B662" s="93"/>
      <c r="C662" s="97"/>
      <c r="D662" s="93"/>
      <c r="E662" s="98"/>
      <c r="F662" s="100">
        <v>658</v>
      </c>
      <c r="G662" s="101">
        <f t="shared" si="41"/>
        <v>0</v>
      </c>
      <c r="H662" s="101">
        <f t="shared" si="42"/>
        <v>0</v>
      </c>
      <c r="I662" s="101">
        <f t="shared" si="43"/>
        <v>0</v>
      </c>
      <c r="J662" s="101">
        <f t="shared" si="44"/>
        <v>0</v>
      </c>
    </row>
    <row r="663" spans="2:10" x14ac:dyDescent="0.2">
      <c r="B663" s="93"/>
      <c r="C663" s="97"/>
      <c r="D663" s="93"/>
      <c r="E663" s="98"/>
      <c r="F663" s="100">
        <v>659</v>
      </c>
      <c r="G663" s="101">
        <f t="shared" si="41"/>
        <v>0</v>
      </c>
      <c r="H663" s="101">
        <f t="shared" si="42"/>
        <v>0</v>
      </c>
      <c r="I663" s="101">
        <f t="shared" si="43"/>
        <v>0</v>
      </c>
      <c r="J663" s="101">
        <f t="shared" si="44"/>
        <v>0</v>
      </c>
    </row>
    <row r="664" spans="2:10" x14ac:dyDescent="0.2">
      <c r="B664" s="93"/>
      <c r="C664" s="97"/>
      <c r="D664" s="93"/>
      <c r="E664" s="98"/>
      <c r="F664" s="100">
        <v>660</v>
      </c>
      <c r="G664" s="101">
        <f t="shared" si="41"/>
        <v>0</v>
      </c>
      <c r="H664" s="101">
        <f t="shared" si="42"/>
        <v>0</v>
      </c>
      <c r="I664" s="101">
        <f t="shared" si="43"/>
        <v>0</v>
      </c>
      <c r="J664" s="101">
        <f t="shared" si="44"/>
        <v>0</v>
      </c>
    </row>
    <row r="665" spans="2:10" x14ac:dyDescent="0.2">
      <c r="B665" s="93"/>
      <c r="C665" s="97"/>
      <c r="D665" s="93"/>
      <c r="E665" s="98"/>
      <c r="F665" s="100">
        <v>661</v>
      </c>
      <c r="G665" s="101">
        <f t="shared" si="41"/>
        <v>0</v>
      </c>
      <c r="H665" s="101">
        <f t="shared" si="42"/>
        <v>0</v>
      </c>
      <c r="I665" s="101">
        <f t="shared" si="43"/>
        <v>0</v>
      </c>
      <c r="J665" s="101">
        <f t="shared" si="44"/>
        <v>0</v>
      </c>
    </row>
    <row r="666" spans="2:10" x14ac:dyDescent="0.2">
      <c r="B666" s="93"/>
      <c r="C666" s="97"/>
      <c r="D666" s="93"/>
      <c r="E666" s="98"/>
      <c r="F666" s="100">
        <v>662</v>
      </c>
      <c r="G666" s="101">
        <f t="shared" si="41"/>
        <v>0</v>
      </c>
      <c r="H666" s="101">
        <f t="shared" si="42"/>
        <v>0</v>
      </c>
      <c r="I666" s="101">
        <f t="shared" si="43"/>
        <v>0</v>
      </c>
      <c r="J666" s="101">
        <f t="shared" si="44"/>
        <v>0</v>
      </c>
    </row>
    <row r="667" spans="2:10" x14ac:dyDescent="0.2">
      <c r="B667" s="93"/>
      <c r="C667" s="97"/>
      <c r="D667" s="93"/>
      <c r="E667" s="98"/>
      <c r="F667" s="100">
        <v>663</v>
      </c>
      <c r="G667" s="101">
        <f t="shared" si="41"/>
        <v>0</v>
      </c>
      <c r="H667" s="101">
        <f t="shared" si="42"/>
        <v>0</v>
      </c>
      <c r="I667" s="101">
        <f t="shared" si="43"/>
        <v>0</v>
      </c>
      <c r="J667" s="101">
        <f t="shared" si="44"/>
        <v>0</v>
      </c>
    </row>
    <row r="668" spans="2:10" x14ac:dyDescent="0.2">
      <c r="B668" s="93"/>
      <c r="C668" s="97"/>
      <c r="D668" s="93"/>
      <c r="E668" s="98"/>
      <c r="F668" s="100">
        <v>664</v>
      </c>
      <c r="G668" s="101">
        <f t="shared" si="41"/>
        <v>0</v>
      </c>
      <c r="H668" s="101">
        <f t="shared" si="42"/>
        <v>0</v>
      </c>
      <c r="I668" s="101">
        <f t="shared" si="43"/>
        <v>0</v>
      </c>
      <c r="J668" s="101">
        <f t="shared" si="44"/>
        <v>0</v>
      </c>
    </row>
    <row r="669" spans="2:10" x14ac:dyDescent="0.2">
      <c r="B669" s="93"/>
      <c r="C669" s="97"/>
      <c r="D669" s="93"/>
      <c r="E669" s="98"/>
      <c r="F669" s="100">
        <v>665</v>
      </c>
      <c r="G669" s="101">
        <f t="shared" si="41"/>
        <v>0</v>
      </c>
      <c r="H669" s="101">
        <f t="shared" si="42"/>
        <v>0</v>
      </c>
      <c r="I669" s="101">
        <f t="shared" si="43"/>
        <v>0</v>
      </c>
      <c r="J669" s="101">
        <f t="shared" si="44"/>
        <v>0</v>
      </c>
    </row>
    <row r="670" spans="2:10" x14ac:dyDescent="0.2">
      <c r="B670" s="93"/>
      <c r="C670" s="97"/>
      <c r="D670" s="93"/>
      <c r="E670" s="98"/>
      <c r="F670" s="100">
        <v>666</v>
      </c>
      <c r="G670" s="101">
        <f t="shared" si="41"/>
        <v>0</v>
      </c>
      <c r="H670" s="101">
        <f t="shared" si="42"/>
        <v>0</v>
      </c>
      <c r="I670" s="101">
        <f t="shared" si="43"/>
        <v>0</v>
      </c>
      <c r="J670" s="101">
        <f t="shared" si="44"/>
        <v>0</v>
      </c>
    </row>
    <row r="671" spans="2:10" x14ac:dyDescent="0.2">
      <c r="B671" s="93"/>
      <c r="C671" s="97"/>
      <c r="D671" s="93"/>
      <c r="E671" s="98"/>
      <c r="F671" s="100">
        <v>667</v>
      </c>
      <c r="G671" s="101">
        <f t="shared" si="41"/>
        <v>0</v>
      </c>
      <c r="H671" s="101">
        <f t="shared" si="42"/>
        <v>0</v>
      </c>
      <c r="I671" s="101">
        <f t="shared" si="43"/>
        <v>0</v>
      </c>
      <c r="J671" s="101">
        <f t="shared" si="44"/>
        <v>0</v>
      </c>
    </row>
    <row r="672" spans="2:10" x14ac:dyDescent="0.2">
      <c r="B672" s="93"/>
      <c r="C672" s="97"/>
      <c r="D672" s="93"/>
      <c r="E672" s="98"/>
      <c r="F672" s="100">
        <v>668</v>
      </c>
      <c r="G672" s="101">
        <f t="shared" si="41"/>
        <v>0</v>
      </c>
      <c r="H672" s="101">
        <f t="shared" si="42"/>
        <v>0</v>
      </c>
      <c r="I672" s="101">
        <f t="shared" si="43"/>
        <v>0</v>
      </c>
      <c r="J672" s="101">
        <f t="shared" si="44"/>
        <v>0</v>
      </c>
    </row>
    <row r="673" spans="2:10" x14ac:dyDescent="0.2">
      <c r="B673" s="93"/>
      <c r="C673" s="97"/>
      <c r="D673" s="93"/>
      <c r="E673" s="98"/>
      <c r="F673" s="100">
        <v>669</v>
      </c>
      <c r="G673" s="101">
        <f t="shared" si="41"/>
        <v>0</v>
      </c>
      <c r="H673" s="101">
        <f t="shared" si="42"/>
        <v>0</v>
      </c>
      <c r="I673" s="101">
        <f t="shared" si="43"/>
        <v>0</v>
      </c>
      <c r="J673" s="101">
        <f t="shared" si="44"/>
        <v>0</v>
      </c>
    </row>
    <row r="674" spans="2:10" x14ac:dyDescent="0.2">
      <c r="B674" s="93"/>
      <c r="C674" s="97"/>
      <c r="D674" s="93"/>
      <c r="E674" s="98"/>
      <c r="F674" s="100">
        <v>670</v>
      </c>
      <c r="G674" s="101">
        <f t="shared" si="41"/>
        <v>0</v>
      </c>
      <c r="H674" s="101">
        <f t="shared" si="42"/>
        <v>0</v>
      </c>
      <c r="I674" s="101">
        <f t="shared" si="43"/>
        <v>0</v>
      </c>
      <c r="J674" s="101">
        <f t="shared" si="44"/>
        <v>0</v>
      </c>
    </row>
    <row r="675" spans="2:10" x14ac:dyDescent="0.2">
      <c r="B675" s="93"/>
      <c r="C675" s="97"/>
      <c r="D675" s="93"/>
      <c r="E675" s="98"/>
      <c r="F675" s="100">
        <v>671</v>
      </c>
      <c r="G675" s="101">
        <f t="shared" si="41"/>
        <v>0</v>
      </c>
      <c r="H675" s="101">
        <f t="shared" si="42"/>
        <v>0</v>
      </c>
      <c r="I675" s="101">
        <f t="shared" si="43"/>
        <v>0</v>
      </c>
      <c r="J675" s="101">
        <f t="shared" si="44"/>
        <v>0</v>
      </c>
    </row>
    <row r="676" spans="2:10" x14ac:dyDescent="0.2">
      <c r="B676" s="93"/>
      <c r="C676" s="97"/>
      <c r="D676" s="93"/>
      <c r="E676" s="98"/>
      <c r="F676" s="100">
        <v>672</v>
      </c>
      <c r="G676" s="101">
        <f t="shared" si="41"/>
        <v>0</v>
      </c>
      <c r="H676" s="101">
        <f t="shared" si="42"/>
        <v>0</v>
      </c>
      <c r="I676" s="101">
        <f t="shared" si="43"/>
        <v>0</v>
      </c>
      <c r="J676" s="101">
        <f t="shared" si="44"/>
        <v>0</v>
      </c>
    </row>
    <row r="677" spans="2:10" x14ac:dyDescent="0.2">
      <c r="B677" s="93"/>
      <c r="C677" s="97"/>
      <c r="D677" s="93"/>
      <c r="E677" s="98"/>
      <c r="F677" s="100">
        <v>673</v>
      </c>
      <c r="G677" s="101">
        <f t="shared" si="41"/>
        <v>0</v>
      </c>
      <c r="H677" s="101">
        <f t="shared" si="42"/>
        <v>0</v>
      </c>
      <c r="I677" s="101">
        <f t="shared" si="43"/>
        <v>0</v>
      </c>
      <c r="J677" s="101">
        <f t="shared" si="44"/>
        <v>0</v>
      </c>
    </row>
    <row r="678" spans="2:10" x14ac:dyDescent="0.2">
      <c r="B678" s="93"/>
      <c r="C678" s="97"/>
      <c r="D678" s="93"/>
      <c r="E678" s="98"/>
      <c r="F678" s="100">
        <v>674</v>
      </c>
      <c r="G678" s="101">
        <f t="shared" si="41"/>
        <v>0</v>
      </c>
      <c r="H678" s="101">
        <f t="shared" si="42"/>
        <v>0</v>
      </c>
      <c r="I678" s="101">
        <f t="shared" si="43"/>
        <v>0</v>
      </c>
      <c r="J678" s="101">
        <f t="shared" si="44"/>
        <v>0</v>
      </c>
    </row>
    <row r="679" spans="2:10" x14ac:dyDescent="0.2">
      <c r="B679" s="93"/>
      <c r="C679" s="97"/>
      <c r="D679" s="93"/>
      <c r="E679" s="98"/>
      <c r="F679" s="100">
        <v>675</v>
      </c>
      <c r="G679" s="101">
        <f t="shared" si="41"/>
        <v>0</v>
      </c>
      <c r="H679" s="101">
        <f t="shared" si="42"/>
        <v>0</v>
      </c>
      <c r="I679" s="101">
        <f t="shared" si="43"/>
        <v>0</v>
      </c>
      <c r="J679" s="101">
        <f t="shared" si="44"/>
        <v>0</v>
      </c>
    </row>
    <row r="680" spans="2:10" x14ac:dyDescent="0.2">
      <c r="B680" s="93"/>
      <c r="C680" s="97"/>
      <c r="D680" s="93"/>
      <c r="E680" s="98"/>
      <c r="F680" s="100">
        <v>676</v>
      </c>
      <c r="G680" s="101">
        <f t="shared" si="41"/>
        <v>0</v>
      </c>
      <c r="H680" s="101">
        <f t="shared" si="42"/>
        <v>0</v>
      </c>
      <c r="I680" s="101">
        <f t="shared" si="43"/>
        <v>0</v>
      </c>
      <c r="J680" s="101">
        <f t="shared" si="44"/>
        <v>0</v>
      </c>
    </row>
    <row r="681" spans="2:10" x14ac:dyDescent="0.2">
      <c r="B681" s="93"/>
      <c r="C681" s="97"/>
      <c r="D681" s="93"/>
      <c r="E681" s="98"/>
      <c r="F681" s="100">
        <v>677</v>
      </c>
      <c r="G681" s="101">
        <f t="shared" si="41"/>
        <v>0</v>
      </c>
      <c r="H681" s="101">
        <f t="shared" si="42"/>
        <v>0</v>
      </c>
      <c r="I681" s="101">
        <f t="shared" si="43"/>
        <v>0</v>
      </c>
      <c r="J681" s="101">
        <f t="shared" si="44"/>
        <v>0</v>
      </c>
    </row>
    <row r="682" spans="2:10" x14ac:dyDescent="0.2">
      <c r="B682" s="93"/>
      <c r="C682" s="97"/>
      <c r="D682" s="93"/>
      <c r="E682" s="98"/>
      <c r="F682" s="100">
        <v>678</v>
      </c>
      <c r="G682" s="101">
        <f t="shared" si="41"/>
        <v>0</v>
      </c>
      <c r="H682" s="101">
        <f t="shared" si="42"/>
        <v>0</v>
      </c>
      <c r="I682" s="101">
        <f t="shared" si="43"/>
        <v>0</v>
      </c>
      <c r="J682" s="101">
        <f t="shared" si="44"/>
        <v>0</v>
      </c>
    </row>
    <row r="683" spans="2:10" x14ac:dyDescent="0.2">
      <c r="B683" s="93"/>
      <c r="C683" s="97"/>
      <c r="D683" s="93"/>
      <c r="E683" s="98"/>
      <c r="F683" s="100">
        <v>679</v>
      </c>
      <c r="G683" s="101">
        <f t="shared" si="41"/>
        <v>0</v>
      </c>
      <c r="H683" s="101">
        <f t="shared" si="42"/>
        <v>0</v>
      </c>
      <c r="I683" s="101">
        <f t="shared" si="43"/>
        <v>0</v>
      </c>
      <c r="J683" s="101">
        <f t="shared" si="44"/>
        <v>0</v>
      </c>
    </row>
    <row r="684" spans="2:10" x14ac:dyDescent="0.2">
      <c r="B684" s="93"/>
      <c r="C684" s="97"/>
      <c r="D684" s="93"/>
      <c r="E684" s="98"/>
      <c r="F684" s="100">
        <v>680</v>
      </c>
      <c r="G684" s="101">
        <f t="shared" si="41"/>
        <v>0</v>
      </c>
      <c r="H684" s="101">
        <f t="shared" si="42"/>
        <v>0</v>
      </c>
      <c r="I684" s="101">
        <f t="shared" si="43"/>
        <v>0</v>
      </c>
      <c r="J684" s="101">
        <f t="shared" si="44"/>
        <v>0</v>
      </c>
    </row>
    <row r="685" spans="2:10" x14ac:dyDescent="0.2">
      <c r="B685" s="93"/>
      <c r="C685" s="97"/>
      <c r="D685" s="93"/>
      <c r="E685" s="98"/>
      <c r="F685" s="100">
        <v>681</v>
      </c>
      <c r="G685" s="101">
        <f t="shared" si="41"/>
        <v>0</v>
      </c>
      <c r="H685" s="101">
        <f t="shared" si="42"/>
        <v>0</v>
      </c>
      <c r="I685" s="101">
        <f t="shared" si="43"/>
        <v>0</v>
      </c>
      <c r="J685" s="101">
        <f t="shared" si="44"/>
        <v>0</v>
      </c>
    </row>
    <row r="686" spans="2:10" x14ac:dyDescent="0.2">
      <c r="B686" s="93"/>
      <c r="C686" s="97"/>
      <c r="D686" s="93"/>
      <c r="E686" s="98"/>
      <c r="F686" s="100">
        <v>682</v>
      </c>
      <c r="G686" s="101">
        <f t="shared" si="41"/>
        <v>0</v>
      </c>
      <c r="H686" s="101">
        <f t="shared" si="42"/>
        <v>0</v>
      </c>
      <c r="I686" s="101">
        <f t="shared" si="43"/>
        <v>0</v>
      </c>
      <c r="J686" s="101">
        <f t="shared" si="44"/>
        <v>0</v>
      </c>
    </row>
    <row r="687" spans="2:10" x14ac:dyDescent="0.2">
      <c r="B687" s="93"/>
      <c r="C687" s="97"/>
      <c r="D687" s="93"/>
      <c r="E687" s="98"/>
      <c r="F687" s="100">
        <v>683</v>
      </c>
      <c r="G687" s="101">
        <f t="shared" si="41"/>
        <v>0</v>
      </c>
      <c r="H687" s="101">
        <f t="shared" si="42"/>
        <v>0</v>
      </c>
      <c r="I687" s="101">
        <f t="shared" si="43"/>
        <v>0</v>
      </c>
      <c r="J687" s="101">
        <f t="shared" si="44"/>
        <v>0</v>
      </c>
    </row>
    <row r="688" spans="2:10" x14ac:dyDescent="0.2">
      <c r="B688" s="93"/>
      <c r="C688" s="97"/>
      <c r="D688" s="93"/>
      <c r="E688" s="98"/>
      <c r="F688" s="100">
        <v>684</v>
      </c>
      <c r="G688" s="101">
        <f t="shared" si="41"/>
        <v>0</v>
      </c>
      <c r="H688" s="101">
        <f t="shared" si="42"/>
        <v>0</v>
      </c>
      <c r="I688" s="101">
        <f t="shared" si="43"/>
        <v>0</v>
      </c>
      <c r="J688" s="101">
        <f t="shared" si="44"/>
        <v>0</v>
      </c>
    </row>
    <row r="689" spans="2:10" x14ac:dyDescent="0.2">
      <c r="B689" s="93"/>
      <c r="C689" s="97"/>
      <c r="D689" s="93"/>
      <c r="E689" s="98"/>
      <c r="F689" s="100">
        <v>685</v>
      </c>
      <c r="G689" s="101">
        <f t="shared" si="41"/>
        <v>0</v>
      </c>
      <c r="H689" s="101">
        <f t="shared" si="42"/>
        <v>0</v>
      </c>
      <c r="I689" s="101">
        <f t="shared" si="43"/>
        <v>0</v>
      </c>
      <c r="J689" s="101">
        <f t="shared" si="44"/>
        <v>0</v>
      </c>
    </row>
    <row r="690" spans="2:10" x14ac:dyDescent="0.2">
      <c r="B690" s="93"/>
      <c r="C690" s="97"/>
      <c r="D690" s="93"/>
      <c r="E690" s="98"/>
      <c r="F690" s="100">
        <v>686</v>
      </c>
      <c r="G690" s="101">
        <f t="shared" si="41"/>
        <v>0</v>
      </c>
      <c r="H690" s="101">
        <f t="shared" si="42"/>
        <v>0</v>
      </c>
      <c r="I690" s="101">
        <f t="shared" si="43"/>
        <v>0</v>
      </c>
      <c r="J690" s="101">
        <f t="shared" si="44"/>
        <v>0</v>
      </c>
    </row>
    <row r="691" spans="2:10" x14ac:dyDescent="0.2">
      <c r="B691" s="93"/>
      <c r="C691" s="97"/>
      <c r="D691" s="93"/>
      <c r="E691" s="98"/>
      <c r="F691" s="100">
        <v>687</v>
      </c>
      <c r="G691" s="101">
        <f t="shared" si="41"/>
        <v>0</v>
      </c>
      <c r="H691" s="101">
        <f t="shared" si="42"/>
        <v>0</v>
      </c>
      <c r="I691" s="101">
        <f t="shared" si="43"/>
        <v>0</v>
      </c>
      <c r="J691" s="101">
        <f t="shared" si="44"/>
        <v>0</v>
      </c>
    </row>
    <row r="692" spans="2:10" x14ac:dyDescent="0.2">
      <c r="B692" s="93"/>
      <c r="C692" s="97"/>
      <c r="D692" s="93"/>
      <c r="E692" s="98"/>
      <c r="F692" s="100">
        <v>688</v>
      </c>
      <c r="G692" s="101">
        <f t="shared" si="41"/>
        <v>0</v>
      </c>
      <c r="H692" s="101">
        <f t="shared" si="42"/>
        <v>0</v>
      </c>
      <c r="I692" s="101">
        <f t="shared" si="43"/>
        <v>0</v>
      </c>
      <c r="J692" s="101">
        <f t="shared" si="44"/>
        <v>0</v>
      </c>
    </row>
    <row r="693" spans="2:10" x14ac:dyDescent="0.2">
      <c r="B693" s="93"/>
      <c r="C693" s="97"/>
      <c r="D693" s="93"/>
      <c r="E693" s="98"/>
      <c r="F693" s="100">
        <v>689</v>
      </c>
      <c r="G693" s="101">
        <f t="shared" si="41"/>
        <v>0</v>
      </c>
      <c r="H693" s="101">
        <f t="shared" si="42"/>
        <v>0</v>
      </c>
      <c r="I693" s="101">
        <f t="shared" si="43"/>
        <v>0</v>
      </c>
      <c r="J693" s="101">
        <f t="shared" si="44"/>
        <v>0</v>
      </c>
    </row>
    <row r="694" spans="2:10" x14ac:dyDescent="0.2">
      <c r="B694" s="93"/>
      <c r="C694" s="97"/>
      <c r="D694" s="93"/>
      <c r="E694" s="98"/>
      <c r="F694" s="100">
        <v>690</v>
      </c>
      <c r="G694" s="101">
        <f t="shared" si="41"/>
        <v>0</v>
      </c>
      <c r="H694" s="101">
        <f t="shared" si="42"/>
        <v>0</v>
      </c>
      <c r="I694" s="101">
        <f t="shared" si="43"/>
        <v>0</v>
      </c>
      <c r="J694" s="101">
        <f t="shared" si="44"/>
        <v>0</v>
      </c>
    </row>
    <row r="695" spans="2:10" x14ac:dyDescent="0.2">
      <c r="B695" s="93"/>
      <c r="C695" s="97"/>
      <c r="D695" s="93"/>
      <c r="E695" s="98"/>
      <c r="F695" s="100">
        <v>691</v>
      </c>
      <c r="G695" s="101">
        <f t="shared" si="41"/>
        <v>0</v>
      </c>
      <c r="H695" s="101">
        <f t="shared" si="42"/>
        <v>0</v>
      </c>
      <c r="I695" s="101">
        <f t="shared" si="43"/>
        <v>0</v>
      </c>
      <c r="J695" s="101">
        <f t="shared" si="44"/>
        <v>0</v>
      </c>
    </row>
    <row r="696" spans="2:10" x14ac:dyDescent="0.2">
      <c r="B696" s="93"/>
      <c r="C696" s="97"/>
      <c r="D696" s="93"/>
      <c r="E696" s="98"/>
      <c r="F696" s="100">
        <v>692</v>
      </c>
      <c r="G696" s="101">
        <f t="shared" si="41"/>
        <v>0</v>
      </c>
      <c r="H696" s="101">
        <f t="shared" si="42"/>
        <v>0</v>
      </c>
      <c r="I696" s="101">
        <f t="shared" si="43"/>
        <v>0</v>
      </c>
      <c r="J696" s="101">
        <f t="shared" si="44"/>
        <v>0</v>
      </c>
    </row>
    <row r="697" spans="2:10" x14ac:dyDescent="0.2">
      <c r="B697" s="93"/>
      <c r="C697" s="97"/>
      <c r="D697" s="93"/>
      <c r="E697" s="98"/>
      <c r="F697" s="100">
        <v>693</v>
      </c>
      <c r="G697" s="101">
        <f t="shared" si="41"/>
        <v>0</v>
      </c>
      <c r="H697" s="101">
        <f t="shared" si="42"/>
        <v>0</v>
      </c>
      <c r="I697" s="101">
        <f t="shared" si="43"/>
        <v>0</v>
      </c>
      <c r="J697" s="101">
        <f t="shared" si="44"/>
        <v>0</v>
      </c>
    </row>
    <row r="698" spans="2:10" x14ac:dyDescent="0.2">
      <c r="B698" s="93"/>
      <c r="C698" s="97"/>
      <c r="D698" s="93"/>
      <c r="E698" s="98"/>
      <c r="F698" s="100">
        <v>694</v>
      </c>
      <c r="G698" s="101">
        <f t="shared" si="41"/>
        <v>0</v>
      </c>
      <c r="H698" s="101">
        <f t="shared" si="42"/>
        <v>0</v>
      </c>
      <c r="I698" s="101">
        <f t="shared" si="43"/>
        <v>0</v>
      </c>
      <c r="J698" s="101">
        <f t="shared" si="44"/>
        <v>0</v>
      </c>
    </row>
    <row r="699" spans="2:10" x14ac:dyDescent="0.2">
      <c r="B699" s="93"/>
      <c r="C699" s="97"/>
      <c r="D699" s="93"/>
      <c r="E699" s="98"/>
      <c r="F699" s="100">
        <v>695</v>
      </c>
      <c r="G699" s="101">
        <f t="shared" si="41"/>
        <v>0</v>
      </c>
      <c r="H699" s="101">
        <f t="shared" si="42"/>
        <v>0</v>
      </c>
      <c r="I699" s="101">
        <f t="shared" si="43"/>
        <v>0</v>
      </c>
      <c r="J699" s="101">
        <f t="shared" si="44"/>
        <v>0</v>
      </c>
    </row>
    <row r="700" spans="2:10" x14ac:dyDescent="0.2">
      <c r="B700" s="93"/>
      <c r="C700" s="97"/>
      <c r="D700" s="93"/>
      <c r="E700" s="98"/>
      <c r="F700" s="100">
        <v>696</v>
      </c>
      <c r="G700" s="101">
        <f t="shared" si="41"/>
        <v>0</v>
      </c>
      <c r="H700" s="101">
        <f t="shared" si="42"/>
        <v>0</v>
      </c>
      <c r="I700" s="101">
        <f t="shared" si="43"/>
        <v>0</v>
      </c>
      <c r="J700" s="101">
        <f t="shared" si="44"/>
        <v>0</v>
      </c>
    </row>
    <row r="701" spans="2:10" x14ac:dyDescent="0.2">
      <c r="B701" s="93"/>
      <c r="C701" s="97"/>
      <c r="D701" s="93"/>
      <c r="E701" s="98"/>
      <c r="F701" s="100">
        <v>697</v>
      </c>
      <c r="G701" s="101">
        <f t="shared" si="41"/>
        <v>0</v>
      </c>
      <c r="H701" s="101">
        <f t="shared" si="42"/>
        <v>0</v>
      </c>
      <c r="I701" s="101">
        <f t="shared" si="43"/>
        <v>0</v>
      </c>
      <c r="J701" s="101">
        <f t="shared" si="44"/>
        <v>0</v>
      </c>
    </row>
    <row r="702" spans="2:10" x14ac:dyDescent="0.2">
      <c r="B702" s="93"/>
      <c r="C702" s="97"/>
      <c r="D702" s="93"/>
      <c r="E702" s="98"/>
      <c r="F702" s="100">
        <v>698</v>
      </c>
      <c r="G702" s="101">
        <f t="shared" si="41"/>
        <v>0</v>
      </c>
      <c r="H702" s="101">
        <f t="shared" si="42"/>
        <v>0</v>
      </c>
      <c r="I702" s="101">
        <f t="shared" si="43"/>
        <v>0</v>
      </c>
      <c r="J702" s="101">
        <f t="shared" si="44"/>
        <v>0</v>
      </c>
    </row>
    <row r="703" spans="2:10" x14ac:dyDescent="0.2">
      <c r="B703" s="93"/>
      <c r="C703" s="97"/>
      <c r="D703" s="93"/>
      <c r="E703" s="98"/>
      <c r="F703" s="100">
        <v>699</v>
      </c>
      <c r="G703" s="101">
        <f t="shared" si="41"/>
        <v>0</v>
      </c>
      <c r="H703" s="101">
        <f t="shared" si="42"/>
        <v>0</v>
      </c>
      <c r="I703" s="101">
        <f t="shared" si="43"/>
        <v>0</v>
      </c>
      <c r="J703" s="101">
        <f t="shared" si="44"/>
        <v>0</v>
      </c>
    </row>
    <row r="704" spans="2:10" x14ac:dyDescent="0.2">
      <c r="B704" s="93"/>
      <c r="C704" s="97"/>
      <c r="D704" s="93"/>
      <c r="E704" s="98"/>
      <c r="F704" s="100">
        <v>700</v>
      </c>
      <c r="G704" s="101">
        <f t="shared" si="41"/>
        <v>0</v>
      </c>
      <c r="H704" s="101">
        <f t="shared" si="42"/>
        <v>0</v>
      </c>
      <c r="I704" s="101">
        <f t="shared" si="43"/>
        <v>0</v>
      </c>
      <c r="J704" s="101">
        <f t="shared" si="44"/>
        <v>0</v>
      </c>
    </row>
    <row r="705" spans="2:10" x14ac:dyDescent="0.2">
      <c r="B705" s="93"/>
      <c r="C705" s="97"/>
      <c r="D705" s="93"/>
      <c r="E705" s="98"/>
      <c r="F705" s="100">
        <v>701</v>
      </c>
      <c r="G705" s="101">
        <f t="shared" si="41"/>
        <v>0</v>
      </c>
      <c r="H705" s="101">
        <f t="shared" si="42"/>
        <v>0</v>
      </c>
      <c r="I705" s="101">
        <f t="shared" si="43"/>
        <v>0</v>
      </c>
      <c r="J705" s="101">
        <f t="shared" si="44"/>
        <v>0</v>
      </c>
    </row>
    <row r="706" spans="2:10" x14ac:dyDescent="0.2">
      <c r="B706" s="93"/>
      <c r="C706" s="97"/>
      <c r="D706" s="93"/>
      <c r="E706" s="98"/>
      <c r="F706" s="100">
        <v>702</v>
      </c>
      <c r="G706" s="101">
        <f t="shared" si="41"/>
        <v>0</v>
      </c>
      <c r="H706" s="101">
        <f t="shared" si="42"/>
        <v>0</v>
      </c>
      <c r="I706" s="101">
        <f t="shared" si="43"/>
        <v>0</v>
      </c>
      <c r="J706" s="101">
        <f t="shared" si="44"/>
        <v>0</v>
      </c>
    </row>
    <row r="707" spans="2:10" x14ac:dyDescent="0.2">
      <c r="B707" s="93"/>
      <c r="C707" s="97"/>
      <c r="D707" s="93"/>
      <c r="E707" s="98"/>
      <c r="F707" s="100">
        <v>703</v>
      </c>
      <c r="G707" s="101">
        <f t="shared" si="41"/>
        <v>0</v>
      </c>
      <c r="H707" s="101">
        <f t="shared" si="42"/>
        <v>0</v>
      </c>
      <c r="I707" s="101">
        <f t="shared" si="43"/>
        <v>0</v>
      </c>
      <c r="J707" s="101">
        <f t="shared" si="44"/>
        <v>0</v>
      </c>
    </row>
    <row r="708" spans="2:10" x14ac:dyDescent="0.2">
      <c r="B708" s="93"/>
      <c r="C708" s="97"/>
      <c r="D708" s="93"/>
      <c r="E708" s="98"/>
      <c r="F708" s="100">
        <v>704</v>
      </c>
      <c r="G708" s="101">
        <f t="shared" si="41"/>
        <v>0</v>
      </c>
      <c r="H708" s="101">
        <f t="shared" si="42"/>
        <v>0</v>
      </c>
      <c r="I708" s="101">
        <f t="shared" si="43"/>
        <v>0</v>
      </c>
      <c r="J708" s="101">
        <f t="shared" si="44"/>
        <v>0</v>
      </c>
    </row>
    <row r="709" spans="2:10" x14ac:dyDescent="0.2">
      <c r="B709" s="93"/>
      <c r="C709" s="97"/>
      <c r="D709" s="93"/>
      <c r="E709" s="98"/>
      <c r="F709" s="100">
        <v>705</v>
      </c>
      <c r="G709" s="101">
        <f t="shared" si="41"/>
        <v>0</v>
      </c>
      <c r="H709" s="101">
        <f t="shared" si="42"/>
        <v>0</v>
      </c>
      <c r="I709" s="101">
        <f t="shared" si="43"/>
        <v>0</v>
      </c>
      <c r="J709" s="101">
        <f t="shared" si="44"/>
        <v>0</v>
      </c>
    </row>
    <row r="710" spans="2:10" x14ac:dyDescent="0.2">
      <c r="B710" s="93"/>
      <c r="C710" s="97"/>
      <c r="D710" s="93"/>
      <c r="E710" s="98"/>
      <c r="F710" s="100">
        <v>706</v>
      </c>
      <c r="G710" s="101">
        <f t="shared" ref="G710:G773" si="45">B710</f>
        <v>0</v>
      </c>
      <c r="H710" s="101">
        <f t="shared" ref="H710:H773" si="46">C710</f>
        <v>0</v>
      </c>
      <c r="I710" s="101">
        <f t="shared" ref="I710:I773" si="47">D710</f>
        <v>0</v>
      </c>
      <c r="J710" s="101">
        <f t="shared" ref="J710:J773" si="48">E710</f>
        <v>0</v>
      </c>
    </row>
    <row r="711" spans="2:10" x14ac:dyDescent="0.2">
      <c r="B711" s="93"/>
      <c r="C711" s="97"/>
      <c r="D711" s="93"/>
      <c r="E711" s="98"/>
      <c r="F711" s="100">
        <v>707</v>
      </c>
      <c r="G711" s="101">
        <f t="shared" si="45"/>
        <v>0</v>
      </c>
      <c r="H711" s="101">
        <f t="shared" si="46"/>
        <v>0</v>
      </c>
      <c r="I711" s="101">
        <f t="shared" si="47"/>
        <v>0</v>
      </c>
      <c r="J711" s="101">
        <f t="shared" si="48"/>
        <v>0</v>
      </c>
    </row>
    <row r="712" spans="2:10" x14ac:dyDescent="0.2">
      <c r="B712" s="93"/>
      <c r="C712" s="97"/>
      <c r="D712" s="93"/>
      <c r="E712" s="98"/>
      <c r="F712" s="100">
        <v>708</v>
      </c>
      <c r="G712" s="101">
        <f t="shared" si="45"/>
        <v>0</v>
      </c>
      <c r="H712" s="101">
        <f t="shared" si="46"/>
        <v>0</v>
      </c>
      <c r="I712" s="101">
        <f t="shared" si="47"/>
        <v>0</v>
      </c>
      <c r="J712" s="101">
        <f t="shared" si="48"/>
        <v>0</v>
      </c>
    </row>
    <row r="713" spans="2:10" x14ac:dyDescent="0.2">
      <c r="B713" s="93"/>
      <c r="C713" s="97"/>
      <c r="D713" s="93"/>
      <c r="E713" s="98"/>
      <c r="F713" s="100">
        <v>709</v>
      </c>
      <c r="G713" s="101">
        <f t="shared" si="45"/>
        <v>0</v>
      </c>
      <c r="H713" s="101">
        <f t="shared" si="46"/>
        <v>0</v>
      </c>
      <c r="I713" s="101">
        <f t="shared" si="47"/>
        <v>0</v>
      </c>
      <c r="J713" s="101">
        <f t="shared" si="48"/>
        <v>0</v>
      </c>
    </row>
    <row r="714" spans="2:10" x14ac:dyDescent="0.2">
      <c r="B714" s="93"/>
      <c r="C714" s="97"/>
      <c r="D714" s="93"/>
      <c r="E714" s="98"/>
      <c r="F714" s="100">
        <v>710</v>
      </c>
      <c r="G714" s="101">
        <f t="shared" si="45"/>
        <v>0</v>
      </c>
      <c r="H714" s="101">
        <f t="shared" si="46"/>
        <v>0</v>
      </c>
      <c r="I714" s="101">
        <f t="shared" si="47"/>
        <v>0</v>
      </c>
      <c r="J714" s="101">
        <f t="shared" si="48"/>
        <v>0</v>
      </c>
    </row>
    <row r="715" spans="2:10" x14ac:dyDescent="0.2">
      <c r="B715" s="93"/>
      <c r="C715" s="97"/>
      <c r="D715" s="93"/>
      <c r="E715" s="98"/>
      <c r="F715" s="100">
        <v>711</v>
      </c>
      <c r="G715" s="101">
        <f t="shared" si="45"/>
        <v>0</v>
      </c>
      <c r="H715" s="101">
        <f t="shared" si="46"/>
        <v>0</v>
      </c>
      <c r="I715" s="101">
        <f t="shared" si="47"/>
        <v>0</v>
      </c>
      <c r="J715" s="101">
        <f t="shared" si="48"/>
        <v>0</v>
      </c>
    </row>
    <row r="716" spans="2:10" x14ac:dyDescent="0.2">
      <c r="B716" s="93"/>
      <c r="C716" s="97"/>
      <c r="D716" s="93"/>
      <c r="E716" s="98"/>
      <c r="F716" s="100">
        <v>712</v>
      </c>
      <c r="G716" s="101">
        <f t="shared" si="45"/>
        <v>0</v>
      </c>
      <c r="H716" s="101">
        <f t="shared" si="46"/>
        <v>0</v>
      </c>
      <c r="I716" s="101">
        <f t="shared" si="47"/>
        <v>0</v>
      </c>
      <c r="J716" s="101">
        <f t="shared" si="48"/>
        <v>0</v>
      </c>
    </row>
    <row r="717" spans="2:10" x14ac:dyDescent="0.2">
      <c r="B717" s="93"/>
      <c r="C717" s="97"/>
      <c r="D717" s="93"/>
      <c r="E717" s="98"/>
      <c r="F717" s="100">
        <v>713</v>
      </c>
      <c r="G717" s="101">
        <f t="shared" si="45"/>
        <v>0</v>
      </c>
      <c r="H717" s="101">
        <f t="shared" si="46"/>
        <v>0</v>
      </c>
      <c r="I717" s="101">
        <f t="shared" si="47"/>
        <v>0</v>
      </c>
      <c r="J717" s="101">
        <f t="shared" si="48"/>
        <v>0</v>
      </c>
    </row>
    <row r="718" spans="2:10" x14ac:dyDescent="0.2">
      <c r="B718" s="93"/>
      <c r="C718" s="97"/>
      <c r="D718" s="93"/>
      <c r="E718" s="98"/>
      <c r="F718" s="100">
        <v>714</v>
      </c>
      <c r="G718" s="101">
        <f t="shared" si="45"/>
        <v>0</v>
      </c>
      <c r="H718" s="101">
        <f t="shared" si="46"/>
        <v>0</v>
      </c>
      <c r="I718" s="101">
        <f t="shared" si="47"/>
        <v>0</v>
      </c>
      <c r="J718" s="101">
        <f t="shared" si="48"/>
        <v>0</v>
      </c>
    </row>
    <row r="719" spans="2:10" x14ac:dyDescent="0.2">
      <c r="B719" s="93"/>
      <c r="C719" s="97"/>
      <c r="D719" s="93"/>
      <c r="E719" s="98"/>
      <c r="F719" s="100">
        <v>715</v>
      </c>
      <c r="G719" s="101">
        <f t="shared" si="45"/>
        <v>0</v>
      </c>
      <c r="H719" s="101">
        <f t="shared" si="46"/>
        <v>0</v>
      </c>
      <c r="I719" s="101">
        <f t="shared" si="47"/>
        <v>0</v>
      </c>
      <c r="J719" s="101">
        <f t="shared" si="48"/>
        <v>0</v>
      </c>
    </row>
    <row r="720" spans="2:10" x14ac:dyDescent="0.2">
      <c r="B720" s="93"/>
      <c r="C720" s="97"/>
      <c r="D720" s="93"/>
      <c r="E720" s="98"/>
      <c r="F720" s="100">
        <v>716</v>
      </c>
      <c r="G720" s="101">
        <f t="shared" si="45"/>
        <v>0</v>
      </c>
      <c r="H720" s="101">
        <f t="shared" si="46"/>
        <v>0</v>
      </c>
      <c r="I720" s="101">
        <f t="shared" si="47"/>
        <v>0</v>
      </c>
      <c r="J720" s="101">
        <f t="shared" si="48"/>
        <v>0</v>
      </c>
    </row>
    <row r="721" spans="2:10" x14ac:dyDescent="0.2">
      <c r="B721" s="93"/>
      <c r="C721" s="97"/>
      <c r="D721" s="93"/>
      <c r="E721" s="98"/>
      <c r="F721" s="100">
        <v>717</v>
      </c>
      <c r="G721" s="101">
        <f t="shared" si="45"/>
        <v>0</v>
      </c>
      <c r="H721" s="101">
        <f t="shared" si="46"/>
        <v>0</v>
      </c>
      <c r="I721" s="101">
        <f t="shared" si="47"/>
        <v>0</v>
      </c>
      <c r="J721" s="101">
        <f t="shared" si="48"/>
        <v>0</v>
      </c>
    </row>
    <row r="722" spans="2:10" x14ac:dyDescent="0.2">
      <c r="B722" s="93"/>
      <c r="C722" s="97"/>
      <c r="D722" s="93"/>
      <c r="E722" s="98"/>
      <c r="F722" s="100">
        <v>718</v>
      </c>
      <c r="G722" s="101">
        <f t="shared" si="45"/>
        <v>0</v>
      </c>
      <c r="H722" s="101">
        <f t="shared" si="46"/>
        <v>0</v>
      </c>
      <c r="I722" s="101">
        <f t="shared" si="47"/>
        <v>0</v>
      </c>
      <c r="J722" s="101">
        <f t="shared" si="48"/>
        <v>0</v>
      </c>
    </row>
    <row r="723" spans="2:10" x14ac:dyDescent="0.2">
      <c r="B723" s="93"/>
      <c r="C723" s="97"/>
      <c r="D723" s="93"/>
      <c r="E723" s="98"/>
      <c r="F723" s="100">
        <v>719</v>
      </c>
      <c r="G723" s="101">
        <f t="shared" si="45"/>
        <v>0</v>
      </c>
      <c r="H723" s="101">
        <f t="shared" si="46"/>
        <v>0</v>
      </c>
      <c r="I723" s="101">
        <f t="shared" si="47"/>
        <v>0</v>
      </c>
      <c r="J723" s="101">
        <f t="shared" si="48"/>
        <v>0</v>
      </c>
    </row>
    <row r="724" spans="2:10" x14ac:dyDescent="0.2">
      <c r="B724" s="93"/>
      <c r="C724" s="97"/>
      <c r="D724" s="93"/>
      <c r="E724" s="98"/>
      <c r="F724" s="100">
        <v>720</v>
      </c>
      <c r="G724" s="101">
        <f t="shared" si="45"/>
        <v>0</v>
      </c>
      <c r="H724" s="101">
        <f t="shared" si="46"/>
        <v>0</v>
      </c>
      <c r="I724" s="101">
        <f t="shared" si="47"/>
        <v>0</v>
      </c>
      <c r="J724" s="101">
        <f t="shared" si="48"/>
        <v>0</v>
      </c>
    </row>
    <row r="725" spans="2:10" x14ac:dyDescent="0.2">
      <c r="B725" s="93"/>
      <c r="C725" s="97"/>
      <c r="D725" s="93"/>
      <c r="E725" s="98"/>
      <c r="F725" s="100">
        <v>721</v>
      </c>
      <c r="G725" s="101">
        <f t="shared" si="45"/>
        <v>0</v>
      </c>
      <c r="H725" s="101">
        <f t="shared" si="46"/>
        <v>0</v>
      </c>
      <c r="I725" s="101">
        <f t="shared" si="47"/>
        <v>0</v>
      </c>
      <c r="J725" s="101">
        <f t="shared" si="48"/>
        <v>0</v>
      </c>
    </row>
    <row r="726" spans="2:10" x14ac:dyDescent="0.2">
      <c r="B726" s="93"/>
      <c r="C726" s="97"/>
      <c r="D726" s="93"/>
      <c r="E726" s="98"/>
      <c r="F726" s="100">
        <v>722</v>
      </c>
      <c r="G726" s="101">
        <f t="shared" si="45"/>
        <v>0</v>
      </c>
      <c r="H726" s="101">
        <f t="shared" si="46"/>
        <v>0</v>
      </c>
      <c r="I726" s="101">
        <f t="shared" si="47"/>
        <v>0</v>
      </c>
      <c r="J726" s="101">
        <f t="shared" si="48"/>
        <v>0</v>
      </c>
    </row>
    <row r="727" spans="2:10" x14ac:dyDescent="0.2">
      <c r="B727" s="93"/>
      <c r="C727" s="97"/>
      <c r="D727" s="93"/>
      <c r="E727" s="98"/>
      <c r="F727" s="100">
        <v>723</v>
      </c>
      <c r="G727" s="101">
        <f t="shared" si="45"/>
        <v>0</v>
      </c>
      <c r="H727" s="101">
        <f t="shared" si="46"/>
        <v>0</v>
      </c>
      <c r="I727" s="101">
        <f t="shared" si="47"/>
        <v>0</v>
      </c>
      <c r="J727" s="101">
        <f t="shared" si="48"/>
        <v>0</v>
      </c>
    </row>
    <row r="728" spans="2:10" x14ac:dyDescent="0.2">
      <c r="B728" s="93"/>
      <c r="C728" s="97"/>
      <c r="D728" s="93"/>
      <c r="E728" s="98"/>
      <c r="F728" s="100">
        <v>724</v>
      </c>
      <c r="G728" s="101">
        <f t="shared" si="45"/>
        <v>0</v>
      </c>
      <c r="H728" s="101">
        <f t="shared" si="46"/>
        <v>0</v>
      </c>
      <c r="I728" s="101">
        <f t="shared" si="47"/>
        <v>0</v>
      </c>
      <c r="J728" s="101">
        <f t="shared" si="48"/>
        <v>0</v>
      </c>
    </row>
    <row r="729" spans="2:10" x14ac:dyDescent="0.2">
      <c r="B729" s="93"/>
      <c r="C729" s="97"/>
      <c r="D729" s="93"/>
      <c r="E729" s="98"/>
      <c r="F729" s="100">
        <v>725</v>
      </c>
      <c r="G729" s="101">
        <f t="shared" si="45"/>
        <v>0</v>
      </c>
      <c r="H729" s="101">
        <f t="shared" si="46"/>
        <v>0</v>
      </c>
      <c r="I729" s="101">
        <f t="shared" si="47"/>
        <v>0</v>
      </c>
      <c r="J729" s="101">
        <f t="shared" si="48"/>
        <v>0</v>
      </c>
    </row>
    <row r="730" spans="2:10" x14ac:dyDescent="0.2">
      <c r="B730" s="93"/>
      <c r="C730" s="97"/>
      <c r="D730" s="93"/>
      <c r="E730" s="98"/>
      <c r="F730" s="100">
        <v>726</v>
      </c>
      <c r="G730" s="101">
        <f t="shared" si="45"/>
        <v>0</v>
      </c>
      <c r="H730" s="101">
        <f t="shared" si="46"/>
        <v>0</v>
      </c>
      <c r="I730" s="101">
        <f t="shared" si="47"/>
        <v>0</v>
      </c>
      <c r="J730" s="101">
        <f t="shared" si="48"/>
        <v>0</v>
      </c>
    </row>
    <row r="731" spans="2:10" x14ac:dyDescent="0.2">
      <c r="B731" s="93"/>
      <c r="C731" s="97"/>
      <c r="D731" s="93"/>
      <c r="E731" s="98"/>
      <c r="F731" s="100">
        <v>727</v>
      </c>
      <c r="G731" s="101">
        <f t="shared" si="45"/>
        <v>0</v>
      </c>
      <c r="H731" s="101">
        <f t="shared" si="46"/>
        <v>0</v>
      </c>
      <c r="I731" s="101">
        <f t="shared" si="47"/>
        <v>0</v>
      </c>
      <c r="J731" s="101">
        <f t="shared" si="48"/>
        <v>0</v>
      </c>
    </row>
    <row r="732" spans="2:10" x14ac:dyDescent="0.2">
      <c r="B732" s="93"/>
      <c r="C732" s="97"/>
      <c r="D732" s="93"/>
      <c r="E732" s="98"/>
      <c r="F732" s="100">
        <v>728</v>
      </c>
      <c r="G732" s="101">
        <f t="shared" si="45"/>
        <v>0</v>
      </c>
      <c r="H732" s="101">
        <f t="shared" si="46"/>
        <v>0</v>
      </c>
      <c r="I732" s="101">
        <f t="shared" si="47"/>
        <v>0</v>
      </c>
      <c r="J732" s="101">
        <f t="shared" si="48"/>
        <v>0</v>
      </c>
    </row>
    <row r="733" spans="2:10" x14ac:dyDescent="0.2">
      <c r="B733" s="93"/>
      <c r="C733" s="97"/>
      <c r="D733" s="93"/>
      <c r="E733" s="98"/>
      <c r="F733" s="100">
        <v>729</v>
      </c>
      <c r="G733" s="101">
        <f t="shared" si="45"/>
        <v>0</v>
      </c>
      <c r="H733" s="101">
        <f t="shared" si="46"/>
        <v>0</v>
      </c>
      <c r="I733" s="101">
        <f t="shared" si="47"/>
        <v>0</v>
      </c>
      <c r="J733" s="101">
        <f t="shared" si="48"/>
        <v>0</v>
      </c>
    </row>
    <row r="734" spans="2:10" x14ac:dyDescent="0.2">
      <c r="B734" s="93"/>
      <c r="C734" s="97"/>
      <c r="D734" s="93"/>
      <c r="E734" s="98"/>
      <c r="F734" s="100">
        <v>730</v>
      </c>
      <c r="G734" s="101">
        <f t="shared" si="45"/>
        <v>0</v>
      </c>
      <c r="H734" s="101">
        <f t="shared" si="46"/>
        <v>0</v>
      </c>
      <c r="I734" s="101">
        <f t="shared" si="47"/>
        <v>0</v>
      </c>
      <c r="J734" s="101">
        <f t="shared" si="48"/>
        <v>0</v>
      </c>
    </row>
    <row r="735" spans="2:10" x14ac:dyDescent="0.2">
      <c r="B735" s="93"/>
      <c r="C735" s="97"/>
      <c r="D735" s="93"/>
      <c r="E735" s="98"/>
      <c r="F735" s="100">
        <v>731</v>
      </c>
      <c r="G735" s="101">
        <f t="shared" si="45"/>
        <v>0</v>
      </c>
      <c r="H735" s="101">
        <f t="shared" si="46"/>
        <v>0</v>
      </c>
      <c r="I735" s="101">
        <f t="shared" si="47"/>
        <v>0</v>
      </c>
      <c r="J735" s="101">
        <f t="shared" si="48"/>
        <v>0</v>
      </c>
    </row>
    <row r="736" spans="2:10" x14ac:dyDescent="0.2">
      <c r="B736" s="93"/>
      <c r="C736" s="97"/>
      <c r="D736" s="93"/>
      <c r="E736" s="98"/>
      <c r="F736" s="100">
        <v>732</v>
      </c>
      <c r="G736" s="101">
        <f t="shared" si="45"/>
        <v>0</v>
      </c>
      <c r="H736" s="101">
        <f t="shared" si="46"/>
        <v>0</v>
      </c>
      <c r="I736" s="101">
        <f t="shared" si="47"/>
        <v>0</v>
      </c>
      <c r="J736" s="101">
        <f t="shared" si="48"/>
        <v>0</v>
      </c>
    </row>
    <row r="737" spans="2:10" x14ac:dyDescent="0.2">
      <c r="B737" s="93"/>
      <c r="C737" s="97"/>
      <c r="D737" s="93"/>
      <c r="E737" s="98"/>
      <c r="F737" s="100">
        <v>733</v>
      </c>
      <c r="G737" s="101">
        <f t="shared" si="45"/>
        <v>0</v>
      </c>
      <c r="H737" s="101">
        <f t="shared" si="46"/>
        <v>0</v>
      </c>
      <c r="I737" s="101">
        <f t="shared" si="47"/>
        <v>0</v>
      </c>
      <c r="J737" s="101">
        <f t="shared" si="48"/>
        <v>0</v>
      </c>
    </row>
    <row r="738" spans="2:10" x14ac:dyDescent="0.2">
      <c r="B738" s="93"/>
      <c r="C738" s="97"/>
      <c r="D738" s="93"/>
      <c r="E738" s="98"/>
      <c r="F738" s="100">
        <v>734</v>
      </c>
      <c r="G738" s="101">
        <f t="shared" si="45"/>
        <v>0</v>
      </c>
      <c r="H738" s="101">
        <f t="shared" si="46"/>
        <v>0</v>
      </c>
      <c r="I738" s="101">
        <f t="shared" si="47"/>
        <v>0</v>
      </c>
      <c r="J738" s="101">
        <f t="shared" si="48"/>
        <v>0</v>
      </c>
    </row>
    <row r="739" spans="2:10" x14ac:dyDescent="0.2">
      <c r="B739" s="93"/>
      <c r="C739" s="97"/>
      <c r="D739" s="93"/>
      <c r="E739" s="98"/>
      <c r="F739" s="100">
        <v>735</v>
      </c>
      <c r="G739" s="101">
        <f t="shared" si="45"/>
        <v>0</v>
      </c>
      <c r="H739" s="101">
        <f t="shared" si="46"/>
        <v>0</v>
      </c>
      <c r="I739" s="101">
        <f t="shared" si="47"/>
        <v>0</v>
      </c>
      <c r="J739" s="101">
        <f t="shared" si="48"/>
        <v>0</v>
      </c>
    </row>
    <row r="740" spans="2:10" x14ac:dyDescent="0.2">
      <c r="B740" s="93"/>
      <c r="C740" s="97"/>
      <c r="D740" s="93"/>
      <c r="E740" s="98"/>
      <c r="F740" s="100">
        <v>736</v>
      </c>
      <c r="G740" s="101">
        <f t="shared" si="45"/>
        <v>0</v>
      </c>
      <c r="H740" s="101">
        <f t="shared" si="46"/>
        <v>0</v>
      </c>
      <c r="I740" s="101">
        <f t="shared" si="47"/>
        <v>0</v>
      </c>
      <c r="J740" s="101">
        <f t="shared" si="48"/>
        <v>0</v>
      </c>
    </row>
    <row r="741" spans="2:10" x14ac:dyDescent="0.2">
      <c r="B741" s="93"/>
      <c r="C741" s="97"/>
      <c r="D741" s="93"/>
      <c r="E741" s="98"/>
      <c r="F741" s="100">
        <v>737</v>
      </c>
      <c r="G741" s="101">
        <f t="shared" si="45"/>
        <v>0</v>
      </c>
      <c r="H741" s="101">
        <f t="shared" si="46"/>
        <v>0</v>
      </c>
      <c r="I741" s="101">
        <f t="shared" si="47"/>
        <v>0</v>
      </c>
      <c r="J741" s="101">
        <f t="shared" si="48"/>
        <v>0</v>
      </c>
    </row>
    <row r="742" spans="2:10" x14ac:dyDescent="0.2">
      <c r="B742" s="93"/>
      <c r="C742" s="97"/>
      <c r="D742" s="93"/>
      <c r="E742" s="98"/>
      <c r="F742" s="100">
        <v>738</v>
      </c>
      <c r="G742" s="101">
        <f t="shared" si="45"/>
        <v>0</v>
      </c>
      <c r="H742" s="101">
        <f t="shared" si="46"/>
        <v>0</v>
      </c>
      <c r="I742" s="101">
        <f t="shared" si="47"/>
        <v>0</v>
      </c>
      <c r="J742" s="101">
        <f t="shared" si="48"/>
        <v>0</v>
      </c>
    </row>
    <row r="743" spans="2:10" x14ac:dyDescent="0.2">
      <c r="B743" s="93"/>
      <c r="C743" s="97"/>
      <c r="D743" s="93"/>
      <c r="E743" s="98"/>
      <c r="F743" s="100">
        <v>739</v>
      </c>
      <c r="G743" s="101">
        <f t="shared" si="45"/>
        <v>0</v>
      </c>
      <c r="H743" s="101">
        <f t="shared" si="46"/>
        <v>0</v>
      </c>
      <c r="I743" s="101">
        <f t="shared" si="47"/>
        <v>0</v>
      </c>
      <c r="J743" s="101">
        <f t="shared" si="48"/>
        <v>0</v>
      </c>
    </row>
    <row r="744" spans="2:10" x14ac:dyDescent="0.2">
      <c r="B744" s="93"/>
      <c r="C744" s="97"/>
      <c r="D744" s="93"/>
      <c r="E744" s="98"/>
      <c r="F744" s="100">
        <v>740</v>
      </c>
      <c r="G744" s="101">
        <f t="shared" si="45"/>
        <v>0</v>
      </c>
      <c r="H744" s="101">
        <f t="shared" si="46"/>
        <v>0</v>
      </c>
      <c r="I744" s="101">
        <f t="shared" si="47"/>
        <v>0</v>
      </c>
      <c r="J744" s="101">
        <f t="shared" si="48"/>
        <v>0</v>
      </c>
    </row>
    <row r="745" spans="2:10" x14ac:dyDescent="0.2">
      <c r="B745" s="93"/>
      <c r="C745" s="97"/>
      <c r="D745" s="93"/>
      <c r="E745" s="98"/>
      <c r="F745" s="100">
        <v>741</v>
      </c>
      <c r="G745" s="101">
        <f t="shared" si="45"/>
        <v>0</v>
      </c>
      <c r="H745" s="101">
        <f t="shared" si="46"/>
        <v>0</v>
      </c>
      <c r="I745" s="101">
        <f t="shared" si="47"/>
        <v>0</v>
      </c>
      <c r="J745" s="101">
        <f t="shared" si="48"/>
        <v>0</v>
      </c>
    </row>
    <row r="746" spans="2:10" x14ac:dyDescent="0.2">
      <c r="B746" s="93"/>
      <c r="C746" s="97"/>
      <c r="D746" s="93"/>
      <c r="E746" s="98"/>
      <c r="F746" s="100">
        <v>742</v>
      </c>
      <c r="G746" s="101">
        <f t="shared" si="45"/>
        <v>0</v>
      </c>
      <c r="H746" s="101">
        <f t="shared" si="46"/>
        <v>0</v>
      </c>
      <c r="I746" s="101">
        <f t="shared" si="47"/>
        <v>0</v>
      </c>
      <c r="J746" s="101">
        <f t="shared" si="48"/>
        <v>0</v>
      </c>
    </row>
    <row r="747" spans="2:10" x14ac:dyDescent="0.2">
      <c r="B747" s="93"/>
      <c r="C747" s="97"/>
      <c r="D747" s="93"/>
      <c r="E747" s="98"/>
      <c r="F747" s="100">
        <v>743</v>
      </c>
      <c r="G747" s="101">
        <f t="shared" si="45"/>
        <v>0</v>
      </c>
      <c r="H747" s="101">
        <f t="shared" si="46"/>
        <v>0</v>
      </c>
      <c r="I747" s="101">
        <f t="shared" si="47"/>
        <v>0</v>
      </c>
      <c r="J747" s="101">
        <f t="shared" si="48"/>
        <v>0</v>
      </c>
    </row>
    <row r="748" spans="2:10" x14ac:dyDescent="0.2">
      <c r="B748" s="93"/>
      <c r="C748" s="97"/>
      <c r="D748" s="93"/>
      <c r="E748" s="98"/>
      <c r="F748" s="100">
        <v>744</v>
      </c>
      <c r="G748" s="101">
        <f t="shared" si="45"/>
        <v>0</v>
      </c>
      <c r="H748" s="101">
        <f t="shared" si="46"/>
        <v>0</v>
      </c>
      <c r="I748" s="101">
        <f t="shared" si="47"/>
        <v>0</v>
      </c>
      <c r="J748" s="101">
        <f t="shared" si="48"/>
        <v>0</v>
      </c>
    </row>
    <row r="749" spans="2:10" x14ac:dyDescent="0.2">
      <c r="B749" s="93"/>
      <c r="C749" s="97"/>
      <c r="D749" s="93"/>
      <c r="E749" s="98"/>
      <c r="F749" s="100">
        <v>745</v>
      </c>
      <c r="G749" s="101">
        <f t="shared" si="45"/>
        <v>0</v>
      </c>
      <c r="H749" s="101">
        <f t="shared" si="46"/>
        <v>0</v>
      </c>
      <c r="I749" s="101">
        <f t="shared" si="47"/>
        <v>0</v>
      </c>
      <c r="J749" s="101">
        <f t="shared" si="48"/>
        <v>0</v>
      </c>
    </row>
    <row r="750" spans="2:10" x14ac:dyDescent="0.2">
      <c r="B750" s="93"/>
      <c r="C750" s="97"/>
      <c r="D750" s="93"/>
      <c r="E750" s="98"/>
      <c r="F750" s="100">
        <v>746</v>
      </c>
      <c r="G750" s="101">
        <f t="shared" si="45"/>
        <v>0</v>
      </c>
      <c r="H750" s="101">
        <f t="shared" si="46"/>
        <v>0</v>
      </c>
      <c r="I750" s="101">
        <f t="shared" si="47"/>
        <v>0</v>
      </c>
      <c r="J750" s="101">
        <f t="shared" si="48"/>
        <v>0</v>
      </c>
    </row>
    <row r="751" spans="2:10" x14ac:dyDescent="0.2">
      <c r="B751" s="93"/>
      <c r="C751" s="97"/>
      <c r="D751" s="93"/>
      <c r="E751" s="98"/>
      <c r="F751" s="100">
        <v>747</v>
      </c>
      <c r="G751" s="101">
        <f t="shared" si="45"/>
        <v>0</v>
      </c>
      <c r="H751" s="101">
        <f t="shared" si="46"/>
        <v>0</v>
      </c>
      <c r="I751" s="101">
        <f t="shared" si="47"/>
        <v>0</v>
      </c>
      <c r="J751" s="101">
        <f t="shared" si="48"/>
        <v>0</v>
      </c>
    </row>
    <row r="752" spans="2:10" x14ac:dyDescent="0.2">
      <c r="B752" s="93"/>
      <c r="C752" s="97"/>
      <c r="D752" s="93"/>
      <c r="E752" s="98"/>
      <c r="F752" s="100">
        <v>748</v>
      </c>
      <c r="G752" s="101">
        <f t="shared" si="45"/>
        <v>0</v>
      </c>
      <c r="H752" s="101">
        <f t="shared" si="46"/>
        <v>0</v>
      </c>
      <c r="I752" s="101">
        <f t="shared" si="47"/>
        <v>0</v>
      </c>
      <c r="J752" s="101">
        <f t="shared" si="48"/>
        <v>0</v>
      </c>
    </row>
    <row r="753" spans="2:10" x14ac:dyDescent="0.2">
      <c r="B753" s="93"/>
      <c r="C753" s="97"/>
      <c r="D753" s="93"/>
      <c r="E753" s="98"/>
      <c r="F753" s="100">
        <v>749</v>
      </c>
      <c r="G753" s="101">
        <f t="shared" si="45"/>
        <v>0</v>
      </c>
      <c r="H753" s="101">
        <f t="shared" si="46"/>
        <v>0</v>
      </c>
      <c r="I753" s="101">
        <f t="shared" si="47"/>
        <v>0</v>
      </c>
      <c r="J753" s="101">
        <f t="shared" si="48"/>
        <v>0</v>
      </c>
    </row>
    <row r="754" spans="2:10" x14ac:dyDescent="0.2">
      <c r="B754" s="93"/>
      <c r="C754" s="97"/>
      <c r="D754" s="93"/>
      <c r="E754" s="98"/>
      <c r="F754" s="100">
        <v>750</v>
      </c>
      <c r="G754" s="101">
        <f t="shared" si="45"/>
        <v>0</v>
      </c>
      <c r="H754" s="101">
        <f t="shared" si="46"/>
        <v>0</v>
      </c>
      <c r="I754" s="101">
        <f t="shared" si="47"/>
        <v>0</v>
      </c>
      <c r="J754" s="101">
        <f t="shared" si="48"/>
        <v>0</v>
      </c>
    </row>
    <row r="755" spans="2:10" x14ac:dyDescent="0.2">
      <c r="B755" s="93"/>
      <c r="C755" s="97"/>
      <c r="D755" s="93"/>
      <c r="E755" s="98"/>
      <c r="F755" s="100">
        <v>751</v>
      </c>
      <c r="G755" s="101">
        <f t="shared" si="45"/>
        <v>0</v>
      </c>
      <c r="H755" s="101">
        <f t="shared" si="46"/>
        <v>0</v>
      </c>
      <c r="I755" s="101">
        <f t="shared" si="47"/>
        <v>0</v>
      </c>
      <c r="J755" s="101">
        <f t="shared" si="48"/>
        <v>0</v>
      </c>
    </row>
    <row r="756" spans="2:10" x14ac:dyDescent="0.2">
      <c r="B756" s="93"/>
      <c r="C756" s="97"/>
      <c r="D756" s="93"/>
      <c r="E756" s="98"/>
      <c r="F756" s="100">
        <v>752</v>
      </c>
      <c r="G756" s="101">
        <f t="shared" si="45"/>
        <v>0</v>
      </c>
      <c r="H756" s="101">
        <f t="shared" si="46"/>
        <v>0</v>
      </c>
      <c r="I756" s="101">
        <f t="shared" si="47"/>
        <v>0</v>
      </c>
      <c r="J756" s="101">
        <f t="shared" si="48"/>
        <v>0</v>
      </c>
    </row>
    <row r="757" spans="2:10" x14ac:dyDescent="0.2">
      <c r="B757" s="93"/>
      <c r="C757" s="97"/>
      <c r="D757" s="93"/>
      <c r="E757" s="98"/>
      <c r="F757" s="100">
        <v>753</v>
      </c>
      <c r="G757" s="101">
        <f t="shared" si="45"/>
        <v>0</v>
      </c>
      <c r="H757" s="101">
        <f t="shared" si="46"/>
        <v>0</v>
      </c>
      <c r="I757" s="101">
        <f t="shared" si="47"/>
        <v>0</v>
      </c>
      <c r="J757" s="101">
        <f t="shared" si="48"/>
        <v>0</v>
      </c>
    </row>
    <row r="758" spans="2:10" x14ac:dyDescent="0.2">
      <c r="B758" s="93"/>
      <c r="C758" s="97"/>
      <c r="D758" s="93"/>
      <c r="E758" s="98"/>
      <c r="F758" s="100">
        <v>754</v>
      </c>
      <c r="G758" s="101">
        <f t="shared" si="45"/>
        <v>0</v>
      </c>
      <c r="H758" s="101">
        <f t="shared" si="46"/>
        <v>0</v>
      </c>
      <c r="I758" s="101">
        <f t="shared" si="47"/>
        <v>0</v>
      </c>
      <c r="J758" s="101">
        <f t="shared" si="48"/>
        <v>0</v>
      </c>
    </row>
    <row r="759" spans="2:10" x14ac:dyDescent="0.2">
      <c r="B759" s="93"/>
      <c r="C759" s="97"/>
      <c r="D759" s="93"/>
      <c r="E759" s="98"/>
      <c r="F759" s="100">
        <v>755</v>
      </c>
      <c r="G759" s="101">
        <f t="shared" si="45"/>
        <v>0</v>
      </c>
      <c r="H759" s="101">
        <f t="shared" si="46"/>
        <v>0</v>
      </c>
      <c r="I759" s="101">
        <f t="shared" si="47"/>
        <v>0</v>
      </c>
      <c r="J759" s="101">
        <f t="shared" si="48"/>
        <v>0</v>
      </c>
    </row>
    <row r="760" spans="2:10" x14ac:dyDescent="0.2">
      <c r="B760" s="93"/>
      <c r="C760" s="97"/>
      <c r="D760" s="93"/>
      <c r="E760" s="98"/>
      <c r="F760" s="100">
        <v>756</v>
      </c>
      <c r="G760" s="101">
        <f t="shared" si="45"/>
        <v>0</v>
      </c>
      <c r="H760" s="101">
        <f t="shared" si="46"/>
        <v>0</v>
      </c>
      <c r="I760" s="101">
        <f t="shared" si="47"/>
        <v>0</v>
      </c>
      <c r="J760" s="101">
        <f t="shared" si="48"/>
        <v>0</v>
      </c>
    </row>
    <row r="761" spans="2:10" x14ac:dyDescent="0.2">
      <c r="B761" s="93"/>
      <c r="C761" s="97"/>
      <c r="D761" s="93"/>
      <c r="E761" s="98"/>
      <c r="F761" s="100">
        <v>757</v>
      </c>
      <c r="G761" s="101">
        <f t="shared" si="45"/>
        <v>0</v>
      </c>
      <c r="H761" s="101">
        <f t="shared" si="46"/>
        <v>0</v>
      </c>
      <c r="I761" s="101">
        <f t="shared" si="47"/>
        <v>0</v>
      </c>
      <c r="J761" s="101">
        <f t="shared" si="48"/>
        <v>0</v>
      </c>
    </row>
    <row r="762" spans="2:10" x14ac:dyDescent="0.2">
      <c r="B762" s="93"/>
      <c r="C762" s="97"/>
      <c r="D762" s="93"/>
      <c r="E762" s="98"/>
      <c r="F762" s="100">
        <v>758</v>
      </c>
      <c r="G762" s="101">
        <f t="shared" si="45"/>
        <v>0</v>
      </c>
      <c r="H762" s="101">
        <f t="shared" si="46"/>
        <v>0</v>
      </c>
      <c r="I762" s="101">
        <f t="shared" si="47"/>
        <v>0</v>
      </c>
      <c r="J762" s="101">
        <f t="shared" si="48"/>
        <v>0</v>
      </c>
    </row>
    <row r="763" spans="2:10" x14ac:dyDescent="0.2">
      <c r="B763" s="93"/>
      <c r="C763" s="97"/>
      <c r="D763" s="93"/>
      <c r="E763" s="98"/>
      <c r="F763" s="100">
        <v>759</v>
      </c>
      <c r="G763" s="101">
        <f t="shared" si="45"/>
        <v>0</v>
      </c>
      <c r="H763" s="101">
        <f t="shared" si="46"/>
        <v>0</v>
      </c>
      <c r="I763" s="101">
        <f t="shared" si="47"/>
        <v>0</v>
      </c>
      <c r="J763" s="101">
        <f t="shared" si="48"/>
        <v>0</v>
      </c>
    </row>
    <row r="764" spans="2:10" x14ac:dyDescent="0.2">
      <c r="B764" s="93"/>
      <c r="C764" s="97"/>
      <c r="D764" s="93"/>
      <c r="E764" s="98"/>
      <c r="F764" s="100">
        <v>760</v>
      </c>
      <c r="G764" s="101">
        <f t="shared" si="45"/>
        <v>0</v>
      </c>
      <c r="H764" s="101">
        <f t="shared" si="46"/>
        <v>0</v>
      </c>
      <c r="I764" s="101">
        <f t="shared" si="47"/>
        <v>0</v>
      </c>
      <c r="J764" s="101">
        <f t="shared" si="48"/>
        <v>0</v>
      </c>
    </row>
    <row r="765" spans="2:10" x14ac:dyDescent="0.2">
      <c r="B765" s="93"/>
      <c r="C765" s="97"/>
      <c r="D765" s="93"/>
      <c r="E765" s="98"/>
      <c r="F765" s="100">
        <v>761</v>
      </c>
      <c r="G765" s="101">
        <f t="shared" si="45"/>
        <v>0</v>
      </c>
      <c r="H765" s="101">
        <f t="shared" si="46"/>
        <v>0</v>
      </c>
      <c r="I765" s="101">
        <f t="shared" si="47"/>
        <v>0</v>
      </c>
      <c r="J765" s="101">
        <f t="shared" si="48"/>
        <v>0</v>
      </c>
    </row>
    <row r="766" spans="2:10" x14ac:dyDescent="0.2">
      <c r="B766" s="93"/>
      <c r="C766" s="97"/>
      <c r="D766" s="93"/>
      <c r="E766" s="98"/>
      <c r="F766" s="100">
        <v>762</v>
      </c>
      <c r="G766" s="101">
        <f t="shared" si="45"/>
        <v>0</v>
      </c>
      <c r="H766" s="101">
        <f t="shared" si="46"/>
        <v>0</v>
      </c>
      <c r="I766" s="101">
        <f t="shared" si="47"/>
        <v>0</v>
      </c>
      <c r="J766" s="101">
        <f t="shared" si="48"/>
        <v>0</v>
      </c>
    </row>
    <row r="767" spans="2:10" x14ac:dyDescent="0.2">
      <c r="B767" s="93"/>
      <c r="C767" s="97"/>
      <c r="D767" s="93"/>
      <c r="E767" s="98"/>
      <c r="F767" s="100">
        <v>763</v>
      </c>
      <c r="G767" s="101">
        <f t="shared" si="45"/>
        <v>0</v>
      </c>
      <c r="H767" s="101">
        <f t="shared" si="46"/>
        <v>0</v>
      </c>
      <c r="I767" s="101">
        <f t="shared" si="47"/>
        <v>0</v>
      </c>
      <c r="J767" s="101">
        <f t="shared" si="48"/>
        <v>0</v>
      </c>
    </row>
    <row r="768" spans="2:10" x14ac:dyDescent="0.2">
      <c r="B768" s="93"/>
      <c r="C768" s="97"/>
      <c r="D768" s="93"/>
      <c r="E768" s="98"/>
      <c r="F768" s="100">
        <v>764</v>
      </c>
      <c r="G768" s="101">
        <f t="shared" si="45"/>
        <v>0</v>
      </c>
      <c r="H768" s="101">
        <f t="shared" si="46"/>
        <v>0</v>
      </c>
      <c r="I768" s="101">
        <f t="shared" si="47"/>
        <v>0</v>
      </c>
      <c r="J768" s="101">
        <f t="shared" si="48"/>
        <v>0</v>
      </c>
    </row>
    <row r="769" spans="2:10" x14ac:dyDescent="0.2">
      <c r="B769" s="93"/>
      <c r="C769" s="97"/>
      <c r="D769" s="93"/>
      <c r="E769" s="98"/>
      <c r="F769" s="100">
        <v>765</v>
      </c>
      <c r="G769" s="101">
        <f t="shared" si="45"/>
        <v>0</v>
      </c>
      <c r="H769" s="101">
        <f t="shared" si="46"/>
        <v>0</v>
      </c>
      <c r="I769" s="101">
        <f t="shared" si="47"/>
        <v>0</v>
      </c>
      <c r="J769" s="101">
        <f t="shared" si="48"/>
        <v>0</v>
      </c>
    </row>
    <row r="770" spans="2:10" x14ac:dyDescent="0.2">
      <c r="B770" s="93"/>
      <c r="C770" s="97"/>
      <c r="D770" s="93"/>
      <c r="E770" s="98"/>
      <c r="F770" s="100">
        <v>766</v>
      </c>
      <c r="G770" s="101">
        <f t="shared" si="45"/>
        <v>0</v>
      </c>
      <c r="H770" s="101">
        <f t="shared" si="46"/>
        <v>0</v>
      </c>
      <c r="I770" s="101">
        <f t="shared" si="47"/>
        <v>0</v>
      </c>
      <c r="J770" s="101">
        <f t="shared" si="48"/>
        <v>0</v>
      </c>
    </row>
    <row r="771" spans="2:10" x14ac:dyDescent="0.2">
      <c r="B771" s="93"/>
      <c r="C771" s="97"/>
      <c r="D771" s="93"/>
      <c r="E771" s="98"/>
      <c r="F771" s="100">
        <v>767</v>
      </c>
      <c r="G771" s="101">
        <f t="shared" si="45"/>
        <v>0</v>
      </c>
      <c r="H771" s="101">
        <f t="shared" si="46"/>
        <v>0</v>
      </c>
      <c r="I771" s="101">
        <f t="shared" si="47"/>
        <v>0</v>
      </c>
      <c r="J771" s="101">
        <f t="shared" si="48"/>
        <v>0</v>
      </c>
    </row>
    <row r="772" spans="2:10" x14ac:dyDescent="0.2">
      <c r="B772" s="93"/>
      <c r="C772" s="97"/>
      <c r="D772" s="93"/>
      <c r="E772" s="98"/>
      <c r="F772" s="100">
        <v>768</v>
      </c>
      <c r="G772" s="101">
        <f t="shared" si="45"/>
        <v>0</v>
      </c>
      <c r="H772" s="101">
        <f t="shared" si="46"/>
        <v>0</v>
      </c>
      <c r="I772" s="101">
        <f t="shared" si="47"/>
        <v>0</v>
      </c>
      <c r="J772" s="101">
        <f t="shared" si="48"/>
        <v>0</v>
      </c>
    </row>
    <row r="773" spans="2:10" x14ac:dyDescent="0.2">
      <c r="B773" s="93"/>
      <c r="C773" s="97"/>
      <c r="D773" s="93"/>
      <c r="E773" s="98"/>
      <c r="F773" s="100">
        <v>769</v>
      </c>
      <c r="G773" s="101">
        <f t="shared" si="45"/>
        <v>0</v>
      </c>
      <c r="H773" s="101">
        <f t="shared" si="46"/>
        <v>0</v>
      </c>
      <c r="I773" s="101">
        <f t="shared" si="47"/>
        <v>0</v>
      </c>
      <c r="J773" s="101">
        <f t="shared" si="48"/>
        <v>0</v>
      </c>
    </row>
    <row r="774" spans="2:10" x14ac:dyDescent="0.2">
      <c r="B774" s="93"/>
      <c r="C774" s="97"/>
      <c r="D774" s="93"/>
      <c r="E774" s="98"/>
      <c r="F774" s="100">
        <v>770</v>
      </c>
      <c r="G774" s="101">
        <f t="shared" ref="G774:G837" si="49">B774</f>
        <v>0</v>
      </c>
      <c r="H774" s="101">
        <f t="shared" ref="H774:H837" si="50">C774</f>
        <v>0</v>
      </c>
      <c r="I774" s="101">
        <f t="shared" ref="I774:I837" si="51">D774</f>
        <v>0</v>
      </c>
      <c r="J774" s="101">
        <f t="shared" ref="J774:J837" si="52">E774</f>
        <v>0</v>
      </c>
    </row>
    <row r="775" spans="2:10" x14ac:dyDescent="0.2">
      <c r="B775" s="93"/>
      <c r="C775" s="97"/>
      <c r="D775" s="93"/>
      <c r="E775" s="98"/>
      <c r="F775" s="100">
        <v>771</v>
      </c>
      <c r="G775" s="101">
        <f t="shared" si="49"/>
        <v>0</v>
      </c>
      <c r="H775" s="101">
        <f t="shared" si="50"/>
        <v>0</v>
      </c>
      <c r="I775" s="101">
        <f t="shared" si="51"/>
        <v>0</v>
      </c>
      <c r="J775" s="101">
        <f t="shared" si="52"/>
        <v>0</v>
      </c>
    </row>
    <row r="776" spans="2:10" x14ac:dyDescent="0.2">
      <c r="B776" s="93"/>
      <c r="C776" s="97"/>
      <c r="D776" s="93"/>
      <c r="E776" s="98"/>
      <c r="F776" s="100">
        <v>772</v>
      </c>
      <c r="G776" s="101">
        <f t="shared" si="49"/>
        <v>0</v>
      </c>
      <c r="H776" s="101">
        <f t="shared" si="50"/>
        <v>0</v>
      </c>
      <c r="I776" s="101">
        <f t="shared" si="51"/>
        <v>0</v>
      </c>
      <c r="J776" s="101">
        <f t="shared" si="52"/>
        <v>0</v>
      </c>
    </row>
    <row r="777" spans="2:10" x14ac:dyDescent="0.2">
      <c r="B777" s="93"/>
      <c r="C777" s="97"/>
      <c r="D777" s="93"/>
      <c r="E777" s="98"/>
      <c r="F777" s="100">
        <v>773</v>
      </c>
      <c r="G777" s="101">
        <f t="shared" si="49"/>
        <v>0</v>
      </c>
      <c r="H777" s="101">
        <f t="shared" si="50"/>
        <v>0</v>
      </c>
      <c r="I777" s="101">
        <f t="shared" si="51"/>
        <v>0</v>
      </c>
      <c r="J777" s="101">
        <f t="shared" si="52"/>
        <v>0</v>
      </c>
    </row>
    <row r="778" spans="2:10" x14ac:dyDescent="0.2">
      <c r="B778" s="93"/>
      <c r="C778" s="97"/>
      <c r="D778" s="93"/>
      <c r="E778" s="98"/>
      <c r="F778" s="100">
        <v>774</v>
      </c>
      <c r="G778" s="101">
        <f t="shared" si="49"/>
        <v>0</v>
      </c>
      <c r="H778" s="101">
        <f t="shared" si="50"/>
        <v>0</v>
      </c>
      <c r="I778" s="101">
        <f t="shared" si="51"/>
        <v>0</v>
      </c>
      <c r="J778" s="101">
        <f t="shared" si="52"/>
        <v>0</v>
      </c>
    </row>
    <row r="779" spans="2:10" x14ac:dyDescent="0.2">
      <c r="B779" s="93"/>
      <c r="C779" s="97"/>
      <c r="D779" s="93"/>
      <c r="E779" s="98"/>
      <c r="F779" s="100">
        <v>775</v>
      </c>
      <c r="G779" s="101">
        <f t="shared" si="49"/>
        <v>0</v>
      </c>
      <c r="H779" s="101">
        <f t="shared" si="50"/>
        <v>0</v>
      </c>
      <c r="I779" s="101">
        <f t="shared" si="51"/>
        <v>0</v>
      </c>
      <c r="J779" s="101">
        <f t="shared" si="52"/>
        <v>0</v>
      </c>
    </row>
    <row r="780" spans="2:10" x14ac:dyDescent="0.2">
      <c r="B780" s="93"/>
      <c r="C780" s="97"/>
      <c r="D780" s="93"/>
      <c r="E780" s="98"/>
      <c r="F780" s="100">
        <v>776</v>
      </c>
      <c r="G780" s="101">
        <f t="shared" si="49"/>
        <v>0</v>
      </c>
      <c r="H780" s="101">
        <f t="shared" si="50"/>
        <v>0</v>
      </c>
      <c r="I780" s="101">
        <f t="shared" si="51"/>
        <v>0</v>
      </c>
      <c r="J780" s="101">
        <f t="shared" si="52"/>
        <v>0</v>
      </c>
    </row>
    <row r="781" spans="2:10" x14ac:dyDescent="0.2">
      <c r="B781" s="93"/>
      <c r="C781" s="97"/>
      <c r="D781" s="93"/>
      <c r="E781" s="98"/>
      <c r="F781" s="100">
        <v>777</v>
      </c>
      <c r="G781" s="101">
        <f t="shared" si="49"/>
        <v>0</v>
      </c>
      <c r="H781" s="101">
        <f t="shared" si="50"/>
        <v>0</v>
      </c>
      <c r="I781" s="101">
        <f t="shared" si="51"/>
        <v>0</v>
      </c>
      <c r="J781" s="101">
        <f t="shared" si="52"/>
        <v>0</v>
      </c>
    </row>
    <row r="782" spans="2:10" x14ac:dyDescent="0.2">
      <c r="B782" s="93"/>
      <c r="C782" s="97"/>
      <c r="D782" s="93"/>
      <c r="E782" s="98"/>
      <c r="F782" s="100">
        <v>778</v>
      </c>
      <c r="G782" s="101">
        <f t="shared" si="49"/>
        <v>0</v>
      </c>
      <c r="H782" s="101">
        <f t="shared" si="50"/>
        <v>0</v>
      </c>
      <c r="I782" s="101">
        <f t="shared" si="51"/>
        <v>0</v>
      </c>
      <c r="J782" s="101">
        <f t="shared" si="52"/>
        <v>0</v>
      </c>
    </row>
    <row r="783" spans="2:10" x14ac:dyDescent="0.2">
      <c r="B783" s="93"/>
      <c r="C783" s="97"/>
      <c r="D783" s="93"/>
      <c r="E783" s="98"/>
      <c r="F783" s="100">
        <v>779</v>
      </c>
      <c r="G783" s="101">
        <f t="shared" si="49"/>
        <v>0</v>
      </c>
      <c r="H783" s="101">
        <f t="shared" si="50"/>
        <v>0</v>
      </c>
      <c r="I783" s="101">
        <f t="shared" si="51"/>
        <v>0</v>
      </c>
      <c r="J783" s="101">
        <f t="shared" si="52"/>
        <v>0</v>
      </c>
    </row>
    <row r="784" spans="2:10" x14ac:dyDescent="0.2">
      <c r="B784" s="93"/>
      <c r="C784" s="97"/>
      <c r="D784" s="93"/>
      <c r="E784" s="98"/>
      <c r="F784" s="100">
        <v>780</v>
      </c>
      <c r="G784" s="101">
        <f t="shared" si="49"/>
        <v>0</v>
      </c>
      <c r="H784" s="101">
        <f t="shared" si="50"/>
        <v>0</v>
      </c>
      <c r="I784" s="101">
        <f t="shared" si="51"/>
        <v>0</v>
      </c>
      <c r="J784" s="101">
        <f t="shared" si="52"/>
        <v>0</v>
      </c>
    </row>
    <row r="785" spans="2:10" x14ac:dyDescent="0.2">
      <c r="B785" s="93"/>
      <c r="C785" s="97"/>
      <c r="D785" s="93"/>
      <c r="E785" s="98"/>
      <c r="F785" s="100">
        <v>781</v>
      </c>
      <c r="G785" s="101">
        <f t="shared" si="49"/>
        <v>0</v>
      </c>
      <c r="H785" s="101">
        <f t="shared" si="50"/>
        <v>0</v>
      </c>
      <c r="I785" s="101">
        <f t="shared" si="51"/>
        <v>0</v>
      </c>
      <c r="J785" s="101">
        <f t="shared" si="52"/>
        <v>0</v>
      </c>
    </row>
    <row r="786" spans="2:10" x14ac:dyDescent="0.2">
      <c r="B786" s="93"/>
      <c r="C786" s="97"/>
      <c r="D786" s="93"/>
      <c r="E786" s="98"/>
      <c r="F786" s="100">
        <v>782</v>
      </c>
      <c r="G786" s="101">
        <f t="shared" si="49"/>
        <v>0</v>
      </c>
      <c r="H786" s="101">
        <f t="shared" si="50"/>
        <v>0</v>
      </c>
      <c r="I786" s="101">
        <f t="shared" si="51"/>
        <v>0</v>
      </c>
      <c r="J786" s="101">
        <f t="shared" si="52"/>
        <v>0</v>
      </c>
    </row>
    <row r="787" spans="2:10" x14ac:dyDescent="0.2">
      <c r="B787" s="93"/>
      <c r="C787" s="97"/>
      <c r="D787" s="93"/>
      <c r="E787" s="98"/>
      <c r="F787" s="100">
        <v>783</v>
      </c>
      <c r="G787" s="101">
        <f t="shared" si="49"/>
        <v>0</v>
      </c>
      <c r="H787" s="101">
        <f t="shared" si="50"/>
        <v>0</v>
      </c>
      <c r="I787" s="101">
        <f t="shared" si="51"/>
        <v>0</v>
      </c>
      <c r="J787" s="101">
        <f t="shared" si="52"/>
        <v>0</v>
      </c>
    </row>
    <row r="788" spans="2:10" x14ac:dyDescent="0.2">
      <c r="B788" s="93"/>
      <c r="C788" s="97"/>
      <c r="D788" s="93"/>
      <c r="E788" s="98"/>
      <c r="F788" s="100">
        <v>784</v>
      </c>
      <c r="G788" s="101">
        <f t="shared" si="49"/>
        <v>0</v>
      </c>
      <c r="H788" s="101">
        <f t="shared" si="50"/>
        <v>0</v>
      </c>
      <c r="I788" s="101">
        <f t="shared" si="51"/>
        <v>0</v>
      </c>
      <c r="J788" s="101">
        <f t="shared" si="52"/>
        <v>0</v>
      </c>
    </row>
    <row r="789" spans="2:10" x14ac:dyDescent="0.2">
      <c r="B789" s="93"/>
      <c r="C789" s="97"/>
      <c r="D789" s="93"/>
      <c r="E789" s="98"/>
      <c r="F789" s="100">
        <v>785</v>
      </c>
      <c r="G789" s="101">
        <f t="shared" si="49"/>
        <v>0</v>
      </c>
      <c r="H789" s="101">
        <f t="shared" si="50"/>
        <v>0</v>
      </c>
      <c r="I789" s="101">
        <f t="shared" si="51"/>
        <v>0</v>
      </c>
      <c r="J789" s="101">
        <f t="shared" si="52"/>
        <v>0</v>
      </c>
    </row>
    <row r="790" spans="2:10" x14ac:dyDescent="0.2">
      <c r="B790" s="93"/>
      <c r="C790" s="97"/>
      <c r="D790" s="93"/>
      <c r="E790" s="98"/>
      <c r="F790" s="100">
        <v>786</v>
      </c>
      <c r="G790" s="101">
        <f t="shared" si="49"/>
        <v>0</v>
      </c>
      <c r="H790" s="101">
        <f t="shared" si="50"/>
        <v>0</v>
      </c>
      <c r="I790" s="101">
        <f t="shared" si="51"/>
        <v>0</v>
      </c>
      <c r="J790" s="101">
        <f t="shared" si="52"/>
        <v>0</v>
      </c>
    </row>
    <row r="791" spans="2:10" x14ac:dyDescent="0.2">
      <c r="B791" s="93"/>
      <c r="C791" s="97"/>
      <c r="D791" s="93"/>
      <c r="E791" s="98"/>
      <c r="F791" s="100">
        <v>787</v>
      </c>
      <c r="G791" s="101">
        <f t="shared" si="49"/>
        <v>0</v>
      </c>
      <c r="H791" s="101">
        <f t="shared" si="50"/>
        <v>0</v>
      </c>
      <c r="I791" s="101">
        <f t="shared" si="51"/>
        <v>0</v>
      </c>
      <c r="J791" s="101">
        <f t="shared" si="52"/>
        <v>0</v>
      </c>
    </row>
    <row r="792" spans="2:10" x14ac:dyDescent="0.2">
      <c r="B792" s="93"/>
      <c r="C792" s="97"/>
      <c r="D792" s="93"/>
      <c r="E792" s="98"/>
      <c r="F792" s="100">
        <v>788</v>
      </c>
      <c r="G792" s="101">
        <f t="shared" si="49"/>
        <v>0</v>
      </c>
      <c r="H792" s="101">
        <f t="shared" si="50"/>
        <v>0</v>
      </c>
      <c r="I792" s="101">
        <f t="shared" si="51"/>
        <v>0</v>
      </c>
      <c r="J792" s="101">
        <f t="shared" si="52"/>
        <v>0</v>
      </c>
    </row>
    <row r="793" spans="2:10" x14ac:dyDescent="0.2">
      <c r="B793" s="93"/>
      <c r="C793" s="97"/>
      <c r="D793" s="93"/>
      <c r="E793" s="98"/>
      <c r="F793" s="100">
        <v>789</v>
      </c>
      <c r="G793" s="101">
        <f t="shared" si="49"/>
        <v>0</v>
      </c>
      <c r="H793" s="101">
        <f t="shared" si="50"/>
        <v>0</v>
      </c>
      <c r="I793" s="101">
        <f t="shared" si="51"/>
        <v>0</v>
      </c>
      <c r="J793" s="101">
        <f t="shared" si="52"/>
        <v>0</v>
      </c>
    </row>
    <row r="794" spans="2:10" x14ac:dyDescent="0.2">
      <c r="B794" s="93"/>
      <c r="C794" s="97"/>
      <c r="D794" s="93"/>
      <c r="E794" s="98"/>
      <c r="F794" s="100">
        <v>790</v>
      </c>
      <c r="G794" s="101">
        <f t="shared" si="49"/>
        <v>0</v>
      </c>
      <c r="H794" s="101">
        <f t="shared" si="50"/>
        <v>0</v>
      </c>
      <c r="I794" s="101">
        <f t="shared" si="51"/>
        <v>0</v>
      </c>
      <c r="J794" s="101">
        <f t="shared" si="52"/>
        <v>0</v>
      </c>
    </row>
    <row r="795" spans="2:10" x14ac:dyDescent="0.2">
      <c r="B795" s="93"/>
      <c r="C795" s="97"/>
      <c r="D795" s="93"/>
      <c r="E795" s="98"/>
      <c r="F795" s="100">
        <v>791</v>
      </c>
      <c r="G795" s="101">
        <f t="shared" si="49"/>
        <v>0</v>
      </c>
      <c r="H795" s="101">
        <f t="shared" si="50"/>
        <v>0</v>
      </c>
      <c r="I795" s="101">
        <f t="shared" si="51"/>
        <v>0</v>
      </c>
      <c r="J795" s="101">
        <f t="shared" si="52"/>
        <v>0</v>
      </c>
    </row>
    <row r="796" spans="2:10" x14ac:dyDescent="0.2">
      <c r="B796" s="93"/>
      <c r="C796" s="97"/>
      <c r="D796" s="93"/>
      <c r="E796" s="98"/>
      <c r="F796" s="100">
        <v>792</v>
      </c>
      <c r="G796" s="101">
        <f t="shared" si="49"/>
        <v>0</v>
      </c>
      <c r="H796" s="101">
        <f t="shared" si="50"/>
        <v>0</v>
      </c>
      <c r="I796" s="101">
        <f t="shared" si="51"/>
        <v>0</v>
      </c>
      <c r="J796" s="101">
        <f t="shared" si="52"/>
        <v>0</v>
      </c>
    </row>
    <row r="797" spans="2:10" x14ac:dyDescent="0.2">
      <c r="B797" s="93"/>
      <c r="C797" s="97"/>
      <c r="D797" s="93"/>
      <c r="E797" s="98"/>
      <c r="F797" s="100">
        <v>793</v>
      </c>
      <c r="G797" s="101">
        <f t="shared" si="49"/>
        <v>0</v>
      </c>
      <c r="H797" s="101">
        <f t="shared" si="50"/>
        <v>0</v>
      </c>
      <c r="I797" s="101">
        <f t="shared" si="51"/>
        <v>0</v>
      </c>
      <c r="J797" s="101">
        <f t="shared" si="52"/>
        <v>0</v>
      </c>
    </row>
    <row r="798" spans="2:10" x14ac:dyDescent="0.2">
      <c r="B798" s="93"/>
      <c r="C798" s="97"/>
      <c r="D798" s="93"/>
      <c r="E798" s="98"/>
      <c r="F798" s="100">
        <v>794</v>
      </c>
      <c r="G798" s="101">
        <f t="shared" si="49"/>
        <v>0</v>
      </c>
      <c r="H798" s="101">
        <f t="shared" si="50"/>
        <v>0</v>
      </c>
      <c r="I798" s="101">
        <f t="shared" si="51"/>
        <v>0</v>
      </c>
      <c r="J798" s="101">
        <f t="shared" si="52"/>
        <v>0</v>
      </c>
    </row>
    <row r="799" spans="2:10" x14ac:dyDescent="0.2">
      <c r="B799" s="93"/>
      <c r="C799" s="97"/>
      <c r="D799" s="93"/>
      <c r="E799" s="98"/>
      <c r="F799" s="100">
        <v>795</v>
      </c>
      <c r="G799" s="101">
        <f t="shared" si="49"/>
        <v>0</v>
      </c>
      <c r="H799" s="101">
        <f t="shared" si="50"/>
        <v>0</v>
      </c>
      <c r="I799" s="101">
        <f t="shared" si="51"/>
        <v>0</v>
      </c>
      <c r="J799" s="101">
        <f t="shared" si="52"/>
        <v>0</v>
      </c>
    </row>
    <row r="800" spans="2:10" x14ac:dyDescent="0.2">
      <c r="B800" s="93"/>
      <c r="C800" s="97"/>
      <c r="D800" s="93"/>
      <c r="E800" s="98"/>
      <c r="F800" s="100">
        <v>796</v>
      </c>
      <c r="G800" s="101">
        <f t="shared" si="49"/>
        <v>0</v>
      </c>
      <c r="H800" s="101">
        <f t="shared" si="50"/>
        <v>0</v>
      </c>
      <c r="I800" s="101">
        <f t="shared" si="51"/>
        <v>0</v>
      </c>
      <c r="J800" s="101">
        <f t="shared" si="52"/>
        <v>0</v>
      </c>
    </row>
    <row r="801" spans="2:10" x14ac:dyDescent="0.2">
      <c r="B801" s="93"/>
      <c r="C801" s="97"/>
      <c r="D801" s="93"/>
      <c r="E801" s="98"/>
      <c r="F801" s="100">
        <v>797</v>
      </c>
      <c r="G801" s="101">
        <f t="shared" si="49"/>
        <v>0</v>
      </c>
      <c r="H801" s="101">
        <f t="shared" si="50"/>
        <v>0</v>
      </c>
      <c r="I801" s="101">
        <f t="shared" si="51"/>
        <v>0</v>
      </c>
      <c r="J801" s="101">
        <f t="shared" si="52"/>
        <v>0</v>
      </c>
    </row>
    <row r="802" spans="2:10" x14ac:dyDescent="0.2">
      <c r="B802" s="93"/>
      <c r="C802" s="97"/>
      <c r="D802" s="93"/>
      <c r="E802" s="98"/>
      <c r="F802" s="100">
        <v>798</v>
      </c>
      <c r="G802" s="101">
        <f t="shared" si="49"/>
        <v>0</v>
      </c>
      <c r="H802" s="101">
        <f t="shared" si="50"/>
        <v>0</v>
      </c>
      <c r="I802" s="101">
        <f t="shared" si="51"/>
        <v>0</v>
      </c>
      <c r="J802" s="101">
        <f t="shared" si="52"/>
        <v>0</v>
      </c>
    </row>
    <row r="803" spans="2:10" x14ac:dyDescent="0.2">
      <c r="B803" s="93"/>
      <c r="C803" s="97"/>
      <c r="D803" s="93"/>
      <c r="E803" s="98"/>
      <c r="F803" s="100">
        <v>799</v>
      </c>
      <c r="G803" s="101">
        <f t="shared" si="49"/>
        <v>0</v>
      </c>
      <c r="H803" s="101">
        <f t="shared" si="50"/>
        <v>0</v>
      </c>
      <c r="I803" s="101">
        <f t="shared" si="51"/>
        <v>0</v>
      </c>
      <c r="J803" s="101">
        <f t="shared" si="52"/>
        <v>0</v>
      </c>
    </row>
    <row r="804" spans="2:10" x14ac:dyDescent="0.2">
      <c r="B804" s="93"/>
      <c r="C804" s="97"/>
      <c r="D804" s="93"/>
      <c r="E804" s="98"/>
      <c r="F804" s="100">
        <v>800</v>
      </c>
      <c r="G804" s="101">
        <f t="shared" si="49"/>
        <v>0</v>
      </c>
      <c r="H804" s="101">
        <f t="shared" si="50"/>
        <v>0</v>
      </c>
      <c r="I804" s="101">
        <f t="shared" si="51"/>
        <v>0</v>
      </c>
      <c r="J804" s="101">
        <f t="shared" si="52"/>
        <v>0</v>
      </c>
    </row>
    <row r="805" spans="2:10" x14ac:dyDescent="0.2">
      <c r="B805" s="93"/>
      <c r="C805" s="97"/>
      <c r="D805" s="93"/>
      <c r="E805" s="98"/>
      <c r="F805" s="100">
        <v>801</v>
      </c>
      <c r="G805" s="101">
        <f t="shared" si="49"/>
        <v>0</v>
      </c>
      <c r="H805" s="101">
        <f t="shared" si="50"/>
        <v>0</v>
      </c>
      <c r="I805" s="101">
        <f t="shared" si="51"/>
        <v>0</v>
      </c>
      <c r="J805" s="101">
        <f t="shared" si="52"/>
        <v>0</v>
      </c>
    </row>
    <row r="806" spans="2:10" x14ac:dyDescent="0.2">
      <c r="B806" s="93"/>
      <c r="C806" s="97"/>
      <c r="D806" s="93"/>
      <c r="E806" s="98"/>
      <c r="F806" s="100">
        <v>802</v>
      </c>
      <c r="G806" s="101">
        <f t="shared" si="49"/>
        <v>0</v>
      </c>
      <c r="H806" s="101">
        <f t="shared" si="50"/>
        <v>0</v>
      </c>
      <c r="I806" s="101">
        <f t="shared" si="51"/>
        <v>0</v>
      </c>
      <c r="J806" s="101">
        <f t="shared" si="52"/>
        <v>0</v>
      </c>
    </row>
    <row r="807" spans="2:10" x14ac:dyDescent="0.2">
      <c r="B807" s="93"/>
      <c r="C807" s="97"/>
      <c r="D807" s="93"/>
      <c r="E807" s="98"/>
      <c r="F807" s="100">
        <v>803</v>
      </c>
      <c r="G807" s="101">
        <f t="shared" si="49"/>
        <v>0</v>
      </c>
      <c r="H807" s="101">
        <f t="shared" si="50"/>
        <v>0</v>
      </c>
      <c r="I807" s="101">
        <f t="shared" si="51"/>
        <v>0</v>
      </c>
      <c r="J807" s="101">
        <f t="shared" si="52"/>
        <v>0</v>
      </c>
    </row>
    <row r="808" spans="2:10" x14ac:dyDescent="0.2">
      <c r="B808" s="93"/>
      <c r="C808" s="97"/>
      <c r="D808" s="93"/>
      <c r="E808" s="98"/>
      <c r="F808" s="100">
        <v>804</v>
      </c>
      <c r="G808" s="101">
        <f t="shared" si="49"/>
        <v>0</v>
      </c>
      <c r="H808" s="101">
        <f t="shared" si="50"/>
        <v>0</v>
      </c>
      <c r="I808" s="101">
        <f t="shared" si="51"/>
        <v>0</v>
      </c>
      <c r="J808" s="101">
        <f t="shared" si="52"/>
        <v>0</v>
      </c>
    </row>
    <row r="809" spans="2:10" x14ac:dyDescent="0.2">
      <c r="B809" s="93"/>
      <c r="C809" s="97"/>
      <c r="D809" s="93"/>
      <c r="E809" s="98"/>
      <c r="F809" s="100">
        <v>805</v>
      </c>
      <c r="G809" s="101">
        <f t="shared" si="49"/>
        <v>0</v>
      </c>
      <c r="H809" s="101">
        <f t="shared" si="50"/>
        <v>0</v>
      </c>
      <c r="I809" s="101">
        <f t="shared" si="51"/>
        <v>0</v>
      </c>
      <c r="J809" s="101">
        <f t="shared" si="52"/>
        <v>0</v>
      </c>
    </row>
    <row r="810" spans="2:10" x14ac:dyDescent="0.2">
      <c r="B810" s="93"/>
      <c r="C810" s="97"/>
      <c r="D810" s="93"/>
      <c r="E810" s="98"/>
      <c r="F810" s="100">
        <v>806</v>
      </c>
      <c r="G810" s="101">
        <f t="shared" si="49"/>
        <v>0</v>
      </c>
      <c r="H810" s="101">
        <f t="shared" si="50"/>
        <v>0</v>
      </c>
      <c r="I810" s="101">
        <f t="shared" si="51"/>
        <v>0</v>
      </c>
      <c r="J810" s="101">
        <f t="shared" si="52"/>
        <v>0</v>
      </c>
    </row>
    <row r="811" spans="2:10" x14ac:dyDescent="0.2">
      <c r="B811" s="93"/>
      <c r="C811" s="97"/>
      <c r="D811" s="93"/>
      <c r="E811" s="98"/>
      <c r="F811" s="100">
        <v>807</v>
      </c>
      <c r="G811" s="101">
        <f t="shared" si="49"/>
        <v>0</v>
      </c>
      <c r="H811" s="101">
        <f t="shared" si="50"/>
        <v>0</v>
      </c>
      <c r="I811" s="101">
        <f t="shared" si="51"/>
        <v>0</v>
      </c>
      <c r="J811" s="101">
        <f t="shared" si="52"/>
        <v>0</v>
      </c>
    </row>
    <row r="812" spans="2:10" x14ac:dyDescent="0.2">
      <c r="B812" s="93"/>
      <c r="C812" s="97"/>
      <c r="D812" s="93"/>
      <c r="E812" s="98"/>
      <c r="F812" s="100">
        <v>808</v>
      </c>
      <c r="G812" s="101">
        <f t="shared" si="49"/>
        <v>0</v>
      </c>
      <c r="H812" s="101">
        <f t="shared" si="50"/>
        <v>0</v>
      </c>
      <c r="I812" s="101">
        <f t="shared" si="51"/>
        <v>0</v>
      </c>
      <c r="J812" s="101">
        <f t="shared" si="52"/>
        <v>0</v>
      </c>
    </row>
    <row r="813" spans="2:10" x14ac:dyDescent="0.2">
      <c r="B813" s="93"/>
      <c r="C813" s="97"/>
      <c r="D813" s="93"/>
      <c r="E813" s="98"/>
      <c r="F813" s="100">
        <v>809</v>
      </c>
      <c r="G813" s="101">
        <f t="shared" si="49"/>
        <v>0</v>
      </c>
      <c r="H813" s="101">
        <f t="shared" si="50"/>
        <v>0</v>
      </c>
      <c r="I813" s="101">
        <f t="shared" si="51"/>
        <v>0</v>
      </c>
      <c r="J813" s="101">
        <f t="shared" si="52"/>
        <v>0</v>
      </c>
    </row>
    <row r="814" spans="2:10" x14ac:dyDescent="0.2">
      <c r="B814" s="93"/>
      <c r="C814" s="97"/>
      <c r="D814" s="93"/>
      <c r="E814" s="98"/>
      <c r="F814" s="100">
        <v>810</v>
      </c>
      <c r="G814" s="101">
        <f t="shared" si="49"/>
        <v>0</v>
      </c>
      <c r="H814" s="101">
        <f t="shared" si="50"/>
        <v>0</v>
      </c>
      <c r="I814" s="101">
        <f t="shared" si="51"/>
        <v>0</v>
      </c>
      <c r="J814" s="101">
        <f t="shared" si="52"/>
        <v>0</v>
      </c>
    </row>
    <row r="815" spans="2:10" x14ac:dyDescent="0.2">
      <c r="B815" s="93"/>
      <c r="C815" s="97"/>
      <c r="D815" s="93"/>
      <c r="E815" s="98"/>
      <c r="F815" s="100">
        <v>811</v>
      </c>
      <c r="G815" s="101">
        <f t="shared" si="49"/>
        <v>0</v>
      </c>
      <c r="H815" s="101">
        <f t="shared" si="50"/>
        <v>0</v>
      </c>
      <c r="I815" s="101">
        <f t="shared" si="51"/>
        <v>0</v>
      </c>
      <c r="J815" s="101">
        <f t="shared" si="52"/>
        <v>0</v>
      </c>
    </row>
    <row r="816" spans="2:10" x14ac:dyDescent="0.2">
      <c r="B816" s="93"/>
      <c r="C816" s="97"/>
      <c r="D816" s="93"/>
      <c r="E816" s="98"/>
      <c r="F816" s="100">
        <v>812</v>
      </c>
      <c r="G816" s="101">
        <f t="shared" si="49"/>
        <v>0</v>
      </c>
      <c r="H816" s="101">
        <f t="shared" si="50"/>
        <v>0</v>
      </c>
      <c r="I816" s="101">
        <f t="shared" si="51"/>
        <v>0</v>
      </c>
      <c r="J816" s="101">
        <f t="shared" si="52"/>
        <v>0</v>
      </c>
    </row>
    <row r="817" spans="2:10" x14ac:dyDescent="0.2">
      <c r="B817" s="93"/>
      <c r="C817" s="97"/>
      <c r="D817" s="93"/>
      <c r="E817" s="98"/>
      <c r="F817" s="100">
        <v>813</v>
      </c>
      <c r="G817" s="101">
        <f t="shared" si="49"/>
        <v>0</v>
      </c>
      <c r="H817" s="101">
        <f t="shared" si="50"/>
        <v>0</v>
      </c>
      <c r="I817" s="101">
        <f t="shared" si="51"/>
        <v>0</v>
      </c>
      <c r="J817" s="101">
        <f t="shared" si="52"/>
        <v>0</v>
      </c>
    </row>
    <row r="818" spans="2:10" x14ac:dyDescent="0.2">
      <c r="B818" s="93"/>
      <c r="C818" s="97"/>
      <c r="D818" s="93"/>
      <c r="E818" s="98"/>
      <c r="F818" s="100">
        <v>814</v>
      </c>
      <c r="G818" s="101">
        <f t="shared" si="49"/>
        <v>0</v>
      </c>
      <c r="H818" s="101">
        <f t="shared" si="50"/>
        <v>0</v>
      </c>
      <c r="I818" s="101">
        <f t="shared" si="51"/>
        <v>0</v>
      </c>
      <c r="J818" s="101">
        <f t="shared" si="52"/>
        <v>0</v>
      </c>
    </row>
    <row r="819" spans="2:10" x14ac:dyDescent="0.2">
      <c r="B819" s="93"/>
      <c r="C819" s="97"/>
      <c r="D819" s="93"/>
      <c r="E819" s="98"/>
      <c r="F819" s="100">
        <v>815</v>
      </c>
      <c r="G819" s="101">
        <f t="shared" si="49"/>
        <v>0</v>
      </c>
      <c r="H819" s="101">
        <f t="shared" si="50"/>
        <v>0</v>
      </c>
      <c r="I819" s="101">
        <f t="shared" si="51"/>
        <v>0</v>
      </c>
      <c r="J819" s="101">
        <f t="shared" si="52"/>
        <v>0</v>
      </c>
    </row>
    <row r="820" spans="2:10" x14ac:dyDescent="0.2">
      <c r="B820" s="93"/>
      <c r="C820" s="97"/>
      <c r="D820" s="93"/>
      <c r="E820" s="98"/>
      <c r="F820" s="100">
        <v>816</v>
      </c>
      <c r="G820" s="101">
        <f t="shared" si="49"/>
        <v>0</v>
      </c>
      <c r="H820" s="101">
        <f t="shared" si="50"/>
        <v>0</v>
      </c>
      <c r="I820" s="101">
        <f t="shared" si="51"/>
        <v>0</v>
      </c>
      <c r="J820" s="101">
        <f t="shared" si="52"/>
        <v>0</v>
      </c>
    </row>
    <row r="821" spans="2:10" x14ac:dyDescent="0.2">
      <c r="B821" s="93"/>
      <c r="C821" s="97"/>
      <c r="D821" s="93"/>
      <c r="E821" s="98"/>
      <c r="F821" s="100">
        <v>817</v>
      </c>
      <c r="G821" s="101">
        <f t="shared" si="49"/>
        <v>0</v>
      </c>
      <c r="H821" s="101">
        <f t="shared" si="50"/>
        <v>0</v>
      </c>
      <c r="I821" s="101">
        <f t="shared" si="51"/>
        <v>0</v>
      </c>
      <c r="J821" s="101">
        <f t="shared" si="52"/>
        <v>0</v>
      </c>
    </row>
    <row r="822" spans="2:10" x14ac:dyDescent="0.2">
      <c r="B822" s="93"/>
      <c r="C822" s="97"/>
      <c r="D822" s="93"/>
      <c r="E822" s="98"/>
      <c r="F822" s="100">
        <v>818</v>
      </c>
      <c r="G822" s="101">
        <f t="shared" si="49"/>
        <v>0</v>
      </c>
      <c r="H822" s="101">
        <f t="shared" si="50"/>
        <v>0</v>
      </c>
      <c r="I822" s="101">
        <f t="shared" si="51"/>
        <v>0</v>
      </c>
      <c r="J822" s="101">
        <f t="shared" si="52"/>
        <v>0</v>
      </c>
    </row>
    <row r="823" spans="2:10" x14ac:dyDescent="0.2">
      <c r="B823" s="93"/>
      <c r="C823" s="97"/>
      <c r="D823" s="93"/>
      <c r="E823" s="98"/>
      <c r="F823" s="100">
        <v>819</v>
      </c>
      <c r="G823" s="101">
        <f t="shared" si="49"/>
        <v>0</v>
      </c>
      <c r="H823" s="101">
        <f t="shared" si="50"/>
        <v>0</v>
      </c>
      <c r="I823" s="101">
        <f t="shared" si="51"/>
        <v>0</v>
      </c>
      <c r="J823" s="101">
        <f t="shared" si="52"/>
        <v>0</v>
      </c>
    </row>
    <row r="824" spans="2:10" x14ac:dyDescent="0.2">
      <c r="B824" s="93"/>
      <c r="C824" s="97"/>
      <c r="D824" s="93"/>
      <c r="E824" s="98"/>
      <c r="F824" s="100">
        <v>820</v>
      </c>
      <c r="G824" s="101">
        <f t="shared" si="49"/>
        <v>0</v>
      </c>
      <c r="H824" s="101">
        <f t="shared" si="50"/>
        <v>0</v>
      </c>
      <c r="I824" s="101">
        <f t="shared" si="51"/>
        <v>0</v>
      </c>
      <c r="J824" s="101">
        <f t="shared" si="52"/>
        <v>0</v>
      </c>
    </row>
    <row r="825" spans="2:10" x14ac:dyDescent="0.2">
      <c r="B825" s="93"/>
      <c r="C825" s="97"/>
      <c r="D825" s="93"/>
      <c r="E825" s="98"/>
      <c r="F825" s="100">
        <v>821</v>
      </c>
      <c r="G825" s="101">
        <f t="shared" si="49"/>
        <v>0</v>
      </c>
      <c r="H825" s="101">
        <f t="shared" si="50"/>
        <v>0</v>
      </c>
      <c r="I825" s="101">
        <f t="shared" si="51"/>
        <v>0</v>
      </c>
      <c r="J825" s="101">
        <f t="shared" si="52"/>
        <v>0</v>
      </c>
    </row>
    <row r="826" spans="2:10" x14ac:dyDescent="0.2">
      <c r="B826" s="93"/>
      <c r="C826" s="97"/>
      <c r="D826" s="93"/>
      <c r="E826" s="98"/>
      <c r="F826" s="100">
        <v>822</v>
      </c>
      <c r="G826" s="101">
        <f t="shared" si="49"/>
        <v>0</v>
      </c>
      <c r="H826" s="101">
        <f t="shared" si="50"/>
        <v>0</v>
      </c>
      <c r="I826" s="101">
        <f t="shared" si="51"/>
        <v>0</v>
      </c>
      <c r="J826" s="101">
        <f t="shared" si="52"/>
        <v>0</v>
      </c>
    </row>
    <row r="827" spans="2:10" x14ac:dyDescent="0.2">
      <c r="B827" s="93"/>
      <c r="C827" s="97"/>
      <c r="D827" s="93"/>
      <c r="E827" s="98"/>
      <c r="F827" s="100">
        <v>823</v>
      </c>
      <c r="G827" s="101">
        <f t="shared" si="49"/>
        <v>0</v>
      </c>
      <c r="H827" s="101">
        <f t="shared" si="50"/>
        <v>0</v>
      </c>
      <c r="I827" s="101">
        <f t="shared" si="51"/>
        <v>0</v>
      </c>
      <c r="J827" s="101">
        <f t="shared" si="52"/>
        <v>0</v>
      </c>
    </row>
    <row r="828" spans="2:10" x14ac:dyDescent="0.2">
      <c r="B828" s="93"/>
      <c r="C828" s="97"/>
      <c r="D828" s="93"/>
      <c r="E828" s="98"/>
      <c r="F828" s="100">
        <v>824</v>
      </c>
      <c r="G828" s="101">
        <f t="shared" si="49"/>
        <v>0</v>
      </c>
      <c r="H828" s="101">
        <f t="shared" si="50"/>
        <v>0</v>
      </c>
      <c r="I828" s="101">
        <f t="shared" si="51"/>
        <v>0</v>
      </c>
      <c r="J828" s="101">
        <f t="shared" si="52"/>
        <v>0</v>
      </c>
    </row>
    <row r="829" spans="2:10" x14ac:dyDescent="0.2">
      <c r="B829" s="93"/>
      <c r="C829" s="97"/>
      <c r="D829" s="93"/>
      <c r="E829" s="98"/>
      <c r="F829" s="100">
        <v>825</v>
      </c>
      <c r="G829" s="101">
        <f t="shared" si="49"/>
        <v>0</v>
      </c>
      <c r="H829" s="101">
        <f t="shared" si="50"/>
        <v>0</v>
      </c>
      <c r="I829" s="101">
        <f t="shared" si="51"/>
        <v>0</v>
      </c>
      <c r="J829" s="101">
        <f t="shared" si="52"/>
        <v>0</v>
      </c>
    </row>
    <row r="830" spans="2:10" x14ac:dyDescent="0.2">
      <c r="B830" s="93"/>
      <c r="C830" s="97"/>
      <c r="D830" s="93"/>
      <c r="E830" s="98"/>
      <c r="F830" s="100">
        <v>826</v>
      </c>
      <c r="G830" s="101">
        <f t="shared" si="49"/>
        <v>0</v>
      </c>
      <c r="H830" s="101">
        <f t="shared" si="50"/>
        <v>0</v>
      </c>
      <c r="I830" s="101">
        <f t="shared" si="51"/>
        <v>0</v>
      </c>
      <c r="J830" s="101">
        <f t="shared" si="52"/>
        <v>0</v>
      </c>
    </row>
    <row r="831" spans="2:10" x14ac:dyDescent="0.2">
      <c r="B831" s="93"/>
      <c r="C831" s="97"/>
      <c r="D831" s="93"/>
      <c r="E831" s="98"/>
      <c r="F831" s="100">
        <v>827</v>
      </c>
      <c r="G831" s="101">
        <f t="shared" si="49"/>
        <v>0</v>
      </c>
      <c r="H831" s="101">
        <f t="shared" si="50"/>
        <v>0</v>
      </c>
      <c r="I831" s="101">
        <f t="shared" si="51"/>
        <v>0</v>
      </c>
      <c r="J831" s="101">
        <f t="shared" si="52"/>
        <v>0</v>
      </c>
    </row>
    <row r="832" spans="2:10" x14ac:dyDescent="0.2">
      <c r="B832" s="93"/>
      <c r="C832" s="97"/>
      <c r="D832" s="93"/>
      <c r="E832" s="98"/>
      <c r="F832" s="100">
        <v>828</v>
      </c>
      <c r="G832" s="101">
        <f t="shared" si="49"/>
        <v>0</v>
      </c>
      <c r="H832" s="101">
        <f t="shared" si="50"/>
        <v>0</v>
      </c>
      <c r="I832" s="101">
        <f t="shared" si="51"/>
        <v>0</v>
      </c>
      <c r="J832" s="101">
        <f t="shared" si="52"/>
        <v>0</v>
      </c>
    </row>
    <row r="833" spans="2:10" x14ac:dyDescent="0.2">
      <c r="B833" s="93"/>
      <c r="C833" s="97"/>
      <c r="D833" s="93"/>
      <c r="E833" s="98"/>
      <c r="F833" s="100">
        <v>829</v>
      </c>
      <c r="G833" s="101">
        <f t="shared" si="49"/>
        <v>0</v>
      </c>
      <c r="H833" s="101">
        <f t="shared" si="50"/>
        <v>0</v>
      </c>
      <c r="I833" s="101">
        <f t="shared" si="51"/>
        <v>0</v>
      </c>
      <c r="J833" s="101">
        <f t="shared" si="52"/>
        <v>0</v>
      </c>
    </row>
    <row r="834" spans="2:10" x14ac:dyDescent="0.2">
      <c r="B834" s="93"/>
      <c r="C834" s="97"/>
      <c r="D834" s="93"/>
      <c r="E834" s="98"/>
      <c r="F834" s="100">
        <v>830</v>
      </c>
      <c r="G834" s="101">
        <f t="shared" si="49"/>
        <v>0</v>
      </c>
      <c r="H834" s="101">
        <f t="shared" si="50"/>
        <v>0</v>
      </c>
      <c r="I834" s="101">
        <f t="shared" si="51"/>
        <v>0</v>
      </c>
      <c r="J834" s="101">
        <f t="shared" si="52"/>
        <v>0</v>
      </c>
    </row>
    <row r="835" spans="2:10" x14ac:dyDescent="0.2">
      <c r="B835" s="93"/>
      <c r="C835" s="97"/>
      <c r="D835" s="93"/>
      <c r="E835" s="98"/>
      <c r="F835" s="100">
        <v>831</v>
      </c>
      <c r="G835" s="101">
        <f t="shared" si="49"/>
        <v>0</v>
      </c>
      <c r="H835" s="101">
        <f t="shared" si="50"/>
        <v>0</v>
      </c>
      <c r="I835" s="101">
        <f t="shared" si="51"/>
        <v>0</v>
      </c>
      <c r="J835" s="101">
        <f t="shared" si="52"/>
        <v>0</v>
      </c>
    </row>
    <row r="836" spans="2:10" x14ac:dyDescent="0.2">
      <c r="B836" s="93"/>
      <c r="C836" s="97"/>
      <c r="D836" s="93"/>
      <c r="E836" s="98"/>
      <c r="F836" s="100">
        <v>832</v>
      </c>
      <c r="G836" s="101">
        <f t="shared" si="49"/>
        <v>0</v>
      </c>
      <c r="H836" s="101">
        <f t="shared" si="50"/>
        <v>0</v>
      </c>
      <c r="I836" s="101">
        <f t="shared" si="51"/>
        <v>0</v>
      </c>
      <c r="J836" s="101">
        <f t="shared" si="52"/>
        <v>0</v>
      </c>
    </row>
    <row r="837" spans="2:10" x14ac:dyDescent="0.2">
      <c r="B837" s="93"/>
      <c r="C837" s="97"/>
      <c r="D837" s="93"/>
      <c r="E837" s="98"/>
      <c r="F837" s="100">
        <v>833</v>
      </c>
      <c r="G837" s="101">
        <f t="shared" si="49"/>
        <v>0</v>
      </c>
      <c r="H837" s="101">
        <f t="shared" si="50"/>
        <v>0</v>
      </c>
      <c r="I837" s="101">
        <f t="shared" si="51"/>
        <v>0</v>
      </c>
      <c r="J837" s="101">
        <f t="shared" si="52"/>
        <v>0</v>
      </c>
    </row>
    <row r="838" spans="2:10" x14ac:dyDescent="0.2">
      <c r="B838" s="93"/>
      <c r="C838" s="97"/>
      <c r="D838" s="93"/>
      <c r="E838" s="98"/>
      <c r="F838" s="100">
        <v>834</v>
      </c>
      <c r="G838" s="101">
        <f t="shared" ref="G838:G901" si="53">B838</f>
        <v>0</v>
      </c>
      <c r="H838" s="101">
        <f t="shared" ref="H838:H901" si="54">C838</f>
        <v>0</v>
      </c>
      <c r="I838" s="101">
        <f t="shared" ref="I838:I901" si="55">D838</f>
        <v>0</v>
      </c>
      <c r="J838" s="101">
        <f t="shared" ref="J838:J901" si="56">E838</f>
        <v>0</v>
      </c>
    </row>
    <row r="839" spans="2:10" x14ac:dyDescent="0.2">
      <c r="B839" s="93"/>
      <c r="C839" s="97"/>
      <c r="D839" s="93"/>
      <c r="E839" s="98"/>
      <c r="F839" s="100">
        <v>835</v>
      </c>
      <c r="G839" s="101">
        <f t="shared" si="53"/>
        <v>0</v>
      </c>
      <c r="H839" s="101">
        <f t="shared" si="54"/>
        <v>0</v>
      </c>
      <c r="I839" s="101">
        <f t="shared" si="55"/>
        <v>0</v>
      </c>
      <c r="J839" s="101">
        <f t="shared" si="56"/>
        <v>0</v>
      </c>
    </row>
    <row r="840" spans="2:10" x14ac:dyDescent="0.2">
      <c r="B840" s="93"/>
      <c r="C840" s="97"/>
      <c r="D840" s="93"/>
      <c r="E840" s="98"/>
      <c r="F840" s="100">
        <v>836</v>
      </c>
      <c r="G840" s="101">
        <f t="shared" si="53"/>
        <v>0</v>
      </c>
      <c r="H840" s="101">
        <f t="shared" si="54"/>
        <v>0</v>
      </c>
      <c r="I840" s="101">
        <f t="shared" si="55"/>
        <v>0</v>
      </c>
      <c r="J840" s="101">
        <f t="shared" si="56"/>
        <v>0</v>
      </c>
    </row>
    <row r="841" spans="2:10" x14ac:dyDescent="0.2">
      <c r="B841" s="93"/>
      <c r="C841" s="97"/>
      <c r="D841" s="93"/>
      <c r="E841" s="98"/>
      <c r="F841" s="100">
        <v>837</v>
      </c>
      <c r="G841" s="101">
        <f t="shared" si="53"/>
        <v>0</v>
      </c>
      <c r="H841" s="101">
        <f t="shared" si="54"/>
        <v>0</v>
      </c>
      <c r="I841" s="101">
        <f t="shared" si="55"/>
        <v>0</v>
      </c>
      <c r="J841" s="101">
        <f t="shared" si="56"/>
        <v>0</v>
      </c>
    </row>
    <row r="842" spans="2:10" x14ac:dyDescent="0.2">
      <c r="B842" s="93"/>
      <c r="C842" s="97"/>
      <c r="D842" s="93"/>
      <c r="E842" s="98"/>
      <c r="F842" s="100">
        <v>838</v>
      </c>
      <c r="G842" s="101">
        <f t="shared" si="53"/>
        <v>0</v>
      </c>
      <c r="H842" s="101">
        <f t="shared" si="54"/>
        <v>0</v>
      </c>
      <c r="I842" s="101">
        <f t="shared" si="55"/>
        <v>0</v>
      </c>
      <c r="J842" s="101">
        <f t="shared" si="56"/>
        <v>0</v>
      </c>
    </row>
    <row r="843" spans="2:10" x14ac:dyDescent="0.2">
      <c r="B843" s="93"/>
      <c r="C843" s="97"/>
      <c r="D843" s="93"/>
      <c r="E843" s="98"/>
      <c r="F843" s="100">
        <v>839</v>
      </c>
      <c r="G843" s="101">
        <f t="shared" si="53"/>
        <v>0</v>
      </c>
      <c r="H843" s="101">
        <f t="shared" si="54"/>
        <v>0</v>
      </c>
      <c r="I843" s="101">
        <f t="shared" si="55"/>
        <v>0</v>
      </c>
      <c r="J843" s="101">
        <f t="shared" si="56"/>
        <v>0</v>
      </c>
    </row>
    <row r="844" spans="2:10" x14ac:dyDescent="0.2">
      <c r="B844" s="93"/>
      <c r="C844" s="97"/>
      <c r="D844" s="93"/>
      <c r="E844" s="98"/>
      <c r="F844" s="100">
        <v>840</v>
      </c>
      <c r="G844" s="101">
        <f t="shared" si="53"/>
        <v>0</v>
      </c>
      <c r="H844" s="101">
        <f t="shared" si="54"/>
        <v>0</v>
      </c>
      <c r="I844" s="101">
        <f t="shared" si="55"/>
        <v>0</v>
      </c>
      <c r="J844" s="101">
        <f t="shared" si="56"/>
        <v>0</v>
      </c>
    </row>
    <row r="845" spans="2:10" x14ac:dyDescent="0.2">
      <c r="B845" s="93"/>
      <c r="C845" s="97"/>
      <c r="D845" s="93"/>
      <c r="E845" s="98"/>
      <c r="F845" s="100">
        <v>841</v>
      </c>
      <c r="G845" s="101">
        <f t="shared" si="53"/>
        <v>0</v>
      </c>
      <c r="H845" s="101">
        <f t="shared" si="54"/>
        <v>0</v>
      </c>
      <c r="I845" s="101">
        <f t="shared" si="55"/>
        <v>0</v>
      </c>
      <c r="J845" s="101">
        <f t="shared" si="56"/>
        <v>0</v>
      </c>
    </row>
    <row r="846" spans="2:10" x14ac:dyDescent="0.2">
      <c r="B846" s="93"/>
      <c r="C846" s="97"/>
      <c r="D846" s="93"/>
      <c r="E846" s="98"/>
      <c r="F846" s="100">
        <v>842</v>
      </c>
      <c r="G846" s="101">
        <f t="shared" si="53"/>
        <v>0</v>
      </c>
      <c r="H846" s="101">
        <f t="shared" si="54"/>
        <v>0</v>
      </c>
      <c r="I846" s="101">
        <f t="shared" si="55"/>
        <v>0</v>
      </c>
      <c r="J846" s="101">
        <f t="shared" si="56"/>
        <v>0</v>
      </c>
    </row>
    <row r="847" spans="2:10" x14ac:dyDescent="0.2">
      <c r="B847" s="93"/>
      <c r="C847" s="97"/>
      <c r="D847" s="93"/>
      <c r="E847" s="98"/>
      <c r="F847" s="100">
        <v>843</v>
      </c>
      <c r="G847" s="101">
        <f t="shared" si="53"/>
        <v>0</v>
      </c>
      <c r="H847" s="101">
        <f t="shared" si="54"/>
        <v>0</v>
      </c>
      <c r="I847" s="101">
        <f t="shared" si="55"/>
        <v>0</v>
      </c>
      <c r="J847" s="101">
        <f t="shared" si="56"/>
        <v>0</v>
      </c>
    </row>
    <row r="848" spans="2:10" x14ac:dyDescent="0.2">
      <c r="B848" s="93"/>
      <c r="C848" s="97"/>
      <c r="D848" s="93"/>
      <c r="E848" s="98"/>
      <c r="F848" s="100">
        <v>844</v>
      </c>
      <c r="G848" s="101">
        <f t="shared" si="53"/>
        <v>0</v>
      </c>
      <c r="H848" s="101">
        <f t="shared" si="54"/>
        <v>0</v>
      </c>
      <c r="I848" s="101">
        <f t="shared" si="55"/>
        <v>0</v>
      </c>
      <c r="J848" s="101">
        <f t="shared" si="56"/>
        <v>0</v>
      </c>
    </row>
    <row r="849" spans="2:10" x14ac:dyDescent="0.2">
      <c r="B849" s="93"/>
      <c r="C849" s="97"/>
      <c r="D849" s="93"/>
      <c r="E849" s="98"/>
      <c r="F849" s="100">
        <v>845</v>
      </c>
      <c r="G849" s="101">
        <f t="shared" si="53"/>
        <v>0</v>
      </c>
      <c r="H849" s="101">
        <f t="shared" si="54"/>
        <v>0</v>
      </c>
      <c r="I849" s="101">
        <f t="shared" si="55"/>
        <v>0</v>
      </c>
      <c r="J849" s="101">
        <f t="shared" si="56"/>
        <v>0</v>
      </c>
    </row>
    <row r="850" spans="2:10" x14ac:dyDescent="0.2">
      <c r="B850" s="93"/>
      <c r="C850" s="97"/>
      <c r="D850" s="93"/>
      <c r="E850" s="98"/>
      <c r="F850" s="100">
        <v>846</v>
      </c>
      <c r="G850" s="101">
        <f t="shared" si="53"/>
        <v>0</v>
      </c>
      <c r="H850" s="101">
        <f t="shared" si="54"/>
        <v>0</v>
      </c>
      <c r="I850" s="101">
        <f t="shared" si="55"/>
        <v>0</v>
      </c>
      <c r="J850" s="101">
        <f t="shared" si="56"/>
        <v>0</v>
      </c>
    </row>
    <row r="851" spans="2:10" x14ac:dyDescent="0.2">
      <c r="B851" s="93"/>
      <c r="C851" s="97"/>
      <c r="D851" s="93"/>
      <c r="E851" s="98"/>
      <c r="F851" s="100">
        <v>847</v>
      </c>
      <c r="G851" s="101">
        <f t="shared" si="53"/>
        <v>0</v>
      </c>
      <c r="H851" s="101">
        <f t="shared" si="54"/>
        <v>0</v>
      </c>
      <c r="I851" s="101">
        <f t="shared" si="55"/>
        <v>0</v>
      </c>
      <c r="J851" s="101">
        <f t="shared" si="56"/>
        <v>0</v>
      </c>
    </row>
    <row r="852" spans="2:10" x14ac:dyDescent="0.2">
      <c r="B852" s="93"/>
      <c r="C852" s="97"/>
      <c r="D852" s="93"/>
      <c r="E852" s="98"/>
      <c r="F852" s="100">
        <v>848</v>
      </c>
      <c r="G852" s="101">
        <f t="shared" si="53"/>
        <v>0</v>
      </c>
      <c r="H852" s="101">
        <f t="shared" si="54"/>
        <v>0</v>
      </c>
      <c r="I852" s="101">
        <f t="shared" si="55"/>
        <v>0</v>
      </c>
      <c r="J852" s="101">
        <f t="shared" si="56"/>
        <v>0</v>
      </c>
    </row>
    <row r="853" spans="2:10" x14ac:dyDescent="0.2">
      <c r="B853" s="93"/>
      <c r="C853" s="97"/>
      <c r="D853" s="93"/>
      <c r="E853" s="98"/>
      <c r="F853" s="100">
        <v>849</v>
      </c>
      <c r="G853" s="101">
        <f t="shared" si="53"/>
        <v>0</v>
      </c>
      <c r="H853" s="101">
        <f t="shared" si="54"/>
        <v>0</v>
      </c>
      <c r="I853" s="101">
        <f t="shared" si="55"/>
        <v>0</v>
      </c>
      <c r="J853" s="101">
        <f t="shared" si="56"/>
        <v>0</v>
      </c>
    </row>
    <row r="854" spans="2:10" x14ac:dyDescent="0.2">
      <c r="B854" s="93"/>
      <c r="C854" s="97"/>
      <c r="D854" s="93"/>
      <c r="E854" s="98"/>
      <c r="F854" s="100">
        <v>850</v>
      </c>
      <c r="G854" s="101">
        <f t="shared" si="53"/>
        <v>0</v>
      </c>
      <c r="H854" s="101">
        <f t="shared" si="54"/>
        <v>0</v>
      </c>
      <c r="I854" s="101">
        <f t="shared" si="55"/>
        <v>0</v>
      </c>
      <c r="J854" s="101">
        <f t="shared" si="56"/>
        <v>0</v>
      </c>
    </row>
    <row r="855" spans="2:10" x14ac:dyDescent="0.2">
      <c r="B855" s="93"/>
      <c r="C855" s="97"/>
      <c r="D855" s="93"/>
      <c r="E855" s="98"/>
      <c r="F855" s="100">
        <v>851</v>
      </c>
      <c r="G855" s="101">
        <f t="shared" si="53"/>
        <v>0</v>
      </c>
      <c r="H855" s="101">
        <f t="shared" si="54"/>
        <v>0</v>
      </c>
      <c r="I855" s="101">
        <f t="shared" si="55"/>
        <v>0</v>
      </c>
      <c r="J855" s="101">
        <f t="shared" si="56"/>
        <v>0</v>
      </c>
    </row>
    <row r="856" spans="2:10" x14ac:dyDescent="0.2">
      <c r="B856" s="93"/>
      <c r="C856" s="97"/>
      <c r="D856" s="93"/>
      <c r="E856" s="98"/>
      <c r="F856" s="100">
        <v>852</v>
      </c>
      <c r="G856" s="101">
        <f t="shared" si="53"/>
        <v>0</v>
      </c>
      <c r="H856" s="101">
        <f t="shared" si="54"/>
        <v>0</v>
      </c>
      <c r="I856" s="101">
        <f t="shared" si="55"/>
        <v>0</v>
      </c>
      <c r="J856" s="101">
        <f t="shared" si="56"/>
        <v>0</v>
      </c>
    </row>
    <row r="857" spans="2:10" x14ac:dyDescent="0.2">
      <c r="B857" s="93"/>
      <c r="C857" s="97"/>
      <c r="D857" s="93"/>
      <c r="E857" s="98"/>
      <c r="F857" s="100">
        <v>853</v>
      </c>
      <c r="G857" s="101">
        <f t="shared" si="53"/>
        <v>0</v>
      </c>
      <c r="H857" s="101">
        <f t="shared" si="54"/>
        <v>0</v>
      </c>
      <c r="I857" s="101">
        <f t="shared" si="55"/>
        <v>0</v>
      </c>
      <c r="J857" s="101">
        <f t="shared" si="56"/>
        <v>0</v>
      </c>
    </row>
    <row r="858" spans="2:10" x14ac:dyDescent="0.2">
      <c r="B858" s="93"/>
      <c r="C858" s="97"/>
      <c r="D858" s="93"/>
      <c r="E858" s="98"/>
      <c r="F858" s="100">
        <v>854</v>
      </c>
      <c r="G858" s="101">
        <f t="shared" si="53"/>
        <v>0</v>
      </c>
      <c r="H858" s="101">
        <f t="shared" si="54"/>
        <v>0</v>
      </c>
      <c r="I858" s="101">
        <f t="shared" si="55"/>
        <v>0</v>
      </c>
      <c r="J858" s="101">
        <f t="shared" si="56"/>
        <v>0</v>
      </c>
    </row>
    <row r="859" spans="2:10" x14ac:dyDescent="0.2">
      <c r="B859" s="93"/>
      <c r="C859" s="97"/>
      <c r="D859" s="93"/>
      <c r="E859" s="98"/>
      <c r="F859" s="100">
        <v>855</v>
      </c>
      <c r="G859" s="101">
        <f t="shared" si="53"/>
        <v>0</v>
      </c>
      <c r="H859" s="101">
        <f t="shared" si="54"/>
        <v>0</v>
      </c>
      <c r="I859" s="101">
        <f t="shared" si="55"/>
        <v>0</v>
      </c>
      <c r="J859" s="101">
        <f t="shared" si="56"/>
        <v>0</v>
      </c>
    </row>
    <row r="860" spans="2:10" x14ac:dyDescent="0.2">
      <c r="B860" s="93"/>
      <c r="C860" s="97"/>
      <c r="D860" s="93"/>
      <c r="E860" s="98"/>
      <c r="F860" s="100">
        <v>856</v>
      </c>
      <c r="G860" s="101">
        <f t="shared" si="53"/>
        <v>0</v>
      </c>
      <c r="H860" s="101">
        <f t="shared" si="54"/>
        <v>0</v>
      </c>
      <c r="I860" s="101">
        <f t="shared" si="55"/>
        <v>0</v>
      </c>
      <c r="J860" s="101">
        <f t="shared" si="56"/>
        <v>0</v>
      </c>
    </row>
    <row r="861" spans="2:10" x14ac:dyDescent="0.2">
      <c r="B861" s="93"/>
      <c r="C861" s="97"/>
      <c r="D861" s="93"/>
      <c r="E861" s="98"/>
      <c r="F861" s="100">
        <v>857</v>
      </c>
      <c r="G861" s="101">
        <f t="shared" si="53"/>
        <v>0</v>
      </c>
      <c r="H861" s="101">
        <f t="shared" si="54"/>
        <v>0</v>
      </c>
      <c r="I861" s="101">
        <f t="shared" si="55"/>
        <v>0</v>
      </c>
      <c r="J861" s="101">
        <f t="shared" si="56"/>
        <v>0</v>
      </c>
    </row>
    <row r="862" spans="2:10" x14ac:dyDescent="0.2">
      <c r="B862" s="93"/>
      <c r="C862" s="97"/>
      <c r="D862" s="93"/>
      <c r="E862" s="98"/>
      <c r="F862" s="100">
        <v>858</v>
      </c>
      <c r="G862" s="101">
        <f t="shared" si="53"/>
        <v>0</v>
      </c>
      <c r="H862" s="101">
        <f t="shared" si="54"/>
        <v>0</v>
      </c>
      <c r="I862" s="101">
        <f t="shared" si="55"/>
        <v>0</v>
      </c>
      <c r="J862" s="101">
        <f t="shared" si="56"/>
        <v>0</v>
      </c>
    </row>
    <row r="863" spans="2:10" x14ac:dyDescent="0.2">
      <c r="B863" s="93"/>
      <c r="C863" s="97"/>
      <c r="D863" s="93"/>
      <c r="E863" s="98"/>
      <c r="F863" s="100">
        <v>859</v>
      </c>
      <c r="G863" s="101">
        <f t="shared" si="53"/>
        <v>0</v>
      </c>
      <c r="H863" s="101">
        <f t="shared" si="54"/>
        <v>0</v>
      </c>
      <c r="I863" s="101">
        <f t="shared" si="55"/>
        <v>0</v>
      </c>
      <c r="J863" s="101">
        <f t="shared" si="56"/>
        <v>0</v>
      </c>
    </row>
    <row r="864" spans="2:10" x14ac:dyDescent="0.2">
      <c r="B864" s="93"/>
      <c r="C864" s="97"/>
      <c r="D864" s="93"/>
      <c r="E864" s="98"/>
      <c r="F864" s="100">
        <v>860</v>
      </c>
      <c r="G864" s="101">
        <f t="shared" si="53"/>
        <v>0</v>
      </c>
      <c r="H864" s="101">
        <f t="shared" si="54"/>
        <v>0</v>
      </c>
      <c r="I864" s="101">
        <f t="shared" si="55"/>
        <v>0</v>
      </c>
      <c r="J864" s="101">
        <f t="shared" si="56"/>
        <v>0</v>
      </c>
    </row>
    <row r="865" spans="2:10" x14ac:dyDescent="0.2">
      <c r="B865" s="93"/>
      <c r="C865" s="97"/>
      <c r="D865" s="93"/>
      <c r="E865" s="98"/>
      <c r="F865" s="100">
        <v>861</v>
      </c>
      <c r="G865" s="101">
        <f t="shared" si="53"/>
        <v>0</v>
      </c>
      <c r="H865" s="101">
        <f t="shared" si="54"/>
        <v>0</v>
      </c>
      <c r="I865" s="101">
        <f t="shared" si="55"/>
        <v>0</v>
      </c>
      <c r="J865" s="101">
        <f t="shared" si="56"/>
        <v>0</v>
      </c>
    </row>
    <row r="866" spans="2:10" x14ac:dyDescent="0.2">
      <c r="B866" s="93"/>
      <c r="C866" s="97"/>
      <c r="D866" s="93"/>
      <c r="E866" s="98"/>
      <c r="F866" s="100">
        <v>862</v>
      </c>
      <c r="G866" s="101">
        <f t="shared" si="53"/>
        <v>0</v>
      </c>
      <c r="H866" s="101">
        <f t="shared" si="54"/>
        <v>0</v>
      </c>
      <c r="I866" s="101">
        <f t="shared" si="55"/>
        <v>0</v>
      </c>
      <c r="J866" s="101">
        <f t="shared" si="56"/>
        <v>0</v>
      </c>
    </row>
    <row r="867" spans="2:10" x14ac:dyDescent="0.2">
      <c r="B867" s="93"/>
      <c r="C867" s="97"/>
      <c r="D867" s="93"/>
      <c r="E867" s="98"/>
      <c r="F867" s="100">
        <v>863</v>
      </c>
      <c r="G867" s="101">
        <f t="shared" si="53"/>
        <v>0</v>
      </c>
      <c r="H867" s="101">
        <f t="shared" si="54"/>
        <v>0</v>
      </c>
      <c r="I867" s="101">
        <f t="shared" si="55"/>
        <v>0</v>
      </c>
      <c r="J867" s="101">
        <f t="shared" si="56"/>
        <v>0</v>
      </c>
    </row>
    <row r="868" spans="2:10" x14ac:dyDescent="0.2">
      <c r="B868" s="93"/>
      <c r="C868" s="97"/>
      <c r="D868" s="93"/>
      <c r="E868" s="98"/>
      <c r="F868" s="100">
        <v>864</v>
      </c>
      <c r="G868" s="101">
        <f t="shared" si="53"/>
        <v>0</v>
      </c>
      <c r="H868" s="101">
        <f t="shared" si="54"/>
        <v>0</v>
      </c>
      <c r="I868" s="101">
        <f t="shared" si="55"/>
        <v>0</v>
      </c>
      <c r="J868" s="101">
        <f t="shared" si="56"/>
        <v>0</v>
      </c>
    </row>
    <row r="869" spans="2:10" x14ac:dyDescent="0.2">
      <c r="B869" s="93"/>
      <c r="C869" s="97"/>
      <c r="D869" s="93"/>
      <c r="E869" s="98"/>
      <c r="F869" s="100">
        <v>865</v>
      </c>
      <c r="G869" s="101">
        <f t="shared" si="53"/>
        <v>0</v>
      </c>
      <c r="H869" s="101">
        <f t="shared" si="54"/>
        <v>0</v>
      </c>
      <c r="I869" s="101">
        <f t="shared" si="55"/>
        <v>0</v>
      </c>
      <c r="J869" s="101">
        <f t="shared" si="56"/>
        <v>0</v>
      </c>
    </row>
    <row r="870" spans="2:10" x14ac:dyDescent="0.2">
      <c r="B870" s="93"/>
      <c r="C870" s="97"/>
      <c r="D870" s="93"/>
      <c r="E870" s="98"/>
      <c r="F870" s="100">
        <v>866</v>
      </c>
      <c r="G870" s="101">
        <f t="shared" si="53"/>
        <v>0</v>
      </c>
      <c r="H870" s="101">
        <f t="shared" si="54"/>
        <v>0</v>
      </c>
      <c r="I870" s="101">
        <f t="shared" si="55"/>
        <v>0</v>
      </c>
      <c r="J870" s="101">
        <f t="shared" si="56"/>
        <v>0</v>
      </c>
    </row>
    <row r="871" spans="2:10" x14ac:dyDescent="0.2">
      <c r="B871" s="93"/>
      <c r="C871" s="97"/>
      <c r="D871" s="93"/>
      <c r="E871" s="98"/>
      <c r="F871" s="100">
        <v>867</v>
      </c>
      <c r="G871" s="101">
        <f t="shared" si="53"/>
        <v>0</v>
      </c>
      <c r="H871" s="101">
        <f t="shared" si="54"/>
        <v>0</v>
      </c>
      <c r="I871" s="101">
        <f t="shared" si="55"/>
        <v>0</v>
      </c>
      <c r="J871" s="101">
        <f t="shared" si="56"/>
        <v>0</v>
      </c>
    </row>
    <row r="872" spans="2:10" x14ac:dyDescent="0.2">
      <c r="B872" s="93"/>
      <c r="C872" s="97"/>
      <c r="D872" s="93"/>
      <c r="E872" s="98"/>
      <c r="F872" s="100">
        <v>868</v>
      </c>
      <c r="G872" s="101">
        <f t="shared" si="53"/>
        <v>0</v>
      </c>
      <c r="H872" s="101">
        <f t="shared" si="54"/>
        <v>0</v>
      </c>
      <c r="I872" s="101">
        <f t="shared" si="55"/>
        <v>0</v>
      </c>
      <c r="J872" s="101">
        <f t="shared" si="56"/>
        <v>0</v>
      </c>
    </row>
    <row r="873" spans="2:10" x14ac:dyDescent="0.2">
      <c r="B873" s="93"/>
      <c r="C873" s="97"/>
      <c r="D873" s="93"/>
      <c r="E873" s="98"/>
      <c r="F873" s="100">
        <v>869</v>
      </c>
      <c r="G873" s="101">
        <f t="shared" si="53"/>
        <v>0</v>
      </c>
      <c r="H873" s="101">
        <f t="shared" si="54"/>
        <v>0</v>
      </c>
      <c r="I873" s="101">
        <f t="shared" si="55"/>
        <v>0</v>
      </c>
      <c r="J873" s="101">
        <f t="shared" si="56"/>
        <v>0</v>
      </c>
    </row>
    <row r="874" spans="2:10" x14ac:dyDescent="0.2">
      <c r="B874" s="93"/>
      <c r="C874" s="97"/>
      <c r="D874" s="93"/>
      <c r="E874" s="98"/>
      <c r="F874" s="100">
        <v>870</v>
      </c>
      <c r="G874" s="101">
        <f t="shared" si="53"/>
        <v>0</v>
      </c>
      <c r="H874" s="101">
        <f t="shared" si="54"/>
        <v>0</v>
      </c>
      <c r="I874" s="101">
        <f t="shared" si="55"/>
        <v>0</v>
      </c>
      <c r="J874" s="101">
        <f t="shared" si="56"/>
        <v>0</v>
      </c>
    </row>
    <row r="875" spans="2:10" x14ac:dyDescent="0.2">
      <c r="B875" s="93"/>
      <c r="C875" s="97"/>
      <c r="D875" s="93"/>
      <c r="E875" s="98"/>
      <c r="F875" s="100">
        <v>871</v>
      </c>
      <c r="G875" s="101">
        <f t="shared" si="53"/>
        <v>0</v>
      </c>
      <c r="H875" s="101">
        <f t="shared" si="54"/>
        <v>0</v>
      </c>
      <c r="I875" s="101">
        <f t="shared" si="55"/>
        <v>0</v>
      </c>
      <c r="J875" s="101">
        <f t="shared" si="56"/>
        <v>0</v>
      </c>
    </row>
    <row r="876" spans="2:10" x14ac:dyDescent="0.2">
      <c r="B876" s="93"/>
      <c r="C876" s="97"/>
      <c r="D876" s="93"/>
      <c r="E876" s="98"/>
      <c r="F876" s="100">
        <v>872</v>
      </c>
      <c r="G876" s="101">
        <f t="shared" si="53"/>
        <v>0</v>
      </c>
      <c r="H876" s="101">
        <f t="shared" si="54"/>
        <v>0</v>
      </c>
      <c r="I876" s="101">
        <f t="shared" si="55"/>
        <v>0</v>
      </c>
      <c r="J876" s="101">
        <f t="shared" si="56"/>
        <v>0</v>
      </c>
    </row>
    <row r="877" spans="2:10" x14ac:dyDescent="0.2">
      <c r="B877" s="93"/>
      <c r="C877" s="97"/>
      <c r="D877" s="93"/>
      <c r="E877" s="98"/>
      <c r="F877" s="100">
        <v>873</v>
      </c>
      <c r="G877" s="101">
        <f t="shared" si="53"/>
        <v>0</v>
      </c>
      <c r="H877" s="101">
        <f t="shared" si="54"/>
        <v>0</v>
      </c>
      <c r="I877" s="101">
        <f t="shared" si="55"/>
        <v>0</v>
      </c>
      <c r="J877" s="101">
        <f t="shared" si="56"/>
        <v>0</v>
      </c>
    </row>
    <row r="878" spans="2:10" x14ac:dyDescent="0.2">
      <c r="B878" s="93"/>
      <c r="C878" s="97"/>
      <c r="D878" s="93"/>
      <c r="E878" s="98"/>
      <c r="F878" s="100">
        <v>874</v>
      </c>
      <c r="G878" s="101">
        <f t="shared" si="53"/>
        <v>0</v>
      </c>
      <c r="H878" s="101">
        <f t="shared" si="54"/>
        <v>0</v>
      </c>
      <c r="I878" s="101">
        <f t="shared" si="55"/>
        <v>0</v>
      </c>
      <c r="J878" s="101">
        <f t="shared" si="56"/>
        <v>0</v>
      </c>
    </row>
    <row r="879" spans="2:10" x14ac:dyDescent="0.2">
      <c r="B879" s="93"/>
      <c r="C879" s="97"/>
      <c r="D879" s="93"/>
      <c r="E879" s="98"/>
      <c r="F879" s="100">
        <v>875</v>
      </c>
      <c r="G879" s="101">
        <f t="shared" si="53"/>
        <v>0</v>
      </c>
      <c r="H879" s="101">
        <f t="shared" si="54"/>
        <v>0</v>
      </c>
      <c r="I879" s="101">
        <f t="shared" si="55"/>
        <v>0</v>
      </c>
      <c r="J879" s="101">
        <f t="shared" si="56"/>
        <v>0</v>
      </c>
    </row>
    <row r="880" spans="2:10" x14ac:dyDescent="0.2">
      <c r="B880" s="93"/>
      <c r="C880" s="97"/>
      <c r="D880" s="93"/>
      <c r="E880" s="98"/>
      <c r="F880" s="100">
        <v>876</v>
      </c>
      <c r="G880" s="101">
        <f t="shared" si="53"/>
        <v>0</v>
      </c>
      <c r="H880" s="101">
        <f t="shared" si="54"/>
        <v>0</v>
      </c>
      <c r="I880" s="101">
        <f t="shared" si="55"/>
        <v>0</v>
      </c>
      <c r="J880" s="101">
        <f t="shared" si="56"/>
        <v>0</v>
      </c>
    </row>
    <row r="881" spans="2:10" x14ac:dyDescent="0.2">
      <c r="B881" s="93"/>
      <c r="C881" s="97"/>
      <c r="D881" s="93"/>
      <c r="E881" s="98"/>
      <c r="F881" s="100">
        <v>877</v>
      </c>
      <c r="G881" s="101">
        <f t="shared" si="53"/>
        <v>0</v>
      </c>
      <c r="H881" s="101">
        <f t="shared" si="54"/>
        <v>0</v>
      </c>
      <c r="I881" s="101">
        <f t="shared" si="55"/>
        <v>0</v>
      </c>
      <c r="J881" s="101">
        <f t="shared" si="56"/>
        <v>0</v>
      </c>
    </row>
    <row r="882" spans="2:10" x14ac:dyDescent="0.2">
      <c r="B882" s="93"/>
      <c r="C882" s="97"/>
      <c r="D882" s="93"/>
      <c r="E882" s="98"/>
      <c r="F882" s="100">
        <v>878</v>
      </c>
      <c r="G882" s="101">
        <f t="shared" si="53"/>
        <v>0</v>
      </c>
      <c r="H882" s="101">
        <f t="shared" si="54"/>
        <v>0</v>
      </c>
      <c r="I882" s="101">
        <f t="shared" si="55"/>
        <v>0</v>
      </c>
      <c r="J882" s="101">
        <f t="shared" si="56"/>
        <v>0</v>
      </c>
    </row>
    <row r="883" spans="2:10" x14ac:dyDescent="0.2">
      <c r="B883" s="93"/>
      <c r="C883" s="97"/>
      <c r="D883" s="93"/>
      <c r="E883" s="98"/>
      <c r="F883" s="100">
        <v>879</v>
      </c>
      <c r="G883" s="101">
        <f t="shared" si="53"/>
        <v>0</v>
      </c>
      <c r="H883" s="101">
        <f t="shared" si="54"/>
        <v>0</v>
      </c>
      <c r="I883" s="101">
        <f t="shared" si="55"/>
        <v>0</v>
      </c>
      <c r="J883" s="101">
        <f t="shared" si="56"/>
        <v>0</v>
      </c>
    </row>
    <row r="884" spans="2:10" x14ac:dyDescent="0.2">
      <c r="B884" s="93"/>
      <c r="C884" s="97"/>
      <c r="D884" s="93"/>
      <c r="E884" s="98"/>
      <c r="F884" s="100">
        <v>880</v>
      </c>
      <c r="G884" s="101">
        <f t="shared" si="53"/>
        <v>0</v>
      </c>
      <c r="H884" s="101">
        <f t="shared" si="54"/>
        <v>0</v>
      </c>
      <c r="I884" s="101">
        <f t="shared" si="55"/>
        <v>0</v>
      </c>
      <c r="J884" s="101">
        <f t="shared" si="56"/>
        <v>0</v>
      </c>
    </row>
    <row r="885" spans="2:10" x14ac:dyDescent="0.2">
      <c r="B885" s="93"/>
      <c r="C885" s="97"/>
      <c r="D885" s="93"/>
      <c r="E885" s="98"/>
      <c r="F885" s="100">
        <v>881</v>
      </c>
      <c r="G885" s="101">
        <f t="shared" si="53"/>
        <v>0</v>
      </c>
      <c r="H885" s="101">
        <f t="shared" si="54"/>
        <v>0</v>
      </c>
      <c r="I885" s="101">
        <f t="shared" si="55"/>
        <v>0</v>
      </c>
      <c r="J885" s="101">
        <f t="shared" si="56"/>
        <v>0</v>
      </c>
    </row>
    <row r="886" spans="2:10" x14ac:dyDescent="0.2">
      <c r="B886" s="93"/>
      <c r="C886" s="97"/>
      <c r="D886" s="93"/>
      <c r="E886" s="98"/>
      <c r="F886" s="100">
        <v>882</v>
      </c>
      <c r="G886" s="101">
        <f t="shared" si="53"/>
        <v>0</v>
      </c>
      <c r="H886" s="101">
        <f t="shared" si="54"/>
        <v>0</v>
      </c>
      <c r="I886" s="101">
        <f t="shared" si="55"/>
        <v>0</v>
      </c>
      <c r="J886" s="101">
        <f t="shared" si="56"/>
        <v>0</v>
      </c>
    </row>
    <row r="887" spans="2:10" x14ac:dyDescent="0.2">
      <c r="B887" s="93"/>
      <c r="C887" s="97"/>
      <c r="D887" s="93"/>
      <c r="E887" s="98"/>
      <c r="F887" s="100">
        <v>883</v>
      </c>
      <c r="G887" s="101">
        <f t="shared" si="53"/>
        <v>0</v>
      </c>
      <c r="H887" s="101">
        <f t="shared" si="54"/>
        <v>0</v>
      </c>
      <c r="I887" s="101">
        <f t="shared" si="55"/>
        <v>0</v>
      </c>
      <c r="J887" s="101">
        <f t="shared" si="56"/>
        <v>0</v>
      </c>
    </row>
    <row r="888" spans="2:10" x14ac:dyDescent="0.2">
      <c r="B888" s="93"/>
      <c r="C888" s="97"/>
      <c r="D888" s="93"/>
      <c r="E888" s="98"/>
      <c r="F888" s="100">
        <v>884</v>
      </c>
      <c r="G888" s="101">
        <f t="shared" si="53"/>
        <v>0</v>
      </c>
      <c r="H888" s="101">
        <f t="shared" si="54"/>
        <v>0</v>
      </c>
      <c r="I888" s="101">
        <f t="shared" si="55"/>
        <v>0</v>
      </c>
      <c r="J888" s="101">
        <f t="shared" si="56"/>
        <v>0</v>
      </c>
    </row>
    <row r="889" spans="2:10" x14ac:dyDescent="0.2">
      <c r="B889" s="93"/>
      <c r="C889" s="97"/>
      <c r="D889" s="93"/>
      <c r="E889" s="98"/>
      <c r="F889" s="100">
        <v>885</v>
      </c>
      <c r="G889" s="101">
        <f t="shared" si="53"/>
        <v>0</v>
      </c>
      <c r="H889" s="101">
        <f t="shared" si="54"/>
        <v>0</v>
      </c>
      <c r="I889" s="101">
        <f t="shared" si="55"/>
        <v>0</v>
      </c>
      <c r="J889" s="101">
        <f t="shared" si="56"/>
        <v>0</v>
      </c>
    </row>
    <row r="890" spans="2:10" x14ac:dyDescent="0.2">
      <c r="B890" s="93"/>
      <c r="C890" s="97"/>
      <c r="D890" s="93"/>
      <c r="E890" s="98"/>
      <c r="F890" s="100">
        <v>886</v>
      </c>
      <c r="G890" s="101">
        <f t="shared" si="53"/>
        <v>0</v>
      </c>
      <c r="H890" s="101">
        <f t="shared" si="54"/>
        <v>0</v>
      </c>
      <c r="I890" s="101">
        <f t="shared" si="55"/>
        <v>0</v>
      </c>
      <c r="J890" s="101">
        <f t="shared" si="56"/>
        <v>0</v>
      </c>
    </row>
    <row r="891" spans="2:10" x14ac:dyDescent="0.2">
      <c r="B891" s="93"/>
      <c r="C891" s="97"/>
      <c r="D891" s="93"/>
      <c r="E891" s="98"/>
      <c r="F891" s="100">
        <v>887</v>
      </c>
      <c r="G891" s="101">
        <f t="shared" si="53"/>
        <v>0</v>
      </c>
      <c r="H891" s="101">
        <f t="shared" si="54"/>
        <v>0</v>
      </c>
      <c r="I891" s="101">
        <f t="shared" si="55"/>
        <v>0</v>
      </c>
      <c r="J891" s="101">
        <f t="shared" si="56"/>
        <v>0</v>
      </c>
    </row>
    <row r="892" spans="2:10" x14ac:dyDescent="0.2">
      <c r="B892" s="93"/>
      <c r="C892" s="97"/>
      <c r="D892" s="93"/>
      <c r="E892" s="98"/>
      <c r="F892" s="100">
        <v>888</v>
      </c>
      <c r="G892" s="101">
        <f t="shared" si="53"/>
        <v>0</v>
      </c>
      <c r="H892" s="101">
        <f t="shared" si="54"/>
        <v>0</v>
      </c>
      <c r="I892" s="101">
        <f t="shared" si="55"/>
        <v>0</v>
      </c>
      <c r="J892" s="101">
        <f t="shared" si="56"/>
        <v>0</v>
      </c>
    </row>
    <row r="893" spans="2:10" x14ac:dyDescent="0.2">
      <c r="B893" s="93"/>
      <c r="C893" s="97"/>
      <c r="D893" s="93"/>
      <c r="E893" s="98"/>
      <c r="F893" s="100">
        <v>889</v>
      </c>
      <c r="G893" s="101">
        <f t="shared" si="53"/>
        <v>0</v>
      </c>
      <c r="H893" s="101">
        <f t="shared" si="54"/>
        <v>0</v>
      </c>
      <c r="I893" s="101">
        <f t="shared" si="55"/>
        <v>0</v>
      </c>
      <c r="J893" s="101">
        <f t="shared" si="56"/>
        <v>0</v>
      </c>
    </row>
    <row r="894" spans="2:10" x14ac:dyDescent="0.2">
      <c r="B894" s="93"/>
      <c r="C894" s="97"/>
      <c r="D894" s="93"/>
      <c r="E894" s="98"/>
      <c r="F894" s="100">
        <v>890</v>
      </c>
      <c r="G894" s="101">
        <f t="shared" si="53"/>
        <v>0</v>
      </c>
      <c r="H894" s="101">
        <f t="shared" si="54"/>
        <v>0</v>
      </c>
      <c r="I894" s="101">
        <f t="shared" si="55"/>
        <v>0</v>
      </c>
      <c r="J894" s="101">
        <f t="shared" si="56"/>
        <v>0</v>
      </c>
    </row>
    <row r="895" spans="2:10" x14ac:dyDescent="0.2">
      <c r="B895" s="93"/>
      <c r="C895" s="97"/>
      <c r="D895" s="93"/>
      <c r="E895" s="98"/>
      <c r="F895" s="100">
        <v>891</v>
      </c>
      <c r="G895" s="101">
        <f t="shared" si="53"/>
        <v>0</v>
      </c>
      <c r="H895" s="101">
        <f t="shared" si="54"/>
        <v>0</v>
      </c>
      <c r="I895" s="101">
        <f t="shared" si="55"/>
        <v>0</v>
      </c>
      <c r="J895" s="101">
        <f t="shared" si="56"/>
        <v>0</v>
      </c>
    </row>
    <row r="896" spans="2:10" x14ac:dyDescent="0.2">
      <c r="B896" s="93"/>
      <c r="C896" s="97"/>
      <c r="D896" s="93"/>
      <c r="E896" s="98"/>
      <c r="F896" s="100">
        <v>892</v>
      </c>
      <c r="G896" s="101">
        <f t="shared" si="53"/>
        <v>0</v>
      </c>
      <c r="H896" s="101">
        <f t="shared" si="54"/>
        <v>0</v>
      </c>
      <c r="I896" s="101">
        <f t="shared" si="55"/>
        <v>0</v>
      </c>
      <c r="J896" s="101">
        <f t="shared" si="56"/>
        <v>0</v>
      </c>
    </row>
    <row r="897" spans="2:10" x14ac:dyDescent="0.2">
      <c r="B897" s="93"/>
      <c r="C897" s="97"/>
      <c r="D897" s="93"/>
      <c r="E897" s="98"/>
      <c r="F897" s="100">
        <v>893</v>
      </c>
      <c r="G897" s="101">
        <f t="shared" si="53"/>
        <v>0</v>
      </c>
      <c r="H897" s="101">
        <f t="shared" si="54"/>
        <v>0</v>
      </c>
      <c r="I897" s="101">
        <f t="shared" si="55"/>
        <v>0</v>
      </c>
      <c r="J897" s="101">
        <f t="shared" si="56"/>
        <v>0</v>
      </c>
    </row>
    <row r="898" spans="2:10" x14ac:dyDescent="0.2">
      <c r="B898" s="93"/>
      <c r="C898" s="97"/>
      <c r="D898" s="93"/>
      <c r="E898" s="98"/>
      <c r="F898" s="100">
        <v>894</v>
      </c>
      <c r="G898" s="101">
        <f t="shared" si="53"/>
        <v>0</v>
      </c>
      <c r="H898" s="101">
        <f t="shared" si="54"/>
        <v>0</v>
      </c>
      <c r="I898" s="101">
        <f t="shared" si="55"/>
        <v>0</v>
      </c>
      <c r="J898" s="101">
        <f t="shared" si="56"/>
        <v>0</v>
      </c>
    </row>
    <row r="899" spans="2:10" x14ac:dyDescent="0.2">
      <c r="B899" s="93"/>
      <c r="C899" s="97"/>
      <c r="D899" s="93"/>
      <c r="E899" s="98"/>
      <c r="F899" s="100">
        <v>895</v>
      </c>
      <c r="G899" s="101">
        <f t="shared" si="53"/>
        <v>0</v>
      </c>
      <c r="H899" s="101">
        <f t="shared" si="54"/>
        <v>0</v>
      </c>
      <c r="I899" s="101">
        <f t="shared" si="55"/>
        <v>0</v>
      </c>
      <c r="J899" s="101">
        <f t="shared" si="56"/>
        <v>0</v>
      </c>
    </row>
    <row r="900" spans="2:10" x14ac:dyDescent="0.2">
      <c r="B900" s="93"/>
      <c r="C900" s="97"/>
      <c r="D900" s="93"/>
      <c r="E900" s="98"/>
      <c r="F900" s="100">
        <v>896</v>
      </c>
      <c r="G900" s="101">
        <f t="shared" si="53"/>
        <v>0</v>
      </c>
      <c r="H900" s="101">
        <f t="shared" si="54"/>
        <v>0</v>
      </c>
      <c r="I900" s="101">
        <f t="shared" si="55"/>
        <v>0</v>
      </c>
      <c r="J900" s="101">
        <f t="shared" si="56"/>
        <v>0</v>
      </c>
    </row>
    <row r="901" spans="2:10" x14ac:dyDescent="0.2">
      <c r="B901" s="93"/>
      <c r="C901" s="97"/>
      <c r="D901" s="93"/>
      <c r="E901" s="98"/>
      <c r="F901" s="100">
        <v>897</v>
      </c>
      <c r="G901" s="101">
        <f t="shared" si="53"/>
        <v>0</v>
      </c>
      <c r="H901" s="101">
        <f t="shared" si="54"/>
        <v>0</v>
      </c>
      <c r="I901" s="101">
        <f t="shared" si="55"/>
        <v>0</v>
      </c>
      <c r="J901" s="101">
        <f t="shared" si="56"/>
        <v>0</v>
      </c>
    </row>
    <row r="902" spans="2:10" x14ac:dyDescent="0.2">
      <c r="B902" s="93"/>
      <c r="C902" s="97"/>
      <c r="D902" s="93"/>
      <c r="E902" s="98"/>
      <c r="F902" s="100">
        <v>898</v>
      </c>
      <c r="G902" s="101">
        <f t="shared" ref="G902:G965" si="57">B902</f>
        <v>0</v>
      </c>
      <c r="H902" s="101">
        <f t="shared" ref="H902:H965" si="58">C902</f>
        <v>0</v>
      </c>
      <c r="I902" s="101">
        <f t="shared" ref="I902:I965" si="59">D902</f>
        <v>0</v>
      </c>
      <c r="J902" s="101">
        <f t="shared" ref="J902:J965" si="60">E902</f>
        <v>0</v>
      </c>
    </row>
    <row r="903" spans="2:10" x14ac:dyDescent="0.2">
      <c r="B903" s="93"/>
      <c r="C903" s="97"/>
      <c r="D903" s="93"/>
      <c r="E903" s="98"/>
      <c r="F903" s="100">
        <v>899</v>
      </c>
      <c r="G903" s="101">
        <f t="shared" si="57"/>
        <v>0</v>
      </c>
      <c r="H903" s="101">
        <f t="shared" si="58"/>
        <v>0</v>
      </c>
      <c r="I903" s="101">
        <f t="shared" si="59"/>
        <v>0</v>
      </c>
      <c r="J903" s="101">
        <f t="shared" si="60"/>
        <v>0</v>
      </c>
    </row>
    <row r="904" spans="2:10" x14ac:dyDescent="0.2">
      <c r="B904" s="93"/>
      <c r="C904" s="97"/>
      <c r="D904" s="93"/>
      <c r="E904" s="98"/>
      <c r="F904" s="100">
        <v>900</v>
      </c>
      <c r="G904" s="101">
        <f t="shared" si="57"/>
        <v>0</v>
      </c>
      <c r="H904" s="101">
        <f t="shared" si="58"/>
        <v>0</v>
      </c>
      <c r="I904" s="101">
        <f t="shared" si="59"/>
        <v>0</v>
      </c>
      <c r="J904" s="101">
        <f t="shared" si="60"/>
        <v>0</v>
      </c>
    </row>
    <row r="905" spans="2:10" x14ac:dyDescent="0.2">
      <c r="B905" s="93"/>
      <c r="C905" s="97"/>
      <c r="D905" s="93"/>
      <c r="E905" s="98"/>
      <c r="F905" s="100">
        <v>901</v>
      </c>
      <c r="G905" s="101">
        <f t="shared" si="57"/>
        <v>0</v>
      </c>
      <c r="H905" s="101">
        <f t="shared" si="58"/>
        <v>0</v>
      </c>
      <c r="I905" s="101">
        <f t="shared" si="59"/>
        <v>0</v>
      </c>
      <c r="J905" s="101">
        <f t="shared" si="60"/>
        <v>0</v>
      </c>
    </row>
    <row r="906" spans="2:10" x14ac:dyDescent="0.2">
      <c r="B906" s="93"/>
      <c r="C906" s="97"/>
      <c r="D906" s="93"/>
      <c r="E906" s="98"/>
      <c r="F906" s="100">
        <v>902</v>
      </c>
      <c r="G906" s="101">
        <f t="shared" si="57"/>
        <v>0</v>
      </c>
      <c r="H906" s="101">
        <f t="shared" si="58"/>
        <v>0</v>
      </c>
      <c r="I906" s="101">
        <f t="shared" si="59"/>
        <v>0</v>
      </c>
      <c r="J906" s="101">
        <f t="shared" si="60"/>
        <v>0</v>
      </c>
    </row>
    <row r="907" spans="2:10" x14ac:dyDescent="0.2">
      <c r="B907" s="93"/>
      <c r="C907" s="97"/>
      <c r="D907" s="93"/>
      <c r="E907" s="98"/>
      <c r="F907" s="100">
        <v>903</v>
      </c>
      <c r="G907" s="101">
        <f t="shared" si="57"/>
        <v>0</v>
      </c>
      <c r="H907" s="101">
        <f t="shared" si="58"/>
        <v>0</v>
      </c>
      <c r="I907" s="101">
        <f t="shared" si="59"/>
        <v>0</v>
      </c>
      <c r="J907" s="101">
        <f t="shared" si="60"/>
        <v>0</v>
      </c>
    </row>
    <row r="908" spans="2:10" x14ac:dyDescent="0.2">
      <c r="B908" s="93"/>
      <c r="C908" s="97"/>
      <c r="D908" s="93"/>
      <c r="E908" s="98"/>
      <c r="F908" s="100">
        <v>904</v>
      </c>
      <c r="G908" s="101">
        <f t="shared" si="57"/>
        <v>0</v>
      </c>
      <c r="H908" s="101">
        <f t="shared" si="58"/>
        <v>0</v>
      </c>
      <c r="I908" s="101">
        <f t="shared" si="59"/>
        <v>0</v>
      </c>
      <c r="J908" s="101">
        <f t="shared" si="60"/>
        <v>0</v>
      </c>
    </row>
    <row r="909" spans="2:10" x14ac:dyDescent="0.2">
      <c r="B909" s="93"/>
      <c r="C909" s="97"/>
      <c r="D909" s="93"/>
      <c r="E909" s="98"/>
      <c r="F909" s="100">
        <v>905</v>
      </c>
      <c r="G909" s="101">
        <f t="shared" si="57"/>
        <v>0</v>
      </c>
      <c r="H909" s="101">
        <f t="shared" si="58"/>
        <v>0</v>
      </c>
      <c r="I909" s="101">
        <f t="shared" si="59"/>
        <v>0</v>
      </c>
      <c r="J909" s="101">
        <f t="shared" si="60"/>
        <v>0</v>
      </c>
    </row>
    <row r="910" spans="2:10" x14ac:dyDescent="0.2">
      <c r="B910" s="93"/>
      <c r="C910" s="97"/>
      <c r="D910" s="93"/>
      <c r="E910" s="98"/>
      <c r="F910" s="100">
        <v>906</v>
      </c>
      <c r="G910" s="101">
        <f t="shared" si="57"/>
        <v>0</v>
      </c>
      <c r="H910" s="101">
        <f t="shared" si="58"/>
        <v>0</v>
      </c>
      <c r="I910" s="101">
        <f t="shared" si="59"/>
        <v>0</v>
      </c>
      <c r="J910" s="101">
        <f t="shared" si="60"/>
        <v>0</v>
      </c>
    </row>
    <row r="911" spans="2:10" x14ac:dyDescent="0.2">
      <c r="B911" s="93"/>
      <c r="C911" s="97"/>
      <c r="D911" s="93"/>
      <c r="E911" s="98"/>
      <c r="F911" s="100">
        <v>907</v>
      </c>
      <c r="G911" s="101">
        <f t="shared" si="57"/>
        <v>0</v>
      </c>
      <c r="H911" s="101">
        <f t="shared" si="58"/>
        <v>0</v>
      </c>
      <c r="I911" s="101">
        <f t="shared" si="59"/>
        <v>0</v>
      </c>
      <c r="J911" s="101">
        <f t="shared" si="60"/>
        <v>0</v>
      </c>
    </row>
    <row r="912" spans="2:10" x14ac:dyDescent="0.2">
      <c r="B912" s="93"/>
      <c r="C912" s="97"/>
      <c r="D912" s="93"/>
      <c r="E912" s="98"/>
      <c r="F912" s="100">
        <v>908</v>
      </c>
      <c r="G912" s="101">
        <f t="shared" si="57"/>
        <v>0</v>
      </c>
      <c r="H912" s="101">
        <f t="shared" si="58"/>
        <v>0</v>
      </c>
      <c r="I912" s="101">
        <f t="shared" si="59"/>
        <v>0</v>
      </c>
      <c r="J912" s="101">
        <f t="shared" si="60"/>
        <v>0</v>
      </c>
    </row>
    <row r="913" spans="2:10" x14ac:dyDescent="0.2">
      <c r="B913" s="93"/>
      <c r="C913" s="97"/>
      <c r="D913" s="93"/>
      <c r="E913" s="98"/>
      <c r="F913" s="100">
        <v>909</v>
      </c>
      <c r="G913" s="101">
        <f t="shared" si="57"/>
        <v>0</v>
      </c>
      <c r="H913" s="101">
        <f t="shared" si="58"/>
        <v>0</v>
      </c>
      <c r="I913" s="101">
        <f t="shared" si="59"/>
        <v>0</v>
      </c>
      <c r="J913" s="101">
        <f t="shared" si="60"/>
        <v>0</v>
      </c>
    </row>
    <row r="914" spans="2:10" x14ac:dyDescent="0.2">
      <c r="B914" s="93"/>
      <c r="C914" s="97"/>
      <c r="D914" s="93"/>
      <c r="E914" s="98"/>
      <c r="F914" s="100">
        <v>910</v>
      </c>
      <c r="G914" s="101">
        <f t="shared" si="57"/>
        <v>0</v>
      </c>
      <c r="H914" s="101">
        <f t="shared" si="58"/>
        <v>0</v>
      </c>
      <c r="I914" s="101">
        <f t="shared" si="59"/>
        <v>0</v>
      </c>
      <c r="J914" s="101">
        <f t="shared" si="60"/>
        <v>0</v>
      </c>
    </row>
    <row r="915" spans="2:10" x14ac:dyDescent="0.2">
      <c r="B915" s="93"/>
      <c r="C915" s="97"/>
      <c r="D915" s="93"/>
      <c r="E915" s="98"/>
      <c r="F915" s="100">
        <v>911</v>
      </c>
      <c r="G915" s="101">
        <f t="shared" si="57"/>
        <v>0</v>
      </c>
      <c r="H915" s="101">
        <f t="shared" si="58"/>
        <v>0</v>
      </c>
      <c r="I915" s="101">
        <f t="shared" si="59"/>
        <v>0</v>
      </c>
      <c r="J915" s="101">
        <f t="shared" si="60"/>
        <v>0</v>
      </c>
    </row>
    <row r="916" spans="2:10" x14ac:dyDescent="0.2">
      <c r="B916" s="93"/>
      <c r="C916" s="97"/>
      <c r="D916" s="93"/>
      <c r="E916" s="98"/>
      <c r="F916" s="100">
        <v>912</v>
      </c>
      <c r="G916" s="101">
        <f t="shared" si="57"/>
        <v>0</v>
      </c>
      <c r="H916" s="101">
        <f t="shared" si="58"/>
        <v>0</v>
      </c>
      <c r="I916" s="101">
        <f t="shared" si="59"/>
        <v>0</v>
      </c>
      <c r="J916" s="101">
        <f t="shared" si="60"/>
        <v>0</v>
      </c>
    </row>
    <row r="917" spans="2:10" x14ac:dyDescent="0.2">
      <c r="B917" s="93"/>
      <c r="C917" s="97"/>
      <c r="D917" s="93"/>
      <c r="E917" s="98"/>
      <c r="F917" s="100">
        <v>913</v>
      </c>
      <c r="G917" s="101">
        <f t="shared" si="57"/>
        <v>0</v>
      </c>
      <c r="H917" s="101">
        <f t="shared" si="58"/>
        <v>0</v>
      </c>
      <c r="I917" s="101">
        <f t="shared" si="59"/>
        <v>0</v>
      </c>
      <c r="J917" s="101">
        <f t="shared" si="60"/>
        <v>0</v>
      </c>
    </row>
    <row r="918" spans="2:10" x14ac:dyDescent="0.2">
      <c r="B918" s="93"/>
      <c r="C918" s="97"/>
      <c r="D918" s="93"/>
      <c r="E918" s="98"/>
      <c r="F918" s="100">
        <v>914</v>
      </c>
      <c r="G918" s="101">
        <f t="shared" si="57"/>
        <v>0</v>
      </c>
      <c r="H918" s="101">
        <f t="shared" si="58"/>
        <v>0</v>
      </c>
      <c r="I918" s="101">
        <f t="shared" si="59"/>
        <v>0</v>
      </c>
      <c r="J918" s="101">
        <f t="shared" si="60"/>
        <v>0</v>
      </c>
    </row>
    <row r="919" spans="2:10" x14ac:dyDescent="0.2">
      <c r="B919" s="93"/>
      <c r="C919" s="97"/>
      <c r="D919" s="93"/>
      <c r="E919" s="98"/>
      <c r="F919" s="100">
        <v>915</v>
      </c>
      <c r="G919" s="101">
        <f t="shared" si="57"/>
        <v>0</v>
      </c>
      <c r="H919" s="101">
        <f t="shared" si="58"/>
        <v>0</v>
      </c>
      <c r="I919" s="101">
        <f t="shared" si="59"/>
        <v>0</v>
      </c>
      <c r="J919" s="101">
        <f t="shared" si="60"/>
        <v>0</v>
      </c>
    </row>
    <row r="920" spans="2:10" x14ac:dyDescent="0.2">
      <c r="B920" s="93"/>
      <c r="C920" s="97"/>
      <c r="D920" s="93"/>
      <c r="E920" s="98"/>
      <c r="F920" s="100">
        <v>916</v>
      </c>
      <c r="G920" s="101">
        <f t="shared" si="57"/>
        <v>0</v>
      </c>
      <c r="H920" s="101">
        <f t="shared" si="58"/>
        <v>0</v>
      </c>
      <c r="I920" s="101">
        <f t="shared" si="59"/>
        <v>0</v>
      </c>
      <c r="J920" s="101">
        <f t="shared" si="60"/>
        <v>0</v>
      </c>
    </row>
    <row r="921" spans="2:10" x14ac:dyDescent="0.2">
      <c r="B921" s="93"/>
      <c r="C921" s="97"/>
      <c r="D921" s="93"/>
      <c r="E921" s="98"/>
      <c r="F921" s="100">
        <v>917</v>
      </c>
      <c r="G921" s="101">
        <f t="shared" si="57"/>
        <v>0</v>
      </c>
      <c r="H921" s="101">
        <f t="shared" si="58"/>
        <v>0</v>
      </c>
      <c r="I921" s="101">
        <f t="shared" si="59"/>
        <v>0</v>
      </c>
      <c r="J921" s="101">
        <f t="shared" si="60"/>
        <v>0</v>
      </c>
    </row>
    <row r="922" spans="2:10" x14ac:dyDescent="0.2">
      <c r="B922" s="93"/>
      <c r="C922" s="97"/>
      <c r="D922" s="93"/>
      <c r="E922" s="98"/>
      <c r="F922" s="100">
        <v>918</v>
      </c>
      <c r="G922" s="101">
        <f t="shared" si="57"/>
        <v>0</v>
      </c>
      <c r="H922" s="101">
        <f t="shared" si="58"/>
        <v>0</v>
      </c>
      <c r="I922" s="101">
        <f t="shared" si="59"/>
        <v>0</v>
      </c>
      <c r="J922" s="101">
        <f t="shared" si="60"/>
        <v>0</v>
      </c>
    </row>
    <row r="923" spans="2:10" x14ac:dyDescent="0.2">
      <c r="B923" s="93"/>
      <c r="C923" s="97"/>
      <c r="D923" s="93"/>
      <c r="E923" s="98"/>
      <c r="F923" s="100">
        <v>919</v>
      </c>
      <c r="G923" s="101">
        <f t="shared" si="57"/>
        <v>0</v>
      </c>
      <c r="H923" s="101">
        <f t="shared" si="58"/>
        <v>0</v>
      </c>
      <c r="I923" s="101">
        <f t="shared" si="59"/>
        <v>0</v>
      </c>
      <c r="J923" s="101">
        <f t="shared" si="60"/>
        <v>0</v>
      </c>
    </row>
    <row r="924" spans="2:10" x14ac:dyDescent="0.2">
      <c r="B924" s="93"/>
      <c r="C924" s="97"/>
      <c r="D924" s="93"/>
      <c r="E924" s="98"/>
      <c r="F924" s="100">
        <v>920</v>
      </c>
      <c r="G924" s="101">
        <f t="shared" si="57"/>
        <v>0</v>
      </c>
      <c r="H924" s="101">
        <f t="shared" si="58"/>
        <v>0</v>
      </c>
      <c r="I924" s="101">
        <f t="shared" si="59"/>
        <v>0</v>
      </c>
      <c r="J924" s="101">
        <f t="shared" si="60"/>
        <v>0</v>
      </c>
    </row>
    <row r="925" spans="2:10" x14ac:dyDescent="0.2">
      <c r="B925" s="93"/>
      <c r="C925" s="97"/>
      <c r="D925" s="93"/>
      <c r="E925" s="98"/>
      <c r="F925" s="100">
        <v>921</v>
      </c>
      <c r="G925" s="101">
        <f t="shared" si="57"/>
        <v>0</v>
      </c>
      <c r="H925" s="101">
        <f t="shared" si="58"/>
        <v>0</v>
      </c>
      <c r="I925" s="101">
        <f t="shared" si="59"/>
        <v>0</v>
      </c>
      <c r="J925" s="101">
        <f t="shared" si="60"/>
        <v>0</v>
      </c>
    </row>
    <row r="926" spans="2:10" x14ac:dyDescent="0.2">
      <c r="B926" s="93"/>
      <c r="C926" s="97"/>
      <c r="D926" s="93"/>
      <c r="E926" s="98"/>
      <c r="F926" s="100">
        <v>922</v>
      </c>
      <c r="G926" s="101">
        <f t="shared" si="57"/>
        <v>0</v>
      </c>
      <c r="H926" s="101">
        <f t="shared" si="58"/>
        <v>0</v>
      </c>
      <c r="I926" s="101">
        <f t="shared" si="59"/>
        <v>0</v>
      </c>
      <c r="J926" s="101">
        <f t="shared" si="60"/>
        <v>0</v>
      </c>
    </row>
    <row r="927" spans="2:10" x14ac:dyDescent="0.2">
      <c r="B927" s="93"/>
      <c r="C927" s="97"/>
      <c r="D927" s="93"/>
      <c r="E927" s="98"/>
      <c r="F927" s="100">
        <v>923</v>
      </c>
      <c r="G927" s="101">
        <f t="shared" si="57"/>
        <v>0</v>
      </c>
      <c r="H927" s="101">
        <f t="shared" si="58"/>
        <v>0</v>
      </c>
      <c r="I927" s="101">
        <f t="shared" si="59"/>
        <v>0</v>
      </c>
      <c r="J927" s="101">
        <f t="shared" si="60"/>
        <v>0</v>
      </c>
    </row>
    <row r="928" spans="2:10" x14ac:dyDescent="0.2">
      <c r="B928" s="93"/>
      <c r="C928" s="97"/>
      <c r="D928" s="93"/>
      <c r="E928" s="98"/>
      <c r="F928" s="100">
        <v>924</v>
      </c>
      <c r="G928" s="101">
        <f t="shared" si="57"/>
        <v>0</v>
      </c>
      <c r="H928" s="101">
        <f t="shared" si="58"/>
        <v>0</v>
      </c>
      <c r="I928" s="101">
        <f t="shared" si="59"/>
        <v>0</v>
      </c>
      <c r="J928" s="101">
        <f t="shared" si="60"/>
        <v>0</v>
      </c>
    </row>
    <row r="929" spans="2:10" x14ac:dyDescent="0.2">
      <c r="B929" s="93"/>
      <c r="C929" s="97"/>
      <c r="D929" s="93"/>
      <c r="E929" s="98"/>
      <c r="F929" s="100">
        <v>925</v>
      </c>
      <c r="G929" s="101">
        <f t="shared" si="57"/>
        <v>0</v>
      </c>
      <c r="H929" s="101">
        <f t="shared" si="58"/>
        <v>0</v>
      </c>
      <c r="I929" s="101">
        <f t="shared" si="59"/>
        <v>0</v>
      </c>
      <c r="J929" s="101">
        <f t="shared" si="60"/>
        <v>0</v>
      </c>
    </row>
    <row r="930" spans="2:10" x14ac:dyDescent="0.2">
      <c r="B930" s="93"/>
      <c r="C930" s="97"/>
      <c r="D930" s="93"/>
      <c r="E930" s="98"/>
      <c r="F930" s="100">
        <v>926</v>
      </c>
      <c r="G930" s="101">
        <f t="shared" si="57"/>
        <v>0</v>
      </c>
      <c r="H930" s="101">
        <f t="shared" si="58"/>
        <v>0</v>
      </c>
      <c r="I930" s="101">
        <f t="shared" si="59"/>
        <v>0</v>
      </c>
      <c r="J930" s="101">
        <f t="shared" si="60"/>
        <v>0</v>
      </c>
    </row>
    <row r="931" spans="2:10" x14ac:dyDescent="0.2">
      <c r="B931" s="93"/>
      <c r="C931" s="97"/>
      <c r="D931" s="93"/>
      <c r="E931" s="98"/>
      <c r="F931" s="100">
        <v>927</v>
      </c>
      <c r="G931" s="101">
        <f t="shared" si="57"/>
        <v>0</v>
      </c>
      <c r="H931" s="101">
        <f t="shared" si="58"/>
        <v>0</v>
      </c>
      <c r="I931" s="101">
        <f t="shared" si="59"/>
        <v>0</v>
      </c>
      <c r="J931" s="101">
        <f t="shared" si="60"/>
        <v>0</v>
      </c>
    </row>
    <row r="932" spans="2:10" x14ac:dyDescent="0.2">
      <c r="B932" s="93"/>
      <c r="C932" s="97"/>
      <c r="D932" s="93"/>
      <c r="E932" s="98"/>
      <c r="F932" s="100">
        <v>928</v>
      </c>
      <c r="G932" s="101">
        <f t="shared" si="57"/>
        <v>0</v>
      </c>
      <c r="H932" s="101">
        <f t="shared" si="58"/>
        <v>0</v>
      </c>
      <c r="I932" s="101">
        <f t="shared" si="59"/>
        <v>0</v>
      </c>
      <c r="J932" s="101">
        <f t="shared" si="60"/>
        <v>0</v>
      </c>
    </row>
    <row r="933" spans="2:10" x14ac:dyDescent="0.2">
      <c r="B933" s="93"/>
      <c r="C933" s="97"/>
      <c r="D933" s="93"/>
      <c r="E933" s="98"/>
      <c r="F933" s="100">
        <v>929</v>
      </c>
      <c r="G933" s="101">
        <f t="shared" si="57"/>
        <v>0</v>
      </c>
      <c r="H933" s="101">
        <f t="shared" si="58"/>
        <v>0</v>
      </c>
      <c r="I933" s="101">
        <f t="shared" si="59"/>
        <v>0</v>
      </c>
      <c r="J933" s="101">
        <f t="shared" si="60"/>
        <v>0</v>
      </c>
    </row>
    <row r="934" spans="2:10" x14ac:dyDescent="0.2">
      <c r="B934" s="93"/>
      <c r="C934" s="97"/>
      <c r="D934" s="93"/>
      <c r="E934" s="98"/>
      <c r="F934" s="100">
        <v>930</v>
      </c>
      <c r="G934" s="101">
        <f t="shared" si="57"/>
        <v>0</v>
      </c>
      <c r="H934" s="101">
        <f t="shared" si="58"/>
        <v>0</v>
      </c>
      <c r="I934" s="101">
        <f t="shared" si="59"/>
        <v>0</v>
      </c>
      <c r="J934" s="101">
        <f t="shared" si="60"/>
        <v>0</v>
      </c>
    </row>
    <row r="935" spans="2:10" x14ac:dyDescent="0.2">
      <c r="B935" s="93"/>
      <c r="C935" s="97"/>
      <c r="D935" s="93"/>
      <c r="E935" s="98"/>
      <c r="F935" s="100">
        <v>931</v>
      </c>
      <c r="G935" s="101">
        <f t="shared" si="57"/>
        <v>0</v>
      </c>
      <c r="H935" s="101">
        <f t="shared" si="58"/>
        <v>0</v>
      </c>
      <c r="I935" s="101">
        <f t="shared" si="59"/>
        <v>0</v>
      </c>
      <c r="J935" s="101">
        <f t="shared" si="60"/>
        <v>0</v>
      </c>
    </row>
    <row r="936" spans="2:10" x14ac:dyDescent="0.2">
      <c r="B936" s="93"/>
      <c r="C936" s="97"/>
      <c r="D936" s="93"/>
      <c r="E936" s="98"/>
      <c r="F936" s="100">
        <v>932</v>
      </c>
      <c r="G936" s="101">
        <f t="shared" si="57"/>
        <v>0</v>
      </c>
      <c r="H936" s="101">
        <f t="shared" si="58"/>
        <v>0</v>
      </c>
      <c r="I936" s="101">
        <f t="shared" si="59"/>
        <v>0</v>
      </c>
      <c r="J936" s="101">
        <f t="shared" si="60"/>
        <v>0</v>
      </c>
    </row>
    <row r="937" spans="2:10" x14ac:dyDescent="0.2">
      <c r="B937" s="93"/>
      <c r="C937" s="97"/>
      <c r="D937" s="93"/>
      <c r="E937" s="98"/>
      <c r="F937" s="100">
        <v>933</v>
      </c>
      <c r="G937" s="101">
        <f t="shared" si="57"/>
        <v>0</v>
      </c>
      <c r="H937" s="101">
        <f t="shared" si="58"/>
        <v>0</v>
      </c>
      <c r="I937" s="101">
        <f t="shared" si="59"/>
        <v>0</v>
      </c>
      <c r="J937" s="101">
        <f t="shared" si="60"/>
        <v>0</v>
      </c>
    </row>
    <row r="938" spans="2:10" x14ac:dyDescent="0.2">
      <c r="B938" s="93"/>
      <c r="C938" s="97"/>
      <c r="D938" s="93"/>
      <c r="E938" s="98"/>
      <c r="F938" s="100">
        <v>934</v>
      </c>
      <c r="G938" s="101">
        <f t="shared" si="57"/>
        <v>0</v>
      </c>
      <c r="H938" s="101">
        <f t="shared" si="58"/>
        <v>0</v>
      </c>
      <c r="I938" s="101">
        <f t="shared" si="59"/>
        <v>0</v>
      </c>
      <c r="J938" s="101">
        <f t="shared" si="60"/>
        <v>0</v>
      </c>
    </row>
    <row r="939" spans="2:10" x14ac:dyDescent="0.2">
      <c r="B939" s="93"/>
      <c r="C939" s="97"/>
      <c r="D939" s="93"/>
      <c r="E939" s="98"/>
      <c r="F939" s="100">
        <v>935</v>
      </c>
      <c r="G939" s="101">
        <f t="shared" si="57"/>
        <v>0</v>
      </c>
      <c r="H939" s="101">
        <f t="shared" si="58"/>
        <v>0</v>
      </c>
      <c r="I939" s="101">
        <f t="shared" si="59"/>
        <v>0</v>
      </c>
      <c r="J939" s="101">
        <f t="shared" si="60"/>
        <v>0</v>
      </c>
    </row>
    <row r="940" spans="2:10" x14ac:dyDescent="0.2">
      <c r="B940" s="93"/>
      <c r="C940" s="97"/>
      <c r="D940" s="93"/>
      <c r="E940" s="98"/>
      <c r="F940" s="100">
        <v>936</v>
      </c>
      <c r="G940" s="101">
        <f t="shared" si="57"/>
        <v>0</v>
      </c>
      <c r="H940" s="101">
        <f t="shared" si="58"/>
        <v>0</v>
      </c>
      <c r="I940" s="101">
        <f t="shared" si="59"/>
        <v>0</v>
      </c>
      <c r="J940" s="101">
        <f t="shared" si="60"/>
        <v>0</v>
      </c>
    </row>
    <row r="941" spans="2:10" x14ac:dyDescent="0.2">
      <c r="B941" s="93"/>
      <c r="C941" s="97"/>
      <c r="D941" s="93"/>
      <c r="E941" s="98"/>
      <c r="F941" s="100">
        <v>937</v>
      </c>
      <c r="G941" s="101">
        <f t="shared" si="57"/>
        <v>0</v>
      </c>
      <c r="H941" s="101">
        <f t="shared" si="58"/>
        <v>0</v>
      </c>
      <c r="I941" s="101">
        <f t="shared" si="59"/>
        <v>0</v>
      </c>
      <c r="J941" s="101">
        <f t="shared" si="60"/>
        <v>0</v>
      </c>
    </row>
    <row r="942" spans="2:10" x14ac:dyDescent="0.2">
      <c r="B942" s="93"/>
      <c r="C942" s="97"/>
      <c r="D942" s="93"/>
      <c r="E942" s="98"/>
      <c r="F942" s="100">
        <v>938</v>
      </c>
      <c r="G942" s="101">
        <f t="shared" si="57"/>
        <v>0</v>
      </c>
      <c r="H942" s="101">
        <f t="shared" si="58"/>
        <v>0</v>
      </c>
      <c r="I942" s="101">
        <f t="shared" si="59"/>
        <v>0</v>
      </c>
      <c r="J942" s="101">
        <f t="shared" si="60"/>
        <v>0</v>
      </c>
    </row>
    <row r="943" spans="2:10" x14ac:dyDescent="0.2">
      <c r="B943" s="93"/>
      <c r="C943" s="97"/>
      <c r="D943" s="93"/>
      <c r="E943" s="98"/>
      <c r="F943" s="100">
        <v>939</v>
      </c>
      <c r="G943" s="101">
        <f t="shared" si="57"/>
        <v>0</v>
      </c>
      <c r="H943" s="101">
        <f t="shared" si="58"/>
        <v>0</v>
      </c>
      <c r="I943" s="101">
        <f t="shared" si="59"/>
        <v>0</v>
      </c>
      <c r="J943" s="101">
        <f t="shared" si="60"/>
        <v>0</v>
      </c>
    </row>
    <row r="944" spans="2:10" x14ac:dyDescent="0.2">
      <c r="B944" s="93"/>
      <c r="C944" s="97"/>
      <c r="D944" s="93"/>
      <c r="E944" s="98"/>
      <c r="F944" s="100">
        <v>940</v>
      </c>
      <c r="G944" s="101">
        <f t="shared" si="57"/>
        <v>0</v>
      </c>
      <c r="H944" s="101">
        <f t="shared" si="58"/>
        <v>0</v>
      </c>
      <c r="I944" s="101">
        <f t="shared" si="59"/>
        <v>0</v>
      </c>
      <c r="J944" s="101">
        <f t="shared" si="60"/>
        <v>0</v>
      </c>
    </row>
    <row r="945" spans="2:10" x14ac:dyDescent="0.2">
      <c r="B945" s="93"/>
      <c r="C945" s="97"/>
      <c r="D945" s="93"/>
      <c r="E945" s="98"/>
      <c r="F945" s="100">
        <v>941</v>
      </c>
      <c r="G945" s="101">
        <f t="shared" si="57"/>
        <v>0</v>
      </c>
      <c r="H945" s="101">
        <f t="shared" si="58"/>
        <v>0</v>
      </c>
      <c r="I945" s="101">
        <f t="shared" si="59"/>
        <v>0</v>
      </c>
      <c r="J945" s="101">
        <f t="shared" si="60"/>
        <v>0</v>
      </c>
    </row>
    <row r="946" spans="2:10" x14ac:dyDescent="0.2">
      <c r="B946" s="93"/>
      <c r="C946" s="97"/>
      <c r="D946" s="93"/>
      <c r="E946" s="98"/>
      <c r="F946" s="100">
        <v>942</v>
      </c>
      <c r="G946" s="101">
        <f t="shared" si="57"/>
        <v>0</v>
      </c>
      <c r="H946" s="101">
        <f t="shared" si="58"/>
        <v>0</v>
      </c>
      <c r="I946" s="101">
        <f t="shared" si="59"/>
        <v>0</v>
      </c>
      <c r="J946" s="101">
        <f t="shared" si="60"/>
        <v>0</v>
      </c>
    </row>
    <row r="947" spans="2:10" x14ac:dyDescent="0.2">
      <c r="B947" s="93"/>
      <c r="C947" s="97"/>
      <c r="D947" s="93"/>
      <c r="E947" s="98"/>
      <c r="F947" s="100">
        <v>943</v>
      </c>
      <c r="G947" s="101">
        <f t="shared" si="57"/>
        <v>0</v>
      </c>
      <c r="H947" s="101">
        <f t="shared" si="58"/>
        <v>0</v>
      </c>
      <c r="I947" s="101">
        <f t="shared" si="59"/>
        <v>0</v>
      </c>
      <c r="J947" s="101">
        <f t="shared" si="60"/>
        <v>0</v>
      </c>
    </row>
    <row r="948" spans="2:10" x14ac:dyDescent="0.2">
      <c r="B948" s="93"/>
      <c r="C948" s="97"/>
      <c r="D948" s="93"/>
      <c r="E948" s="98"/>
      <c r="F948" s="100">
        <v>944</v>
      </c>
      <c r="G948" s="101">
        <f t="shared" si="57"/>
        <v>0</v>
      </c>
      <c r="H948" s="101">
        <f t="shared" si="58"/>
        <v>0</v>
      </c>
      <c r="I948" s="101">
        <f t="shared" si="59"/>
        <v>0</v>
      </c>
      <c r="J948" s="101">
        <f t="shared" si="60"/>
        <v>0</v>
      </c>
    </row>
    <row r="949" spans="2:10" x14ac:dyDescent="0.2">
      <c r="B949" s="93"/>
      <c r="C949" s="97"/>
      <c r="D949" s="93"/>
      <c r="E949" s="98"/>
      <c r="F949" s="100">
        <v>945</v>
      </c>
      <c r="G949" s="101">
        <f t="shared" si="57"/>
        <v>0</v>
      </c>
      <c r="H949" s="101">
        <f t="shared" si="58"/>
        <v>0</v>
      </c>
      <c r="I949" s="101">
        <f t="shared" si="59"/>
        <v>0</v>
      </c>
      <c r="J949" s="101">
        <f t="shared" si="60"/>
        <v>0</v>
      </c>
    </row>
    <row r="950" spans="2:10" x14ac:dyDescent="0.2">
      <c r="B950" s="93"/>
      <c r="C950" s="97"/>
      <c r="D950" s="93"/>
      <c r="E950" s="98"/>
      <c r="F950" s="100">
        <v>946</v>
      </c>
      <c r="G950" s="101">
        <f t="shared" si="57"/>
        <v>0</v>
      </c>
      <c r="H950" s="101">
        <f t="shared" si="58"/>
        <v>0</v>
      </c>
      <c r="I950" s="101">
        <f t="shared" si="59"/>
        <v>0</v>
      </c>
      <c r="J950" s="101">
        <f t="shared" si="60"/>
        <v>0</v>
      </c>
    </row>
    <row r="951" spans="2:10" x14ac:dyDescent="0.2">
      <c r="B951" s="93"/>
      <c r="C951" s="97"/>
      <c r="D951" s="93"/>
      <c r="E951" s="98"/>
      <c r="F951" s="100">
        <v>947</v>
      </c>
      <c r="G951" s="101">
        <f t="shared" si="57"/>
        <v>0</v>
      </c>
      <c r="H951" s="101">
        <f t="shared" si="58"/>
        <v>0</v>
      </c>
      <c r="I951" s="101">
        <f t="shared" si="59"/>
        <v>0</v>
      </c>
      <c r="J951" s="101">
        <f t="shared" si="60"/>
        <v>0</v>
      </c>
    </row>
    <row r="952" spans="2:10" x14ac:dyDescent="0.2">
      <c r="B952" s="93"/>
      <c r="C952" s="97"/>
      <c r="D952" s="93"/>
      <c r="E952" s="98"/>
      <c r="F952" s="100">
        <v>948</v>
      </c>
      <c r="G952" s="101">
        <f t="shared" si="57"/>
        <v>0</v>
      </c>
      <c r="H952" s="101">
        <f t="shared" si="58"/>
        <v>0</v>
      </c>
      <c r="I952" s="101">
        <f t="shared" si="59"/>
        <v>0</v>
      </c>
      <c r="J952" s="101">
        <f t="shared" si="60"/>
        <v>0</v>
      </c>
    </row>
    <row r="953" spans="2:10" x14ac:dyDescent="0.2">
      <c r="B953" s="93"/>
      <c r="C953" s="97"/>
      <c r="D953" s="93"/>
      <c r="E953" s="98"/>
      <c r="F953" s="100">
        <v>949</v>
      </c>
      <c r="G953" s="101">
        <f t="shared" si="57"/>
        <v>0</v>
      </c>
      <c r="H953" s="101">
        <f t="shared" si="58"/>
        <v>0</v>
      </c>
      <c r="I953" s="101">
        <f t="shared" si="59"/>
        <v>0</v>
      </c>
      <c r="J953" s="101">
        <f t="shared" si="60"/>
        <v>0</v>
      </c>
    </row>
    <row r="954" spans="2:10" x14ac:dyDescent="0.2">
      <c r="B954" s="93"/>
      <c r="C954" s="97"/>
      <c r="D954" s="93"/>
      <c r="E954" s="98"/>
      <c r="F954" s="100">
        <v>950</v>
      </c>
      <c r="G954" s="101">
        <f t="shared" si="57"/>
        <v>0</v>
      </c>
      <c r="H954" s="101">
        <f t="shared" si="58"/>
        <v>0</v>
      </c>
      <c r="I954" s="101">
        <f t="shared" si="59"/>
        <v>0</v>
      </c>
      <c r="J954" s="101">
        <f t="shared" si="60"/>
        <v>0</v>
      </c>
    </row>
    <row r="955" spans="2:10" x14ac:dyDescent="0.2">
      <c r="B955" s="93"/>
      <c r="C955" s="97"/>
      <c r="D955" s="93"/>
      <c r="E955" s="98"/>
      <c r="F955" s="100">
        <v>951</v>
      </c>
      <c r="G955" s="101">
        <f t="shared" si="57"/>
        <v>0</v>
      </c>
      <c r="H955" s="101">
        <f t="shared" si="58"/>
        <v>0</v>
      </c>
      <c r="I955" s="101">
        <f t="shared" si="59"/>
        <v>0</v>
      </c>
      <c r="J955" s="101">
        <f t="shared" si="60"/>
        <v>0</v>
      </c>
    </row>
    <row r="956" spans="2:10" x14ac:dyDescent="0.2">
      <c r="B956" s="93"/>
      <c r="C956" s="97"/>
      <c r="D956" s="93"/>
      <c r="E956" s="98"/>
      <c r="F956" s="100">
        <v>952</v>
      </c>
      <c r="G956" s="101">
        <f t="shared" si="57"/>
        <v>0</v>
      </c>
      <c r="H956" s="101">
        <f t="shared" si="58"/>
        <v>0</v>
      </c>
      <c r="I956" s="101">
        <f t="shared" si="59"/>
        <v>0</v>
      </c>
      <c r="J956" s="101">
        <f t="shared" si="60"/>
        <v>0</v>
      </c>
    </row>
    <row r="957" spans="2:10" x14ac:dyDescent="0.2">
      <c r="B957" s="93"/>
      <c r="C957" s="97"/>
      <c r="D957" s="93"/>
      <c r="E957" s="98"/>
      <c r="F957" s="100">
        <v>953</v>
      </c>
      <c r="G957" s="101">
        <f t="shared" si="57"/>
        <v>0</v>
      </c>
      <c r="H957" s="101">
        <f t="shared" si="58"/>
        <v>0</v>
      </c>
      <c r="I957" s="101">
        <f t="shared" si="59"/>
        <v>0</v>
      </c>
      <c r="J957" s="101">
        <f t="shared" si="60"/>
        <v>0</v>
      </c>
    </row>
    <row r="958" spans="2:10" x14ac:dyDescent="0.2">
      <c r="B958" s="93"/>
      <c r="C958" s="97"/>
      <c r="D958" s="93"/>
      <c r="E958" s="98"/>
      <c r="F958" s="100">
        <v>954</v>
      </c>
      <c r="G958" s="101">
        <f t="shared" si="57"/>
        <v>0</v>
      </c>
      <c r="H958" s="101">
        <f t="shared" si="58"/>
        <v>0</v>
      </c>
      <c r="I958" s="101">
        <f t="shared" si="59"/>
        <v>0</v>
      </c>
      <c r="J958" s="101">
        <f t="shared" si="60"/>
        <v>0</v>
      </c>
    </row>
    <row r="959" spans="2:10" x14ac:dyDescent="0.2">
      <c r="B959" s="93"/>
      <c r="C959" s="97"/>
      <c r="D959" s="93"/>
      <c r="E959" s="98"/>
      <c r="F959" s="100">
        <v>955</v>
      </c>
      <c r="G959" s="101">
        <f t="shared" si="57"/>
        <v>0</v>
      </c>
      <c r="H959" s="101">
        <f t="shared" si="58"/>
        <v>0</v>
      </c>
      <c r="I959" s="101">
        <f t="shared" si="59"/>
        <v>0</v>
      </c>
      <c r="J959" s="101">
        <f t="shared" si="60"/>
        <v>0</v>
      </c>
    </row>
    <row r="960" spans="2:10" x14ac:dyDescent="0.2">
      <c r="B960" s="93"/>
      <c r="C960" s="97"/>
      <c r="D960" s="93"/>
      <c r="E960" s="98"/>
      <c r="F960" s="100">
        <v>956</v>
      </c>
      <c r="G960" s="101">
        <f t="shared" si="57"/>
        <v>0</v>
      </c>
      <c r="H960" s="101">
        <f t="shared" si="58"/>
        <v>0</v>
      </c>
      <c r="I960" s="101">
        <f t="shared" si="59"/>
        <v>0</v>
      </c>
      <c r="J960" s="101">
        <f t="shared" si="60"/>
        <v>0</v>
      </c>
    </row>
    <row r="961" spans="2:10" x14ac:dyDescent="0.2">
      <c r="B961" s="93"/>
      <c r="C961" s="97"/>
      <c r="D961" s="93"/>
      <c r="E961" s="98"/>
      <c r="F961" s="100">
        <v>957</v>
      </c>
      <c r="G961" s="101">
        <f t="shared" si="57"/>
        <v>0</v>
      </c>
      <c r="H961" s="101">
        <f t="shared" si="58"/>
        <v>0</v>
      </c>
      <c r="I961" s="101">
        <f t="shared" si="59"/>
        <v>0</v>
      </c>
      <c r="J961" s="101">
        <f t="shared" si="60"/>
        <v>0</v>
      </c>
    </row>
    <row r="962" spans="2:10" x14ac:dyDescent="0.2">
      <c r="B962" s="93"/>
      <c r="C962" s="97"/>
      <c r="D962" s="93"/>
      <c r="E962" s="98"/>
      <c r="F962" s="100">
        <v>958</v>
      </c>
      <c r="G962" s="101">
        <f t="shared" si="57"/>
        <v>0</v>
      </c>
      <c r="H962" s="101">
        <f t="shared" si="58"/>
        <v>0</v>
      </c>
      <c r="I962" s="101">
        <f t="shared" si="59"/>
        <v>0</v>
      </c>
      <c r="J962" s="101">
        <f t="shared" si="60"/>
        <v>0</v>
      </c>
    </row>
    <row r="963" spans="2:10" x14ac:dyDescent="0.2">
      <c r="B963" s="93"/>
      <c r="C963" s="97"/>
      <c r="D963" s="93"/>
      <c r="E963" s="98"/>
      <c r="F963" s="100">
        <v>959</v>
      </c>
      <c r="G963" s="101">
        <f t="shared" si="57"/>
        <v>0</v>
      </c>
      <c r="H963" s="101">
        <f t="shared" si="58"/>
        <v>0</v>
      </c>
      <c r="I963" s="101">
        <f t="shared" si="59"/>
        <v>0</v>
      </c>
      <c r="J963" s="101">
        <f t="shared" si="60"/>
        <v>0</v>
      </c>
    </row>
    <row r="964" spans="2:10" x14ac:dyDescent="0.2">
      <c r="B964" s="93"/>
      <c r="C964" s="97"/>
      <c r="D964" s="93"/>
      <c r="E964" s="98"/>
      <c r="F964" s="100">
        <v>960</v>
      </c>
      <c r="G964" s="101">
        <f t="shared" si="57"/>
        <v>0</v>
      </c>
      <c r="H964" s="101">
        <f t="shared" si="58"/>
        <v>0</v>
      </c>
      <c r="I964" s="101">
        <f t="shared" si="59"/>
        <v>0</v>
      </c>
      <c r="J964" s="101">
        <f t="shared" si="60"/>
        <v>0</v>
      </c>
    </row>
    <row r="965" spans="2:10" x14ac:dyDescent="0.2">
      <c r="B965" s="93"/>
      <c r="C965" s="97"/>
      <c r="D965" s="93"/>
      <c r="E965" s="98"/>
      <c r="F965" s="100">
        <v>961</v>
      </c>
      <c r="G965" s="101">
        <f t="shared" si="57"/>
        <v>0</v>
      </c>
      <c r="H965" s="101">
        <f t="shared" si="58"/>
        <v>0</v>
      </c>
      <c r="I965" s="101">
        <f t="shared" si="59"/>
        <v>0</v>
      </c>
      <c r="J965" s="101">
        <f t="shared" si="60"/>
        <v>0</v>
      </c>
    </row>
    <row r="966" spans="2:10" x14ac:dyDescent="0.2">
      <c r="B966" s="93"/>
      <c r="C966" s="97"/>
      <c r="D966" s="93"/>
      <c r="E966" s="98"/>
      <c r="F966" s="100">
        <v>962</v>
      </c>
      <c r="G966" s="101">
        <f t="shared" ref="G966:G1029" si="61">B966</f>
        <v>0</v>
      </c>
      <c r="H966" s="101">
        <f t="shared" ref="H966:H1029" si="62">C966</f>
        <v>0</v>
      </c>
      <c r="I966" s="101">
        <f t="shared" ref="I966:I1029" si="63">D966</f>
        <v>0</v>
      </c>
      <c r="J966" s="101">
        <f t="shared" ref="J966:J1029" si="64">E966</f>
        <v>0</v>
      </c>
    </row>
    <row r="967" spans="2:10" x14ac:dyDescent="0.2">
      <c r="B967" s="93"/>
      <c r="C967" s="97"/>
      <c r="D967" s="93"/>
      <c r="E967" s="98"/>
      <c r="F967" s="100">
        <v>963</v>
      </c>
      <c r="G967" s="101">
        <f t="shared" si="61"/>
        <v>0</v>
      </c>
      <c r="H967" s="101">
        <f t="shared" si="62"/>
        <v>0</v>
      </c>
      <c r="I967" s="101">
        <f t="shared" si="63"/>
        <v>0</v>
      </c>
      <c r="J967" s="101">
        <f t="shared" si="64"/>
        <v>0</v>
      </c>
    </row>
    <row r="968" spans="2:10" x14ac:dyDescent="0.2">
      <c r="B968" s="93"/>
      <c r="C968" s="97"/>
      <c r="D968" s="93"/>
      <c r="E968" s="98"/>
      <c r="F968" s="100">
        <v>964</v>
      </c>
      <c r="G968" s="101">
        <f t="shared" si="61"/>
        <v>0</v>
      </c>
      <c r="H968" s="101">
        <f t="shared" si="62"/>
        <v>0</v>
      </c>
      <c r="I968" s="101">
        <f t="shared" si="63"/>
        <v>0</v>
      </c>
      <c r="J968" s="101">
        <f t="shared" si="64"/>
        <v>0</v>
      </c>
    </row>
    <row r="969" spans="2:10" x14ac:dyDescent="0.2">
      <c r="B969" s="93"/>
      <c r="C969" s="97"/>
      <c r="D969" s="93"/>
      <c r="E969" s="98"/>
      <c r="F969" s="100">
        <v>965</v>
      </c>
      <c r="G969" s="101">
        <f t="shared" si="61"/>
        <v>0</v>
      </c>
      <c r="H969" s="101">
        <f t="shared" si="62"/>
        <v>0</v>
      </c>
      <c r="I969" s="101">
        <f t="shared" si="63"/>
        <v>0</v>
      </c>
      <c r="J969" s="101">
        <f t="shared" si="64"/>
        <v>0</v>
      </c>
    </row>
    <row r="970" spans="2:10" x14ac:dyDescent="0.2">
      <c r="B970" s="93"/>
      <c r="C970" s="97"/>
      <c r="D970" s="93"/>
      <c r="E970" s="98"/>
      <c r="F970" s="100">
        <v>966</v>
      </c>
      <c r="G970" s="101">
        <f t="shared" si="61"/>
        <v>0</v>
      </c>
      <c r="H970" s="101">
        <f t="shared" si="62"/>
        <v>0</v>
      </c>
      <c r="I970" s="101">
        <f t="shared" si="63"/>
        <v>0</v>
      </c>
      <c r="J970" s="101">
        <f t="shared" si="64"/>
        <v>0</v>
      </c>
    </row>
    <row r="971" spans="2:10" x14ac:dyDescent="0.2">
      <c r="B971" s="93"/>
      <c r="C971" s="97"/>
      <c r="D971" s="93"/>
      <c r="E971" s="98"/>
      <c r="F971" s="100">
        <v>967</v>
      </c>
      <c r="G971" s="101">
        <f t="shared" si="61"/>
        <v>0</v>
      </c>
      <c r="H971" s="101">
        <f t="shared" si="62"/>
        <v>0</v>
      </c>
      <c r="I971" s="101">
        <f t="shared" si="63"/>
        <v>0</v>
      </c>
      <c r="J971" s="101">
        <f t="shared" si="64"/>
        <v>0</v>
      </c>
    </row>
    <row r="972" spans="2:10" x14ac:dyDescent="0.2">
      <c r="B972" s="93"/>
      <c r="C972" s="97"/>
      <c r="D972" s="93"/>
      <c r="E972" s="98"/>
      <c r="F972" s="100">
        <v>968</v>
      </c>
      <c r="G972" s="101">
        <f t="shared" si="61"/>
        <v>0</v>
      </c>
      <c r="H972" s="101">
        <f t="shared" si="62"/>
        <v>0</v>
      </c>
      <c r="I972" s="101">
        <f t="shared" si="63"/>
        <v>0</v>
      </c>
      <c r="J972" s="101">
        <f t="shared" si="64"/>
        <v>0</v>
      </c>
    </row>
    <row r="973" spans="2:10" x14ac:dyDescent="0.2">
      <c r="B973" s="93"/>
      <c r="C973" s="97"/>
      <c r="D973" s="93"/>
      <c r="E973" s="98"/>
      <c r="F973" s="100">
        <v>969</v>
      </c>
      <c r="G973" s="101">
        <f t="shared" si="61"/>
        <v>0</v>
      </c>
      <c r="H973" s="101">
        <f t="shared" si="62"/>
        <v>0</v>
      </c>
      <c r="I973" s="101">
        <f t="shared" si="63"/>
        <v>0</v>
      </c>
      <c r="J973" s="101">
        <f t="shared" si="64"/>
        <v>0</v>
      </c>
    </row>
    <row r="974" spans="2:10" x14ac:dyDescent="0.2">
      <c r="B974" s="93"/>
      <c r="C974" s="97"/>
      <c r="D974" s="93"/>
      <c r="E974" s="98"/>
      <c r="F974" s="100">
        <v>970</v>
      </c>
      <c r="G974" s="101">
        <f t="shared" si="61"/>
        <v>0</v>
      </c>
      <c r="H974" s="101">
        <f t="shared" si="62"/>
        <v>0</v>
      </c>
      <c r="I974" s="101">
        <f t="shared" si="63"/>
        <v>0</v>
      </c>
      <c r="J974" s="101">
        <f t="shared" si="64"/>
        <v>0</v>
      </c>
    </row>
    <row r="975" spans="2:10" x14ac:dyDescent="0.2">
      <c r="B975" s="93"/>
      <c r="C975" s="97"/>
      <c r="D975" s="93"/>
      <c r="E975" s="98"/>
      <c r="F975" s="100">
        <v>971</v>
      </c>
      <c r="G975" s="101">
        <f t="shared" si="61"/>
        <v>0</v>
      </c>
      <c r="H975" s="101">
        <f t="shared" si="62"/>
        <v>0</v>
      </c>
      <c r="I975" s="101">
        <f t="shared" si="63"/>
        <v>0</v>
      </c>
      <c r="J975" s="101">
        <f t="shared" si="64"/>
        <v>0</v>
      </c>
    </row>
    <row r="976" spans="2:10" x14ac:dyDescent="0.2">
      <c r="B976" s="93"/>
      <c r="C976" s="97"/>
      <c r="D976" s="93"/>
      <c r="E976" s="98"/>
      <c r="F976" s="100">
        <v>972</v>
      </c>
      <c r="G976" s="101">
        <f t="shared" si="61"/>
        <v>0</v>
      </c>
      <c r="H976" s="101">
        <f t="shared" si="62"/>
        <v>0</v>
      </c>
      <c r="I976" s="101">
        <f t="shared" si="63"/>
        <v>0</v>
      </c>
      <c r="J976" s="101">
        <f t="shared" si="64"/>
        <v>0</v>
      </c>
    </row>
    <row r="977" spans="2:10" x14ac:dyDescent="0.2">
      <c r="B977" s="93"/>
      <c r="C977" s="97"/>
      <c r="D977" s="93"/>
      <c r="E977" s="98"/>
      <c r="F977" s="100">
        <v>973</v>
      </c>
      <c r="G977" s="101">
        <f t="shared" si="61"/>
        <v>0</v>
      </c>
      <c r="H977" s="101">
        <f t="shared" si="62"/>
        <v>0</v>
      </c>
      <c r="I977" s="101">
        <f t="shared" si="63"/>
        <v>0</v>
      </c>
      <c r="J977" s="101">
        <f t="shared" si="64"/>
        <v>0</v>
      </c>
    </row>
    <row r="978" spans="2:10" x14ac:dyDescent="0.2">
      <c r="B978" s="93"/>
      <c r="C978" s="97"/>
      <c r="D978" s="93"/>
      <c r="E978" s="98"/>
      <c r="F978" s="100">
        <v>974</v>
      </c>
      <c r="G978" s="101">
        <f t="shared" si="61"/>
        <v>0</v>
      </c>
      <c r="H978" s="101">
        <f t="shared" si="62"/>
        <v>0</v>
      </c>
      <c r="I978" s="101">
        <f t="shared" si="63"/>
        <v>0</v>
      </c>
      <c r="J978" s="101">
        <f t="shared" si="64"/>
        <v>0</v>
      </c>
    </row>
    <row r="979" spans="2:10" x14ac:dyDescent="0.2">
      <c r="B979" s="93"/>
      <c r="C979" s="97"/>
      <c r="D979" s="93"/>
      <c r="E979" s="98"/>
      <c r="F979" s="100">
        <v>975</v>
      </c>
      <c r="G979" s="101">
        <f t="shared" si="61"/>
        <v>0</v>
      </c>
      <c r="H979" s="101">
        <f t="shared" si="62"/>
        <v>0</v>
      </c>
      <c r="I979" s="101">
        <f t="shared" si="63"/>
        <v>0</v>
      </c>
      <c r="J979" s="101">
        <f t="shared" si="64"/>
        <v>0</v>
      </c>
    </row>
    <row r="980" spans="2:10" x14ac:dyDescent="0.2">
      <c r="B980" s="93"/>
      <c r="C980" s="97"/>
      <c r="D980" s="93"/>
      <c r="E980" s="98"/>
      <c r="F980" s="100">
        <v>976</v>
      </c>
      <c r="G980" s="101">
        <f t="shared" si="61"/>
        <v>0</v>
      </c>
      <c r="H980" s="101">
        <f t="shared" si="62"/>
        <v>0</v>
      </c>
      <c r="I980" s="101">
        <f t="shared" si="63"/>
        <v>0</v>
      </c>
      <c r="J980" s="101">
        <f t="shared" si="64"/>
        <v>0</v>
      </c>
    </row>
    <row r="981" spans="2:10" x14ac:dyDescent="0.2">
      <c r="B981" s="93"/>
      <c r="C981" s="97"/>
      <c r="D981" s="93"/>
      <c r="E981" s="98"/>
      <c r="F981" s="100">
        <v>977</v>
      </c>
      <c r="G981" s="101">
        <f t="shared" si="61"/>
        <v>0</v>
      </c>
      <c r="H981" s="101">
        <f t="shared" si="62"/>
        <v>0</v>
      </c>
      <c r="I981" s="101">
        <f t="shared" si="63"/>
        <v>0</v>
      </c>
      <c r="J981" s="101">
        <f t="shared" si="64"/>
        <v>0</v>
      </c>
    </row>
    <row r="982" spans="2:10" x14ac:dyDescent="0.2">
      <c r="B982" s="93"/>
      <c r="C982" s="97"/>
      <c r="D982" s="93"/>
      <c r="E982" s="98"/>
      <c r="F982" s="100">
        <v>978</v>
      </c>
      <c r="G982" s="101">
        <f t="shared" si="61"/>
        <v>0</v>
      </c>
      <c r="H982" s="101">
        <f t="shared" si="62"/>
        <v>0</v>
      </c>
      <c r="I982" s="101">
        <f t="shared" si="63"/>
        <v>0</v>
      </c>
      <c r="J982" s="101">
        <f t="shared" si="64"/>
        <v>0</v>
      </c>
    </row>
    <row r="983" spans="2:10" x14ac:dyDescent="0.2">
      <c r="B983" s="93"/>
      <c r="C983" s="97"/>
      <c r="D983" s="93"/>
      <c r="E983" s="98"/>
      <c r="F983" s="100">
        <v>979</v>
      </c>
      <c r="G983" s="101">
        <f t="shared" si="61"/>
        <v>0</v>
      </c>
      <c r="H983" s="101">
        <f t="shared" si="62"/>
        <v>0</v>
      </c>
      <c r="I983" s="101">
        <f t="shared" si="63"/>
        <v>0</v>
      </c>
      <c r="J983" s="101">
        <f t="shared" si="64"/>
        <v>0</v>
      </c>
    </row>
    <row r="984" spans="2:10" x14ac:dyDescent="0.2">
      <c r="B984" s="93"/>
      <c r="C984" s="97"/>
      <c r="D984" s="93"/>
      <c r="E984" s="98"/>
      <c r="F984" s="100">
        <v>980</v>
      </c>
      <c r="G984" s="101">
        <f t="shared" si="61"/>
        <v>0</v>
      </c>
      <c r="H984" s="101">
        <f t="shared" si="62"/>
        <v>0</v>
      </c>
      <c r="I984" s="101">
        <f t="shared" si="63"/>
        <v>0</v>
      </c>
      <c r="J984" s="101">
        <f t="shared" si="64"/>
        <v>0</v>
      </c>
    </row>
    <row r="985" spans="2:10" x14ac:dyDescent="0.2">
      <c r="B985" s="93"/>
      <c r="C985" s="97"/>
      <c r="D985" s="93"/>
      <c r="E985" s="98"/>
      <c r="F985" s="100">
        <v>981</v>
      </c>
      <c r="G985" s="101">
        <f t="shared" si="61"/>
        <v>0</v>
      </c>
      <c r="H985" s="101">
        <f t="shared" si="62"/>
        <v>0</v>
      </c>
      <c r="I985" s="101">
        <f t="shared" si="63"/>
        <v>0</v>
      </c>
      <c r="J985" s="101">
        <f t="shared" si="64"/>
        <v>0</v>
      </c>
    </row>
    <row r="986" spans="2:10" x14ac:dyDescent="0.2">
      <c r="B986" s="93"/>
      <c r="C986" s="97"/>
      <c r="D986" s="93"/>
      <c r="E986" s="98"/>
      <c r="F986" s="100">
        <v>982</v>
      </c>
      <c r="G986" s="101">
        <f t="shared" si="61"/>
        <v>0</v>
      </c>
      <c r="H986" s="101">
        <f t="shared" si="62"/>
        <v>0</v>
      </c>
      <c r="I986" s="101">
        <f t="shared" si="63"/>
        <v>0</v>
      </c>
      <c r="J986" s="101">
        <f t="shared" si="64"/>
        <v>0</v>
      </c>
    </row>
    <row r="987" spans="2:10" x14ac:dyDescent="0.2">
      <c r="B987" s="93"/>
      <c r="C987" s="97"/>
      <c r="D987" s="93"/>
      <c r="E987" s="98"/>
      <c r="F987" s="100">
        <v>983</v>
      </c>
      <c r="G987" s="101">
        <f t="shared" si="61"/>
        <v>0</v>
      </c>
      <c r="H987" s="101">
        <f t="shared" si="62"/>
        <v>0</v>
      </c>
      <c r="I987" s="101">
        <f t="shared" si="63"/>
        <v>0</v>
      </c>
      <c r="J987" s="101">
        <f t="shared" si="64"/>
        <v>0</v>
      </c>
    </row>
    <row r="988" spans="2:10" x14ac:dyDescent="0.2">
      <c r="B988" s="93"/>
      <c r="C988" s="97"/>
      <c r="D988" s="93"/>
      <c r="E988" s="98"/>
      <c r="F988" s="100">
        <v>984</v>
      </c>
      <c r="G988" s="101">
        <f t="shared" si="61"/>
        <v>0</v>
      </c>
      <c r="H988" s="101">
        <f t="shared" si="62"/>
        <v>0</v>
      </c>
      <c r="I988" s="101">
        <f t="shared" si="63"/>
        <v>0</v>
      </c>
      <c r="J988" s="101">
        <f t="shared" si="64"/>
        <v>0</v>
      </c>
    </row>
    <row r="989" spans="2:10" x14ac:dyDescent="0.2">
      <c r="B989" s="93"/>
      <c r="C989" s="97"/>
      <c r="D989" s="93"/>
      <c r="E989" s="98"/>
      <c r="F989" s="100">
        <v>985</v>
      </c>
      <c r="G989" s="101">
        <f t="shared" si="61"/>
        <v>0</v>
      </c>
      <c r="H989" s="101">
        <f t="shared" si="62"/>
        <v>0</v>
      </c>
      <c r="I989" s="101">
        <f t="shared" si="63"/>
        <v>0</v>
      </c>
      <c r="J989" s="101">
        <f t="shared" si="64"/>
        <v>0</v>
      </c>
    </row>
    <row r="990" spans="2:10" x14ac:dyDescent="0.2">
      <c r="B990" s="93"/>
      <c r="C990" s="97"/>
      <c r="D990" s="93"/>
      <c r="E990" s="98"/>
      <c r="F990" s="100">
        <v>986</v>
      </c>
      <c r="G990" s="101">
        <f t="shared" si="61"/>
        <v>0</v>
      </c>
      <c r="H990" s="101">
        <f t="shared" si="62"/>
        <v>0</v>
      </c>
      <c r="I990" s="101">
        <f t="shared" si="63"/>
        <v>0</v>
      </c>
      <c r="J990" s="101">
        <f t="shared" si="64"/>
        <v>0</v>
      </c>
    </row>
    <row r="991" spans="2:10" x14ac:dyDescent="0.2">
      <c r="B991" s="93"/>
      <c r="C991" s="97"/>
      <c r="D991" s="93"/>
      <c r="E991" s="98"/>
      <c r="F991" s="100">
        <v>987</v>
      </c>
      <c r="G991" s="101">
        <f t="shared" si="61"/>
        <v>0</v>
      </c>
      <c r="H991" s="101">
        <f t="shared" si="62"/>
        <v>0</v>
      </c>
      <c r="I991" s="101">
        <f t="shared" si="63"/>
        <v>0</v>
      </c>
      <c r="J991" s="101">
        <f t="shared" si="64"/>
        <v>0</v>
      </c>
    </row>
    <row r="992" spans="2:10" x14ac:dyDescent="0.2">
      <c r="B992" s="93"/>
      <c r="C992" s="97"/>
      <c r="D992" s="93"/>
      <c r="E992" s="98"/>
      <c r="F992" s="100">
        <v>988</v>
      </c>
      <c r="G992" s="101">
        <f t="shared" si="61"/>
        <v>0</v>
      </c>
      <c r="H992" s="101">
        <f t="shared" si="62"/>
        <v>0</v>
      </c>
      <c r="I992" s="101">
        <f t="shared" si="63"/>
        <v>0</v>
      </c>
      <c r="J992" s="101">
        <f t="shared" si="64"/>
        <v>0</v>
      </c>
    </row>
    <row r="993" spans="2:10" x14ac:dyDescent="0.2">
      <c r="B993" s="93"/>
      <c r="C993" s="97"/>
      <c r="D993" s="93"/>
      <c r="E993" s="98"/>
      <c r="F993" s="100">
        <v>989</v>
      </c>
      <c r="G993" s="101">
        <f t="shared" si="61"/>
        <v>0</v>
      </c>
      <c r="H993" s="101">
        <f t="shared" si="62"/>
        <v>0</v>
      </c>
      <c r="I993" s="101">
        <f t="shared" si="63"/>
        <v>0</v>
      </c>
      <c r="J993" s="101">
        <f t="shared" si="64"/>
        <v>0</v>
      </c>
    </row>
    <row r="994" spans="2:10" x14ac:dyDescent="0.2">
      <c r="B994" s="93"/>
      <c r="C994" s="97"/>
      <c r="D994" s="93"/>
      <c r="E994" s="98"/>
      <c r="F994" s="100">
        <v>990</v>
      </c>
      <c r="G994" s="101">
        <f t="shared" si="61"/>
        <v>0</v>
      </c>
      <c r="H994" s="101">
        <f t="shared" si="62"/>
        <v>0</v>
      </c>
      <c r="I994" s="101">
        <f t="shared" si="63"/>
        <v>0</v>
      </c>
      <c r="J994" s="101">
        <f t="shared" si="64"/>
        <v>0</v>
      </c>
    </row>
    <row r="995" spans="2:10" x14ac:dyDescent="0.2">
      <c r="B995" s="93"/>
      <c r="C995" s="97"/>
      <c r="D995" s="93"/>
      <c r="E995" s="98"/>
      <c r="F995" s="100">
        <v>991</v>
      </c>
      <c r="G995" s="101">
        <f t="shared" si="61"/>
        <v>0</v>
      </c>
      <c r="H995" s="101">
        <f t="shared" si="62"/>
        <v>0</v>
      </c>
      <c r="I995" s="101">
        <f t="shared" si="63"/>
        <v>0</v>
      </c>
      <c r="J995" s="101">
        <f t="shared" si="64"/>
        <v>0</v>
      </c>
    </row>
    <row r="996" spans="2:10" x14ac:dyDescent="0.2">
      <c r="B996" s="93"/>
      <c r="C996" s="97"/>
      <c r="D996" s="93"/>
      <c r="E996" s="98"/>
      <c r="F996" s="100">
        <v>992</v>
      </c>
      <c r="G996" s="101">
        <f t="shared" si="61"/>
        <v>0</v>
      </c>
      <c r="H996" s="101">
        <f t="shared" si="62"/>
        <v>0</v>
      </c>
      <c r="I996" s="101">
        <f t="shared" si="63"/>
        <v>0</v>
      </c>
      <c r="J996" s="101">
        <f t="shared" si="64"/>
        <v>0</v>
      </c>
    </row>
    <row r="997" spans="2:10" x14ac:dyDescent="0.2">
      <c r="B997" s="93"/>
      <c r="C997" s="97"/>
      <c r="D997" s="93"/>
      <c r="E997" s="98"/>
      <c r="F997" s="100">
        <v>993</v>
      </c>
      <c r="G997" s="101">
        <f t="shared" si="61"/>
        <v>0</v>
      </c>
      <c r="H997" s="101">
        <f t="shared" si="62"/>
        <v>0</v>
      </c>
      <c r="I997" s="101">
        <f t="shared" si="63"/>
        <v>0</v>
      </c>
      <c r="J997" s="101">
        <f t="shared" si="64"/>
        <v>0</v>
      </c>
    </row>
    <row r="998" spans="2:10" x14ac:dyDescent="0.2">
      <c r="B998" s="93"/>
      <c r="C998" s="97"/>
      <c r="D998" s="93"/>
      <c r="E998" s="98"/>
      <c r="F998" s="100">
        <v>994</v>
      </c>
      <c r="G998" s="101">
        <f t="shared" si="61"/>
        <v>0</v>
      </c>
      <c r="H998" s="101">
        <f t="shared" si="62"/>
        <v>0</v>
      </c>
      <c r="I998" s="101">
        <f t="shared" si="63"/>
        <v>0</v>
      </c>
      <c r="J998" s="101">
        <f t="shared" si="64"/>
        <v>0</v>
      </c>
    </row>
    <row r="999" spans="2:10" x14ac:dyDescent="0.2">
      <c r="B999" s="93"/>
      <c r="C999" s="97"/>
      <c r="D999" s="93"/>
      <c r="E999" s="98"/>
      <c r="F999" s="100">
        <v>995</v>
      </c>
      <c r="G999" s="101">
        <f t="shared" si="61"/>
        <v>0</v>
      </c>
      <c r="H999" s="101">
        <f t="shared" si="62"/>
        <v>0</v>
      </c>
      <c r="I999" s="101">
        <f t="shared" si="63"/>
        <v>0</v>
      </c>
      <c r="J999" s="101">
        <f t="shared" si="64"/>
        <v>0</v>
      </c>
    </row>
    <row r="1000" spans="2:10" x14ac:dyDescent="0.2">
      <c r="B1000" s="93"/>
      <c r="C1000" s="97"/>
      <c r="D1000" s="93"/>
      <c r="E1000" s="98"/>
      <c r="F1000" s="100">
        <v>996</v>
      </c>
      <c r="G1000" s="101">
        <f t="shared" si="61"/>
        <v>0</v>
      </c>
      <c r="H1000" s="101">
        <f t="shared" si="62"/>
        <v>0</v>
      </c>
      <c r="I1000" s="101">
        <f t="shared" si="63"/>
        <v>0</v>
      </c>
      <c r="J1000" s="101">
        <f t="shared" si="64"/>
        <v>0</v>
      </c>
    </row>
    <row r="1001" spans="2:10" x14ac:dyDescent="0.2">
      <c r="B1001" s="93"/>
      <c r="C1001" s="97"/>
      <c r="D1001" s="93"/>
      <c r="E1001" s="98"/>
      <c r="F1001" s="100">
        <v>997</v>
      </c>
      <c r="G1001" s="101">
        <f t="shared" si="61"/>
        <v>0</v>
      </c>
      <c r="H1001" s="101">
        <f t="shared" si="62"/>
        <v>0</v>
      </c>
      <c r="I1001" s="101">
        <f t="shared" si="63"/>
        <v>0</v>
      </c>
      <c r="J1001" s="101">
        <f t="shared" si="64"/>
        <v>0</v>
      </c>
    </row>
    <row r="1002" spans="2:10" x14ac:dyDescent="0.2">
      <c r="B1002" s="93"/>
      <c r="C1002" s="97"/>
      <c r="D1002" s="93"/>
      <c r="E1002" s="98"/>
      <c r="F1002" s="100">
        <v>998</v>
      </c>
      <c r="G1002" s="101">
        <f t="shared" si="61"/>
        <v>0</v>
      </c>
      <c r="H1002" s="101">
        <f t="shared" si="62"/>
        <v>0</v>
      </c>
      <c r="I1002" s="101">
        <f t="shared" si="63"/>
        <v>0</v>
      </c>
      <c r="J1002" s="101">
        <f t="shared" si="64"/>
        <v>0</v>
      </c>
    </row>
    <row r="1003" spans="2:10" x14ac:dyDescent="0.2">
      <c r="B1003" s="93"/>
      <c r="C1003" s="97"/>
      <c r="D1003" s="93"/>
      <c r="E1003" s="98"/>
      <c r="F1003" s="100">
        <v>999</v>
      </c>
      <c r="G1003" s="101">
        <f t="shared" si="61"/>
        <v>0</v>
      </c>
      <c r="H1003" s="101">
        <f t="shared" si="62"/>
        <v>0</v>
      </c>
      <c r="I1003" s="101">
        <f t="shared" si="63"/>
        <v>0</v>
      </c>
      <c r="J1003" s="101">
        <f t="shared" si="64"/>
        <v>0</v>
      </c>
    </row>
    <row r="1004" spans="2:10" x14ac:dyDescent="0.2">
      <c r="B1004" s="93"/>
      <c r="C1004" s="97"/>
      <c r="D1004" s="93"/>
      <c r="E1004" s="98"/>
      <c r="F1004" s="100">
        <v>1000</v>
      </c>
      <c r="G1004" s="101">
        <f t="shared" si="61"/>
        <v>0</v>
      </c>
      <c r="H1004" s="101">
        <f t="shared" si="62"/>
        <v>0</v>
      </c>
      <c r="I1004" s="101">
        <f t="shared" si="63"/>
        <v>0</v>
      </c>
      <c r="J1004" s="101">
        <f t="shared" si="64"/>
        <v>0</v>
      </c>
    </row>
    <row r="1005" spans="2:10" x14ac:dyDescent="0.2">
      <c r="B1005" s="93"/>
      <c r="C1005" s="97"/>
      <c r="D1005" s="93"/>
      <c r="E1005" s="98"/>
      <c r="F1005" s="100">
        <v>1001</v>
      </c>
      <c r="G1005" s="101">
        <f t="shared" si="61"/>
        <v>0</v>
      </c>
      <c r="H1005" s="101">
        <f t="shared" si="62"/>
        <v>0</v>
      </c>
      <c r="I1005" s="101">
        <f t="shared" si="63"/>
        <v>0</v>
      </c>
      <c r="J1005" s="101">
        <f t="shared" si="64"/>
        <v>0</v>
      </c>
    </row>
    <row r="1006" spans="2:10" x14ac:dyDescent="0.2">
      <c r="B1006" s="93"/>
      <c r="C1006" s="97"/>
      <c r="D1006" s="93"/>
      <c r="E1006" s="98"/>
      <c r="F1006" s="100">
        <v>1002</v>
      </c>
      <c r="G1006" s="101">
        <f t="shared" si="61"/>
        <v>0</v>
      </c>
      <c r="H1006" s="101">
        <f t="shared" si="62"/>
        <v>0</v>
      </c>
      <c r="I1006" s="101">
        <f t="shared" si="63"/>
        <v>0</v>
      </c>
      <c r="J1006" s="101">
        <f t="shared" si="64"/>
        <v>0</v>
      </c>
    </row>
    <row r="1007" spans="2:10" x14ac:dyDescent="0.2">
      <c r="B1007" s="93"/>
      <c r="C1007" s="97"/>
      <c r="D1007" s="93"/>
      <c r="E1007" s="98"/>
      <c r="F1007" s="100">
        <v>1003</v>
      </c>
      <c r="G1007" s="101">
        <f t="shared" si="61"/>
        <v>0</v>
      </c>
      <c r="H1007" s="101">
        <f t="shared" si="62"/>
        <v>0</v>
      </c>
      <c r="I1007" s="101">
        <f t="shared" si="63"/>
        <v>0</v>
      </c>
      <c r="J1007" s="101">
        <f t="shared" si="64"/>
        <v>0</v>
      </c>
    </row>
    <row r="1008" spans="2:10" x14ac:dyDescent="0.2">
      <c r="B1008" s="93"/>
      <c r="C1008" s="97"/>
      <c r="D1008" s="93"/>
      <c r="E1008" s="98"/>
      <c r="F1008" s="100">
        <v>1004</v>
      </c>
      <c r="G1008" s="101">
        <f t="shared" si="61"/>
        <v>0</v>
      </c>
      <c r="H1008" s="101">
        <f t="shared" si="62"/>
        <v>0</v>
      </c>
      <c r="I1008" s="101">
        <f t="shared" si="63"/>
        <v>0</v>
      </c>
      <c r="J1008" s="101">
        <f t="shared" si="64"/>
        <v>0</v>
      </c>
    </row>
    <row r="1009" spans="2:10" x14ac:dyDescent="0.2">
      <c r="B1009" s="93"/>
      <c r="C1009" s="97"/>
      <c r="D1009" s="93"/>
      <c r="E1009" s="98"/>
      <c r="F1009" s="100">
        <v>1005</v>
      </c>
      <c r="G1009" s="101">
        <f t="shared" si="61"/>
        <v>0</v>
      </c>
      <c r="H1009" s="101">
        <f t="shared" si="62"/>
        <v>0</v>
      </c>
      <c r="I1009" s="101">
        <f t="shared" si="63"/>
        <v>0</v>
      </c>
      <c r="J1009" s="101">
        <f t="shared" si="64"/>
        <v>0</v>
      </c>
    </row>
    <row r="1010" spans="2:10" x14ac:dyDescent="0.2">
      <c r="B1010" s="93"/>
      <c r="C1010" s="97"/>
      <c r="D1010" s="93"/>
      <c r="E1010" s="98"/>
      <c r="F1010" s="100">
        <v>1006</v>
      </c>
      <c r="G1010" s="101">
        <f t="shared" si="61"/>
        <v>0</v>
      </c>
      <c r="H1010" s="101">
        <f t="shared" si="62"/>
        <v>0</v>
      </c>
      <c r="I1010" s="101">
        <f t="shared" si="63"/>
        <v>0</v>
      </c>
      <c r="J1010" s="101">
        <f t="shared" si="64"/>
        <v>0</v>
      </c>
    </row>
    <row r="1011" spans="2:10" x14ac:dyDescent="0.2">
      <c r="B1011" s="93"/>
      <c r="C1011" s="97"/>
      <c r="D1011" s="93"/>
      <c r="E1011" s="98"/>
      <c r="F1011" s="100">
        <v>1007</v>
      </c>
      <c r="G1011" s="101">
        <f t="shared" si="61"/>
        <v>0</v>
      </c>
      <c r="H1011" s="101">
        <f t="shared" si="62"/>
        <v>0</v>
      </c>
      <c r="I1011" s="101">
        <f t="shared" si="63"/>
        <v>0</v>
      </c>
      <c r="J1011" s="101">
        <f t="shared" si="64"/>
        <v>0</v>
      </c>
    </row>
    <row r="1012" spans="2:10" x14ac:dyDescent="0.2">
      <c r="B1012" s="93"/>
      <c r="C1012" s="97"/>
      <c r="D1012" s="93"/>
      <c r="E1012" s="98"/>
      <c r="F1012" s="100">
        <v>1008</v>
      </c>
      <c r="G1012" s="101">
        <f t="shared" si="61"/>
        <v>0</v>
      </c>
      <c r="H1012" s="101">
        <f t="shared" si="62"/>
        <v>0</v>
      </c>
      <c r="I1012" s="101">
        <f t="shared" si="63"/>
        <v>0</v>
      </c>
      <c r="J1012" s="101">
        <f t="shared" si="64"/>
        <v>0</v>
      </c>
    </row>
    <row r="1013" spans="2:10" x14ac:dyDescent="0.2">
      <c r="B1013" s="93"/>
      <c r="C1013" s="97"/>
      <c r="D1013" s="93"/>
      <c r="E1013" s="98"/>
      <c r="F1013" s="100">
        <v>1009</v>
      </c>
      <c r="G1013" s="101">
        <f t="shared" si="61"/>
        <v>0</v>
      </c>
      <c r="H1013" s="101">
        <f t="shared" si="62"/>
        <v>0</v>
      </c>
      <c r="I1013" s="101">
        <f t="shared" si="63"/>
        <v>0</v>
      </c>
      <c r="J1013" s="101">
        <f t="shared" si="64"/>
        <v>0</v>
      </c>
    </row>
    <row r="1014" spans="2:10" x14ac:dyDescent="0.2">
      <c r="B1014" s="93"/>
      <c r="C1014" s="97"/>
      <c r="D1014" s="93"/>
      <c r="E1014" s="98"/>
      <c r="F1014" s="100">
        <v>1010</v>
      </c>
      <c r="G1014" s="101">
        <f t="shared" si="61"/>
        <v>0</v>
      </c>
      <c r="H1014" s="101">
        <f t="shared" si="62"/>
        <v>0</v>
      </c>
      <c r="I1014" s="101">
        <f t="shared" si="63"/>
        <v>0</v>
      </c>
      <c r="J1014" s="101">
        <f t="shared" si="64"/>
        <v>0</v>
      </c>
    </row>
    <row r="1015" spans="2:10" x14ac:dyDescent="0.2">
      <c r="B1015" s="93"/>
      <c r="C1015" s="97"/>
      <c r="D1015" s="93"/>
      <c r="E1015" s="98"/>
      <c r="F1015" s="100">
        <v>1011</v>
      </c>
      <c r="G1015" s="101">
        <f t="shared" si="61"/>
        <v>0</v>
      </c>
      <c r="H1015" s="101">
        <f t="shared" si="62"/>
        <v>0</v>
      </c>
      <c r="I1015" s="101">
        <f t="shared" si="63"/>
        <v>0</v>
      </c>
      <c r="J1015" s="101">
        <f t="shared" si="64"/>
        <v>0</v>
      </c>
    </row>
    <row r="1016" spans="2:10" x14ac:dyDescent="0.2">
      <c r="B1016" s="93"/>
      <c r="C1016" s="97"/>
      <c r="D1016" s="93"/>
      <c r="E1016" s="98"/>
      <c r="F1016" s="100">
        <v>1012</v>
      </c>
      <c r="G1016" s="101">
        <f t="shared" si="61"/>
        <v>0</v>
      </c>
      <c r="H1016" s="101">
        <f t="shared" si="62"/>
        <v>0</v>
      </c>
      <c r="I1016" s="101">
        <f t="shared" si="63"/>
        <v>0</v>
      </c>
      <c r="J1016" s="101">
        <f t="shared" si="64"/>
        <v>0</v>
      </c>
    </row>
    <row r="1017" spans="2:10" x14ac:dyDescent="0.2">
      <c r="B1017" s="93"/>
      <c r="C1017" s="97"/>
      <c r="D1017" s="93"/>
      <c r="E1017" s="98"/>
      <c r="F1017" s="100">
        <v>1013</v>
      </c>
      <c r="G1017" s="101">
        <f t="shared" si="61"/>
        <v>0</v>
      </c>
      <c r="H1017" s="101">
        <f t="shared" si="62"/>
        <v>0</v>
      </c>
      <c r="I1017" s="101">
        <f t="shared" si="63"/>
        <v>0</v>
      </c>
      <c r="J1017" s="101">
        <f t="shared" si="64"/>
        <v>0</v>
      </c>
    </row>
    <row r="1018" spans="2:10" x14ac:dyDescent="0.2">
      <c r="B1018" s="93"/>
      <c r="C1018" s="97"/>
      <c r="D1018" s="93"/>
      <c r="E1018" s="98"/>
      <c r="F1018" s="100">
        <v>1014</v>
      </c>
      <c r="G1018" s="101">
        <f t="shared" si="61"/>
        <v>0</v>
      </c>
      <c r="H1018" s="101">
        <f t="shared" si="62"/>
        <v>0</v>
      </c>
      <c r="I1018" s="101">
        <f t="shared" si="63"/>
        <v>0</v>
      </c>
      <c r="J1018" s="101">
        <f t="shared" si="64"/>
        <v>0</v>
      </c>
    </row>
    <row r="1019" spans="2:10" x14ac:dyDescent="0.2">
      <c r="B1019" s="93"/>
      <c r="C1019" s="97"/>
      <c r="D1019" s="93"/>
      <c r="E1019" s="98"/>
      <c r="F1019" s="100">
        <v>1015</v>
      </c>
      <c r="G1019" s="101">
        <f t="shared" si="61"/>
        <v>0</v>
      </c>
      <c r="H1019" s="101">
        <f t="shared" si="62"/>
        <v>0</v>
      </c>
      <c r="I1019" s="101">
        <f t="shared" si="63"/>
        <v>0</v>
      </c>
      <c r="J1019" s="101">
        <f t="shared" si="64"/>
        <v>0</v>
      </c>
    </row>
    <row r="1020" spans="2:10" x14ac:dyDescent="0.2">
      <c r="B1020" s="93"/>
      <c r="C1020" s="97"/>
      <c r="D1020" s="93"/>
      <c r="E1020" s="98"/>
      <c r="F1020" s="100">
        <v>1016</v>
      </c>
      <c r="G1020" s="101">
        <f t="shared" si="61"/>
        <v>0</v>
      </c>
      <c r="H1020" s="101">
        <f t="shared" si="62"/>
        <v>0</v>
      </c>
      <c r="I1020" s="101">
        <f t="shared" si="63"/>
        <v>0</v>
      </c>
      <c r="J1020" s="101">
        <f t="shared" si="64"/>
        <v>0</v>
      </c>
    </row>
    <row r="1021" spans="2:10" x14ac:dyDescent="0.2">
      <c r="B1021" s="93"/>
      <c r="C1021" s="97"/>
      <c r="D1021" s="93"/>
      <c r="E1021" s="98"/>
      <c r="F1021" s="100">
        <v>1017</v>
      </c>
      <c r="G1021" s="101">
        <f t="shared" si="61"/>
        <v>0</v>
      </c>
      <c r="H1021" s="101">
        <f t="shared" si="62"/>
        <v>0</v>
      </c>
      <c r="I1021" s="101">
        <f t="shared" si="63"/>
        <v>0</v>
      </c>
      <c r="J1021" s="101">
        <f t="shared" si="64"/>
        <v>0</v>
      </c>
    </row>
    <row r="1022" spans="2:10" x14ac:dyDescent="0.2">
      <c r="B1022" s="93"/>
      <c r="C1022" s="97"/>
      <c r="D1022" s="93"/>
      <c r="E1022" s="98"/>
      <c r="F1022" s="100">
        <v>1018</v>
      </c>
      <c r="G1022" s="101">
        <f t="shared" si="61"/>
        <v>0</v>
      </c>
      <c r="H1022" s="101">
        <f t="shared" si="62"/>
        <v>0</v>
      </c>
      <c r="I1022" s="101">
        <f t="shared" si="63"/>
        <v>0</v>
      </c>
      <c r="J1022" s="101">
        <f t="shared" si="64"/>
        <v>0</v>
      </c>
    </row>
    <row r="1023" spans="2:10" x14ac:dyDescent="0.2">
      <c r="B1023" s="93"/>
      <c r="C1023" s="97"/>
      <c r="D1023" s="93"/>
      <c r="E1023" s="98"/>
      <c r="F1023" s="100">
        <v>1019</v>
      </c>
      <c r="G1023" s="101">
        <f t="shared" si="61"/>
        <v>0</v>
      </c>
      <c r="H1023" s="101">
        <f t="shared" si="62"/>
        <v>0</v>
      </c>
      <c r="I1023" s="101">
        <f t="shared" si="63"/>
        <v>0</v>
      </c>
      <c r="J1023" s="101">
        <f t="shared" si="64"/>
        <v>0</v>
      </c>
    </row>
    <row r="1024" spans="2:10" x14ac:dyDescent="0.2">
      <c r="B1024" s="93"/>
      <c r="C1024" s="97"/>
      <c r="D1024" s="93"/>
      <c r="E1024" s="98"/>
      <c r="F1024" s="100">
        <v>1020</v>
      </c>
      <c r="G1024" s="101">
        <f t="shared" si="61"/>
        <v>0</v>
      </c>
      <c r="H1024" s="101">
        <f t="shared" si="62"/>
        <v>0</v>
      </c>
      <c r="I1024" s="101">
        <f t="shared" si="63"/>
        <v>0</v>
      </c>
      <c r="J1024" s="101">
        <f t="shared" si="64"/>
        <v>0</v>
      </c>
    </row>
    <row r="1025" spans="2:10" x14ac:dyDescent="0.2">
      <c r="B1025" s="93"/>
      <c r="C1025" s="97"/>
      <c r="D1025" s="93"/>
      <c r="E1025" s="98"/>
      <c r="F1025" s="100">
        <v>1021</v>
      </c>
      <c r="G1025" s="101">
        <f t="shared" si="61"/>
        <v>0</v>
      </c>
      <c r="H1025" s="101">
        <f t="shared" si="62"/>
        <v>0</v>
      </c>
      <c r="I1025" s="101">
        <f t="shared" si="63"/>
        <v>0</v>
      </c>
      <c r="J1025" s="101">
        <f t="shared" si="64"/>
        <v>0</v>
      </c>
    </row>
    <row r="1026" spans="2:10" x14ac:dyDescent="0.2">
      <c r="B1026" s="93"/>
      <c r="C1026" s="97"/>
      <c r="D1026" s="93"/>
      <c r="E1026" s="98"/>
      <c r="F1026" s="100">
        <v>1022</v>
      </c>
      <c r="G1026" s="101">
        <f t="shared" si="61"/>
        <v>0</v>
      </c>
      <c r="H1026" s="101">
        <f t="shared" si="62"/>
        <v>0</v>
      </c>
      <c r="I1026" s="101">
        <f t="shared" si="63"/>
        <v>0</v>
      </c>
      <c r="J1026" s="101">
        <f t="shared" si="64"/>
        <v>0</v>
      </c>
    </row>
    <row r="1027" spans="2:10" x14ac:dyDescent="0.2">
      <c r="B1027" s="93"/>
      <c r="C1027" s="97"/>
      <c r="D1027" s="93"/>
      <c r="E1027" s="98"/>
      <c r="F1027" s="100">
        <v>1023</v>
      </c>
      <c r="G1027" s="101">
        <f t="shared" si="61"/>
        <v>0</v>
      </c>
      <c r="H1027" s="101">
        <f t="shared" si="62"/>
        <v>0</v>
      </c>
      <c r="I1027" s="101">
        <f t="shared" si="63"/>
        <v>0</v>
      </c>
      <c r="J1027" s="101">
        <f t="shared" si="64"/>
        <v>0</v>
      </c>
    </row>
    <row r="1028" spans="2:10" x14ac:dyDescent="0.2">
      <c r="B1028" s="93"/>
      <c r="C1028" s="97"/>
      <c r="D1028" s="93"/>
      <c r="E1028" s="98"/>
      <c r="F1028" s="100">
        <v>1024</v>
      </c>
      <c r="G1028" s="101">
        <f t="shared" si="61"/>
        <v>0</v>
      </c>
      <c r="H1028" s="101">
        <f t="shared" si="62"/>
        <v>0</v>
      </c>
      <c r="I1028" s="101">
        <f t="shared" si="63"/>
        <v>0</v>
      </c>
      <c r="J1028" s="101">
        <f t="shared" si="64"/>
        <v>0</v>
      </c>
    </row>
    <row r="1029" spans="2:10" x14ac:dyDescent="0.2">
      <c r="B1029" s="93"/>
      <c r="C1029" s="97"/>
      <c r="D1029" s="93"/>
      <c r="E1029" s="98"/>
      <c r="F1029" s="100">
        <v>1025</v>
      </c>
      <c r="G1029" s="101">
        <f t="shared" si="61"/>
        <v>0</v>
      </c>
      <c r="H1029" s="101">
        <f t="shared" si="62"/>
        <v>0</v>
      </c>
      <c r="I1029" s="101">
        <f t="shared" si="63"/>
        <v>0</v>
      </c>
      <c r="J1029" s="101">
        <f t="shared" si="64"/>
        <v>0</v>
      </c>
    </row>
    <row r="1030" spans="2:10" x14ac:dyDescent="0.2">
      <c r="B1030" s="93"/>
      <c r="C1030" s="97"/>
      <c r="D1030" s="93"/>
      <c r="E1030" s="98"/>
      <c r="F1030" s="100">
        <v>1026</v>
      </c>
      <c r="G1030" s="101">
        <f t="shared" ref="G1030:G1093" si="65">B1030</f>
        <v>0</v>
      </c>
      <c r="H1030" s="101">
        <f t="shared" ref="H1030:H1093" si="66">C1030</f>
        <v>0</v>
      </c>
      <c r="I1030" s="101">
        <f t="shared" ref="I1030:I1093" si="67">D1030</f>
        <v>0</v>
      </c>
      <c r="J1030" s="101">
        <f t="shared" ref="J1030:J1093" si="68">E1030</f>
        <v>0</v>
      </c>
    </row>
    <row r="1031" spans="2:10" x14ac:dyDescent="0.2">
      <c r="B1031" s="93"/>
      <c r="C1031" s="97"/>
      <c r="D1031" s="93"/>
      <c r="E1031" s="98"/>
      <c r="F1031" s="100">
        <v>1027</v>
      </c>
      <c r="G1031" s="101">
        <f t="shared" si="65"/>
        <v>0</v>
      </c>
      <c r="H1031" s="101">
        <f t="shared" si="66"/>
        <v>0</v>
      </c>
      <c r="I1031" s="101">
        <f t="shared" si="67"/>
        <v>0</v>
      </c>
      <c r="J1031" s="101">
        <f t="shared" si="68"/>
        <v>0</v>
      </c>
    </row>
    <row r="1032" spans="2:10" x14ac:dyDescent="0.2">
      <c r="B1032" s="93"/>
      <c r="C1032" s="97"/>
      <c r="D1032" s="93"/>
      <c r="E1032" s="98"/>
      <c r="F1032" s="100">
        <v>1028</v>
      </c>
      <c r="G1032" s="101">
        <f t="shared" si="65"/>
        <v>0</v>
      </c>
      <c r="H1032" s="101">
        <f t="shared" si="66"/>
        <v>0</v>
      </c>
      <c r="I1032" s="101">
        <f t="shared" si="67"/>
        <v>0</v>
      </c>
      <c r="J1032" s="101">
        <f t="shared" si="68"/>
        <v>0</v>
      </c>
    </row>
    <row r="1033" spans="2:10" x14ac:dyDescent="0.2">
      <c r="B1033" s="93"/>
      <c r="C1033" s="97"/>
      <c r="D1033" s="93"/>
      <c r="E1033" s="98"/>
      <c r="F1033" s="100">
        <v>1029</v>
      </c>
      <c r="G1033" s="101">
        <f t="shared" si="65"/>
        <v>0</v>
      </c>
      <c r="H1033" s="101">
        <f t="shared" si="66"/>
        <v>0</v>
      </c>
      <c r="I1033" s="101">
        <f t="shared" si="67"/>
        <v>0</v>
      </c>
      <c r="J1033" s="101">
        <f t="shared" si="68"/>
        <v>0</v>
      </c>
    </row>
    <row r="1034" spans="2:10" x14ac:dyDescent="0.2">
      <c r="B1034" s="93"/>
      <c r="C1034" s="97"/>
      <c r="D1034" s="93"/>
      <c r="E1034" s="98"/>
      <c r="F1034" s="100">
        <v>1030</v>
      </c>
      <c r="G1034" s="101">
        <f t="shared" si="65"/>
        <v>0</v>
      </c>
      <c r="H1034" s="101">
        <f t="shared" si="66"/>
        <v>0</v>
      </c>
      <c r="I1034" s="101">
        <f t="shared" si="67"/>
        <v>0</v>
      </c>
      <c r="J1034" s="101">
        <f t="shared" si="68"/>
        <v>0</v>
      </c>
    </row>
    <row r="1035" spans="2:10" x14ac:dyDescent="0.2">
      <c r="B1035" s="93"/>
      <c r="C1035" s="97"/>
      <c r="D1035" s="93"/>
      <c r="E1035" s="98"/>
      <c r="F1035" s="100">
        <v>1031</v>
      </c>
      <c r="G1035" s="101">
        <f t="shared" si="65"/>
        <v>0</v>
      </c>
      <c r="H1035" s="101">
        <f t="shared" si="66"/>
        <v>0</v>
      </c>
      <c r="I1035" s="101">
        <f t="shared" si="67"/>
        <v>0</v>
      </c>
      <c r="J1035" s="101">
        <f t="shared" si="68"/>
        <v>0</v>
      </c>
    </row>
    <row r="1036" spans="2:10" x14ac:dyDescent="0.2">
      <c r="B1036" s="93"/>
      <c r="C1036" s="97"/>
      <c r="D1036" s="93"/>
      <c r="E1036" s="98"/>
      <c r="F1036" s="100">
        <v>1032</v>
      </c>
      <c r="G1036" s="101">
        <f t="shared" si="65"/>
        <v>0</v>
      </c>
      <c r="H1036" s="101">
        <f t="shared" si="66"/>
        <v>0</v>
      </c>
      <c r="I1036" s="101">
        <f t="shared" si="67"/>
        <v>0</v>
      </c>
      <c r="J1036" s="101">
        <f t="shared" si="68"/>
        <v>0</v>
      </c>
    </row>
    <row r="1037" spans="2:10" x14ac:dyDescent="0.2">
      <c r="B1037" s="93"/>
      <c r="C1037" s="97"/>
      <c r="D1037" s="93"/>
      <c r="E1037" s="98"/>
      <c r="F1037" s="100">
        <v>1033</v>
      </c>
      <c r="G1037" s="101">
        <f t="shared" si="65"/>
        <v>0</v>
      </c>
      <c r="H1037" s="101">
        <f t="shared" si="66"/>
        <v>0</v>
      </c>
      <c r="I1037" s="101">
        <f t="shared" si="67"/>
        <v>0</v>
      </c>
      <c r="J1037" s="101">
        <f t="shared" si="68"/>
        <v>0</v>
      </c>
    </row>
    <row r="1038" spans="2:10" x14ac:dyDescent="0.2">
      <c r="B1038" s="93"/>
      <c r="C1038" s="97"/>
      <c r="D1038" s="93"/>
      <c r="E1038" s="98"/>
      <c r="F1038" s="100">
        <v>1034</v>
      </c>
      <c r="G1038" s="101">
        <f t="shared" si="65"/>
        <v>0</v>
      </c>
      <c r="H1038" s="101">
        <f t="shared" si="66"/>
        <v>0</v>
      </c>
      <c r="I1038" s="101">
        <f t="shared" si="67"/>
        <v>0</v>
      </c>
      <c r="J1038" s="101">
        <f t="shared" si="68"/>
        <v>0</v>
      </c>
    </row>
    <row r="1039" spans="2:10" x14ac:dyDescent="0.2">
      <c r="B1039" s="93"/>
      <c r="C1039" s="97"/>
      <c r="D1039" s="93"/>
      <c r="E1039" s="98"/>
      <c r="F1039" s="100">
        <v>1035</v>
      </c>
      <c r="G1039" s="101">
        <f t="shared" si="65"/>
        <v>0</v>
      </c>
      <c r="H1039" s="101">
        <f t="shared" si="66"/>
        <v>0</v>
      </c>
      <c r="I1039" s="101">
        <f t="shared" si="67"/>
        <v>0</v>
      </c>
      <c r="J1039" s="101">
        <f t="shared" si="68"/>
        <v>0</v>
      </c>
    </row>
    <row r="1040" spans="2:10" x14ac:dyDescent="0.2">
      <c r="B1040" s="93"/>
      <c r="C1040" s="97"/>
      <c r="D1040" s="93"/>
      <c r="E1040" s="98"/>
      <c r="F1040" s="100">
        <v>1036</v>
      </c>
      <c r="G1040" s="101">
        <f t="shared" si="65"/>
        <v>0</v>
      </c>
      <c r="H1040" s="101">
        <f t="shared" si="66"/>
        <v>0</v>
      </c>
      <c r="I1040" s="101">
        <f t="shared" si="67"/>
        <v>0</v>
      </c>
      <c r="J1040" s="101">
        <f t="shared" si="68"/>
        <v>0</v>
      </c>
    </row>
    <row r="1041" spans="2:10" x14ac:dyDescent="0.2">
      <c r="B1041" s="93"/>
      <c r="C1041" s="97"/>
      <c r="D1041" s="93"/>
      <c r="E1041" s="98"/>
      <c r="F1041" s="100">
        <v>1037</v>
      </c>
      <c r="G1041" s="101">
        <f t="shared" si="65"/>
        <v>0</v>
      </c>
      <c r="H1041" s="101">
        <f t="shared" si="66"/>
        <v>0</v>
      </c>
      <c r="I1041" s="101">
        <f t="shared" si="67"/>
        <v>0</v>
      </c>
      <c r="J1041" s="101">
        <f t="shared" si="68"/>
        <v>0</v>
      </c>
    </row>
    <row r="1042" spans="2:10" x14ac:dyDescent="0.2">
      <c r="B1042" s="93"/>
      <c r="C1042" s="97"/>
      <c r="D1042" s="93"/>
      <c r="E1042" s="98"/>
      <c r="F1042" s="100">
        <v>1038</v>
      </c>
      <c r="G1042" s="101">
        <f t="shared" si="65"/>
        <v>0</v>
      </c>
      <c r="H1042" s="101">
        <f t="shared" si="66"/>
        <v>0</v>
      </c>
      <c r="I1042" s="101">
        <f t="shared" si="67"/>
        <v>0</v>
      </c>
      <c r="J1042" s="101">
        <f t="shared" si="68"/>
        <v>0</v>
      </c>
    </row>
    <row r="1043" spans="2:10" x14ac:dyDescent="0.2">
      <c r="B1043" s="93"/>
      <c r="C1043" s="97"/>
      <c r="D1043" s="93"/>
      <c r="E1043" s="98"/>
      <c r="F1043" s="100">
        <v>1039</v>
      </c>
      <c r="G1043" s="101">
        <f t="shared" si="65"/>
        <v>0</v>
      </c>
      <c r="H1043" s="101">
        <f t="shared" si="66"/>
        <v>0</v>
      </c>
      <c r="I1043" s="101">
        <f t="shared" si="67"/>
        <v>0</v>
      </c>
      <c r="J1043" s="101">
        <f t="shared" si="68"/>
        <v>0</v>
      </c>
    </row>
    <row r="1044" spans="2:10" x14ac:dyDescent="0.2">
      <c r="B1044" s="93"/>
      <c r="C1044" s="97"/>
      <c r="D1044" s="93"/>
      <c r="E1044" s="98"/>
      <c r="F1044" s="100">
        <v>1040</v>
      </c>
      <c r="G1044" s="101">
        <f t="shared" si="65"/>
        <v>0</v>
      </c>
      <c r="H1044" s="101">
        <f t="shared" si="66"/>
        <v>0</v>
      </c>
      <c r="I1044" s="101">
        <f t="shared" si="67"/>
        <v>0</v>
      </c>
      <c r="J1044" s="101">
        <f t="shared" si="68"/>
        <v>0</v>
      </c>
    </row>
    <row r="1045" spans="2:10" x14ac:dyDescent="0.2">
      <c r="B1045" s="93"/>
      <c r="C1045" s="97"/>
      <c r="D1045" s="93"/>
      <c r="E1045" s="98"/>
      <c r="F1045" s="100">
        <v>1041</v>
      </c>
      <c r="G1045" s="101">
        <f t="shared" si="65"/>
        <v>0</v>
      </c>
      <c r="H1045" s="101">
        <f t="shared" si="66"/>
        <v>0</v>
      </c>
      <c r="I1045" s="101">
        <f t="shared" si="67"/>
        <v>0</v>
      </c>
      <c r="J1045" s="101">
        <f t="shared" si="68"/>
        <v>0</v>
      </c>
    </row>
    <row r="1046" spans="2:10" x14ac:dyDescent="0.2">
      <c r="B1046" s="93"/>
      <c r="C1046" s="97"/>
      <c r="D1046" s="93"/>
      <c r="E1046" s="98"/>
      <c r="F1046" s="100">
        <v>1042</v>
      </c>
      <c r="G1046" s="101">
        <f t="shared" si="65"/>
        <v>0</v>
      </c>
      <c r="H1046" s="101">
        <f t="shared" si="66"/>
        <v>0</v>
      </c>
      <c r="I1046" s="101">
        <f t="shared" si="67"/>
        <v>0</v>
      </c>
      <c r="J1046" s="101">
        <f t="shared" si="68"/>
        <v>0</v>
      </c>
    </row>
    <row r="1047" spans="2:10" x14ac:dyDescent="0.2">
      <c r="B1047" s="93"/>
      <c r="C1047" s="97"/>
      <c r="D1047" s="93"/>
      <c r="E1047" s="98"/>
      <c r="F1047" s="100">
        <v>1043</v>
      </c>
      <c r="G1047" s="101">
        <f t="shared" si="65"/>
        <v>0</v>
      </c>
      <c r="H1047" s="101">
        <f t="shared" si="66"/>
        <v>0</v>
      </c>
      <c r="I1047" s="101">
        <f t="shared" si="67"/>
        <v>0</v>
      </c>
      <c r="J1047" s="101">
        <f t="shared" si="68"/>
        <v>0</v>
      </c>
    </row>
    <row r="1048" spans="2:10" x14ac:dyDescent="0.2">
      <c r="B1048" s="93"/>
      <c r="C1048" s="97"/>
      <c r="D1048" s="93"/>
      <c r="E1048" s="98"/>
      <c r="F1048" s="100">
        <v>1044</v>
      </c>
      <c r="G1048" s="101">
        <f t="shared" si="65"/>
        <v>0</v>
      </c>
      <c r="H1048" s="101">
        <f t="shared" si="66"/>
        <v>0</v>
      </c>
      <c r="I1048" s="101">
        <f t="shared" si="67"/>
        <v>0</v>
      </c>
      <c r="J1048" s="101">
        <f t="shared" si="68"/>
        <v>0</v>
      </c>
    </row>
    <row r="1049" spans="2:10" x14ac:dyDescent="0.2">
      <c r="B1049" s="93"/>
      <c r="C1049" s="97"/>
      <c r="D1049" s="93"/>
      <c r="E1049" s="98"/>
      <c r="F1049" s="100">
        <v>1045</v>
      </c>
      <c r="G1049" s="101">
        <f t="shared" si="65"/>
        <v>0</v>
      </c>
      <c r="H1049" s="101">
        <f t="shared" si="66"/>
        <v>0</v>
      </c>
      <c r="I1049" s="101">
        <f t="shared" si="67"/>
        <v>0</v>
      </c>
      <c r="J1049" s="101">
        <f t="shared" si="68"/>
        <v>0</v>
      </c>
    </row>
    <row r="1050" spans="2:10" x14ac:dyDescent="0.2">
      <c r="B1050" s="93"/>
      <c r="C1050" s="97"/>
      <c r="D1050" s="93"/>
      <c r="E1050" s="98"/>
      <c r="F1050" s="100">
        <v>1046</v>
      </c>
      <c r="G1050" s="101">
        <f t="shared" si="65"/>
        <v>0</v>
      </c>
      <c r="H1050" s="101">
        <f t="shared" si="66"/>
        <v>0</v>
      </c>
      <c r="I1050" s="101">
        <f t="shared" si="67"/>
        <v>0</v>
      </c>
      <c r="J1050" s="101">
        <f t="shared" si="68"/>
        <v>0</v>
      </c>
    </row>
    <row r="1051" spans="2:10" x14ac:dyDescent="0.2">
      <c r="B1051" s="93"/>
      <c r="C1051" s="97"/>
      <c r="D1051" s="93"/>
      <c r="E1051" s="98"/>
      <c r="F1051" s="100">
        <v>1047</v>
      </c>
      <c r="G1051" s="101">
        <f t="shared" si="65"/>
        <v>0</v>
      </c>
      <c r="H1051" s="101">
        <f t="shared" si="66"/>
        <v>0</v>
      </c>
      <c r="I1051" s="101">
        <f t="shared" si="67"/>
        <v>0</v>
      </c>
      <c r="J1051" s="101">
        <f t="shared" si="68"/>
        <v>0</v>
      </c>
    </row>
    <row r="1052" spans="2:10" x14ac:dyDescent="0.2">
      <c r="B1052" s="93"/>
      <c r="C1052" s="97"/>
      <c r="D1052" s="93"/>
      <c r="E1052" s="98"/>
      <c r="F1052" s="100">
        <v>1048</v>
      </c>
      <c r="G1052" s="101">
        <f t="shared" si="65"/>
        <v>0</v>
      </c>
      <c r="H1052" s="101">
        <f t="shared" si="66"/>
        <v>0</v>
      </c>
      <c r="I1052" s="101">
        <f t="shared" si="67"/>
        <v>0</v>
      </c>
      <c r="J1052" s="101">
        <f t="shared" si="68"/>
        <v>0</v>
      </c>
    </row>
    <row r="1053" spans="2:10" x14ac:dyDescent="0.2">
      <c r="B1053" s="93"/>
      <c r="C1053" s="97"/>
      <c r="D1053" s="93"/>
      <c r="E1053" s="98"/>
      <c r="F1053" s="100">
        <v>1049</v>
      </c>
      <c r="G1053" s="101">
        <f t="shared" si="65"/>
        <v>0</v>
      </c>
      <c r="H1053" s="101">
        <f t="shared" si="66"/>
        <v>0</v>
      </c>
      <c r="I1053" s="101">
        <f t="shared" si="67"/>
        <v>0</v>
      </c>
      <c r="J1053" s="101">
        <f t="shared" si="68"/>
        <v>0</v>
      </c>
    </row>
    <row r="1054" spans="2:10" x14ac:dyDescent="0.2">
      <c r="B1054" s="93"/>
      <c r="C1054" s="97"/>
      <c r="D1054" s="93"/>
      <c r="E1054" s="98"/>
      <c r="F1054" s="100">
        <v>1050</v>
      </c>
      <c r="G1054" s="101">
        <f t="shared" si="65"/>
        <v>0</v>
      </c>
      <c r="H1054" s="101">
        <f t="shared" si="66"/>
        <v>0</v>
      </c>
      <c r="I1054" s="101">
        <f t="shared" si="67"/>
        <v>0</v>
      </c>
      <c r="J1054" s="101">
        <f t="shared" si="68"/>
        <v>0</v>
      </c>
    </row>
    <row r="1055" spans="2:10" x14ac:dyDescent="0.2">
      <c r="B1055" s="93"/>
      <c r="C1055" s="97"/>
      <c r="D1055" s="93"/>
      <c r="E1055" s="98"/>
      <c r="F1055" s="100">
        <v>1051</v>
      </c>
      <c r="G1055" s="101">
        <f t="shared" si="65"/>
        <v>0</v>
      </c>
      <c r="H1055" s="101">
        <f t="shared" si="66"/>
        <v>0</v>
      </c>
      <c r="I1055" s="101">
        <f t="shared" si="67"/>
        <v>0</v>
      </c>
      <c r="J1055" s="101">
        <f t="shared" si="68"/>
        <v>0</v>
      </c>
    </row>
    <row r="1056" spans="2:10" x14ac:dyDescent="0.2">
      <c r="B1056" s="93"/>
      <c r="C1056" s="97"/>
      <c r="D1056" s="93"/>
      <c r="E1056" s="98"/>
      <c r="F1056" s="100">
        <v>1052</v>
      </c>
      <c r="G1056" s="101">
        <f t="shared" si="65"/>
        <v>0</v>
      </c>
      <c r="H1056" s="101">
        <f t="shared" si="66"/>
        <v>0</v>
      </c>
      <c r="I1056" s="101">
        <f t="shared" si="67"/>
        <v>0</v>
      </c>
      <c r="J1056" s="101">
        <f t="shared" si="68"/>
        <v>0</v>
      </c>
    </row>
    <row r="1057" spans="2:10" x14ac:dyDescent="0.2">
      <c r="B1057" s="93"/>
      <c r="C1057" s="97"/>
      <c r="D1057" s="93"/>
      <c r="E1057" s="98"/>
      <c r="F1057" s="100">
        <v>1053</v>
      </c>
      <c r="G1057" s="101">
        <f t="shared" si="65"/>
        <v>0</v>
      </c>
      <c r="H1057" s="101">
        <f t="shared" si="66"/>
        <v>0</v>
      </c>
      <c r="I1057" s="101">
        <f t="shared" si="67"/>
        <v>0</v>
      </c>
      <c r="J1057" s="101">
        <f t="shared" si="68"/>
        <v>0</v>
      </c>
    </row>
    <row r="1058" spans="2:10" x14ac:dyDescent="0.2">
      <c r="B1058" s="93"/>
      <c r="C1058" s="97"/>
      <c r="D1058" s="93"/>
      <c r="E1058" s="98"/>
      <c r="F1058" s="100">
        <v>1054</v>
      </c>
      <c r="G1058" s="101">
        <f t="shared" si="65"/>
        <v>0</v>
      </c>
      <c r="H1058" s="101">
        <f t="shared" si="66"/>
        <v>0</v>
      </c>
      <c r="I1058" s="101">
        <f t="shared" si="67"/>
        <v>0</v>
      </c>
      <c r="J1058" s="101">
        <f t="shared" si="68"/>
        <v>0</v>
      </c>
    </row>
    <row r="1059" spans="2:10" x14ac:dyDescent="0.2">
      <c r="B1059" s="93"/>
      <c r="C1059" s="97"/>
      <c r="D1059" s="93"/>
      <c r="E1059" s="98"/>
      <c r="F1059" s="100">
        <v>1055</v>
      </c>
      <c r="G1059" s="101">
        <f t="shared" si="65"/>
        <v>0</v>
      </c>
      <c r="H1059" s="101">
        <f t="shared" si="66"/>
        <v>0</v>
      </c>
      <c r="I1059" s="101">
        <f t="shared" si="67"/>
        <v>0</v>
      </c>
      <c r="J1059" s="101">
        <f t="shared" si="68"/>
        <v>0</v>
      </c>
    </row>
    <row r="1060" spans="2:10" x14ac:dyDescent="0.2">
      <c r="B1060" s="93"/>
      <c r="C1060" s="97"/>
      <c r="D1060" s="93"/>
      <c r="E1060" s="98"/>
      <c r="F1060" s="100">
        <v>1056</v>
      </c>
      <c r="G1060" s="101">
        <f t="shared" si="65"/>
        <v>0</v>
      </c>
      <c r="H1060" s="101">
        <f t="shared" si="66"/>
        <v>0</v>
      </c>
      <c r="I1060" s="101">
        <f t="shared" si="67"/>
        <v>0</v>
      </c>
      <c r="J1060" s="101">
        <f t="shared" si="68"/>
        <v>0</v>
      </c>
    </row>
    <row r="1061" spans="2:10" x14ac:dyDescent="0.2">
      <c r="B1061" s="93"/>
      <c r="C1061" s="97"/>
      <c r="D1061" s="93"/>
      <c r="E1061" s="98"/>
      <c r="F1061" s="100">
        <v>1057</v>
      </c>
      <c r="G1061" s="101">
        <f t="shared" si="65"/>
        <v>0</v>
      </c>
      <c r="H1061" s="101">
        <f t="shared" si="66"/>
        <v>0</v>
      </c>
      <c r="I1061" s="101">
        <f t="shared" si="67"/>
        <v>0</v>
      </c>
      <c r="J1061" s="101">
        <f t="shared" si="68"/>
        <v>0</v>
      </c>
    </row>
    <row r="1062" spans="2:10" x14ac:dyDescent="0.2">
      <c r="B1062" s="93"/>
      <c r="C1062" s="97"/>
      <c r="D1062" s="93"/>
      <c r="E1062" s="98"/>
      <c r="F1062" s="100">
        <v>1058</v>
      </c>
      <c r="G1062" s="101">
        <f t="shared" si="65"/>
        <v>0</v>
      </c>
      <c r="H1062" s="101">
        <f t="shared" si="66"/>
        <v>0</v>
      </c>
      <c r="I1062" s="101">
        <f t="shared" si="67"/>
        <v>0</v>
      </c>
      <c r="J1062" s="101">
        <f t="shared" si="68"/>
        <v>0</v>
      </c>
    </row>
    <row r="1063" spans="2:10" x14ac:dyDescent="0.2">
      <c r="B1063" s="93"/>
      <c r="C1063" s="97"/>
      <c r="D1063" s="93"/>
      <c r="E1063" s="98"/>
      <c r="F1063" s="100">
        <v>1059</v>
      </c>
      <c r="G1063" s="101">
        <f t="shared" si="65"/>
        <v>0</v>
      </c>
      <c r="H1063" s="101">
        <f t="shared" si="66"/>
        <v>0</v>
      </c>
      <c r="I1063" s="101">
        <f t="shared" si="67"/>
        <v>0</v>
      </c>
      <c r="J1063" s="101">
        <f t="shared" si="68"/>
        <v>0</v>
      </c>
    </row>
    <row r="1064" spans="2:10" x14ac:dyDescent="0.2">
      <c r="B1064" s="93"/>
      <c r="C1064" s="97"/>
      <c r="D1064" s="93"/>
      <c r="E1064" s="98"/>
      <c r="F1064" s="100">
        <v>1060</v>
      </c>
      <c r="G1064" s="101">
        <f t="shared" si="65"/>
        <v>0</v>
      </c>
      <c r="H1064" s="101">
        <f t="shared" si="66"/>
        <v>0</v>
      </c>
      <c r="I1064" s="101">
        <f t="shared" si="67"/>
        <v>0</v>
      </c>
      <c r="J1064" s="101">
        <f t="shared" si="68"/>
        <v>0</v>
      </c>
    </row>
    <row r="1065" spans="2:10" x14ac:dyDescent="0.2">
      <c r="B1065" s="93"/>
      <c r="C1065" s="97"/>
      <c r="D1065" s="93"/>
      <c r="E1065" s="98"/>
      <c r="F1065" s="100">
        <v>1061</v>
      </c>
      <c r="G1065" s="101">
        <f t="shared" si="65"/>
        <v>0</v>
      </c>
      <c r="H1065" s="101">
        <f t="shared" si="66"/>
        <v>0</v>
      </c>
      <c r="I1065" s="101">
        <f t="shared" si="67"/>
        <v>0</v>
      </c>
      <c r="J1065" s="101">
        <f t="shared" si="68"/>
        <v>0</v>
      </c>
    </row>
    <row r="1066" spans="2:10" x14ac:dyDescent="0.2">
      <c r="B1066" s="93"/>
      <c r="C1066" s="97"/>
      <c r="D1066" s="93"/>
      <c r="E1066" s="98"/>
      <c r="F1066" s="100">
        <v>1062</v>
      </c>
      <c r="G1066" s="101">
        <f t="shared" si="65"/>
        <v>0</v>
      </c>
      <c r="H1066" s="101">
        <f t="shared" si="66"/>
        <v>0</v>
      </c>
      <c r="I1066" s="101">
        <f t="shared" si="67"/>
        <v>0</v>
      </c>
      <c r="J1066" s="101">
        <f t="shared" si="68"/>
        <v>0</v>
      </c>
    </row>
    <row r="1067" spans="2:10" x14ac:dyDescent="0.2">
      <c r="B1067" s="93"/>
      <c r="C1067" s="97"/>
      <c r="D1067" s="93"/>
      <c r="E1067" s="98"/>
      <c r="F1067" s="100">
        <v>1063</v>
      </c>
      <c r="G1067" s="101">
        <f t="shared" si="65"/>
        <v>0</v>
      </c>
      <c r="H1067" s="101">
        <f t="shared" si="66"/>
        <v>0</v>
      </c>
      <c r="I1067" s="101">
        <f t="shared" si="67"/>
        <v>0</v>
      </c>
      <c r="J1067" s="101">
        <f t="shared" si="68"/>
        <v>0</v>
      </c>
    </row>
    <row r="1068" spans="2:10" x14ac:dyDescent="0.2">
      <c r="B1068" s="93"/>
      <c r="C1068" s="97"/>
      <c r="D1068" s="93"/>
      <c r="E1068" s="98"/>
      <c r="F1068" s="100">
        <v>1064</v>
      </c>
      <c r="G1068" s="101">
        <f t="shared" si="65"/>
        <v>0</v>
      </c>
      <c r="H1068" s="101">
        <f t="shared" si="66"/>
        <v>0</v>
      </c>
      <c r="I1068" s="101">
        <f t="shared" si="67"/>
        <v>0</v>
      </c>
      <c r="J1068" s="101">
        <f t="shared" si="68"/>
        <v>0</v>
      </c>
    </row>
    <row r="1069" spans="2:10" x14ac:dyDescent="0.2">
      <c r="B1069" s="93"/>
      <c r="C1069" s="97"/>
      <c r="D1069" s="93"/>
      <c r="E1069" s="98"/>
      <c r="F1069" s="100">
        <v>1065</v>
      </c>
      <c r="G1069" s="101">
        <f t="shared" si="65"/>
        <v>0</v>
      </c>
      <c r="H1069" s="101">
        <f t="shared" si="66"/>
        <v>0</v>
      </c>
      <c r="I1069" s="101">
        <f t="shared" si="67"/>
        <v>0</v>
      </c>
      <c r="J1069" s="101">
        <f t="shared" si="68"/>
        <v>0</v>
      </c>
    </row>
    <row r="1070" spans="2:10" x14ac:dyDescent="0.2">
      <c r="B1070" s="93"/>
      <c r="C1070" s="97"/>
      <c r="D1070" s="93"/>
      <c r="E1070" s="98"/>
      <c r="F1070" s="100">
        <v>1066</v>
      </c>
      <c r="G1070" s="101">
        <f t="shared" si="65"/>
        <v>0</v>
      </c>
      <c r="H1070" s="101">
        <f t="shared" si="66"/>
        <v>0</v>
      </c>
      <c r="I1070" s="101">
        <f t="shared" si="67"/>
        <v>0</v>
      </c>
      <c r="J1070" s="101">
        <f t="shared" si="68"/>
        <v>0</v>
      </c>
    </row>
    <row r="1071" spans="2:10" x14ac:dyDescent="0.2">
      <c r="B1071" s="93"/>
      <c r="C1071" s="97"/>
      <c r="D1071" s="93"/>
      <c r="E1071" s="98"/>
      <c r="F1071" s="100">
        <v>1067</v>
      </c>
      <c r="G1071" s="101">
        <f t="shared" si="65"/>
        <v>0</v>
      </c>
      <c r="H1071" s="101">
        <f t="shared" si="66"/>
        <v>0</v>
      </c>
      <c r="I1071" s="101">
        <f t="shared" si="67"/>
        <v>0</v>
      </c>
      <c r="J1071" s="101">
        <f t="shared" si="68"/>
        <v>0</v>
      </c>
    </row>
    <row r="1072" spans="2:10" x14ac:dyDescent="0.2">
      <c r="B1072" s="93"/>
      <c r="C1072" s="97"/>
      <c r="D1072" s="93"/>
      <c r="E1072" s="98"/>
      <c r="F1072" s="100">
        <v>1068</v>
      </c>
      <c r="G1072" s="101">
        <f t="shared" si="65"/>
        <v>0</v>
      </c>
      <c r="H1072" s="101">
        <f t="shared" si="66"/>
        <v>0</v>
      </c>
      <c r="I1072" s="101">
        <f t="shared" si="67"/>
        <v>0</v>
      </c>
      <c r="J1072" s="101">
        <f t="shared" si="68"/>
        <v>0</v>
      </c>
    </row>
    <row r="1073" spans="2:10" x14ac:dyDescent="0.2">
      <c r="B1073" s="93"/>
      <c r="C1073" s="97"/>
      <c r="D1073" s="93"/>
      <c r="E1073" s="98"/>
      <c r="F1073" s="100">
        <v>1069</v>
      </c>
      <c r="G1073" s="101">
        <f t="shared" si="65"/>
        <v>0</v>
      </c>
      <c r="H1073" s="101">
        <f t="shared" si="66"/>
        <v>0</v>
      </c>
      <c r="I1073" s="101">
        <f t="shared" si="67"/>
        <v>0</v>
      </c>
      <c r="J1073" s="101">
        <f t="shared" si="68"/>
        <v>0</v>
      </c>
    </row>
    <row r="1074" spans="2:10" x14ac:dyDescent="0.2">
      <c r="B1074" s="93"/>
      <c r="C1074" s="97"/>
      <c r="D1074" s="93"/>
      <c r="E1074" s="98"/>
      <c r="F1074" s="100">
        <v>1070</v>
      </c>
      <c r="G1074" s="101">
        <f t="shared" si="65"/>
        <v>0</v>
      </c>
      <c r="H1074" s="101">
        <f t="shared" si="66"/>
        <v>0</v>
      </c>
      <c r="I1074" s="101">
        <f t="shared" si="67"/>
        <v>0</v>
      </c>
      <c r="J1074" s="101">
        <f t="shared" si="68"/>
        <v>0</v>
      </c>
    </row>
    <row r="1075" spans="2:10" x14ac:dyDescent="0.2">
      <c r="B1075" s="93"/>
      <c r="C1075" s="97"/>
      <c r="D1075" s="93"/>
      <c r="E1075" s="98"/>
      <c r="F1075" s="100">
        <v>1071</v>
      </c>
      <c r="G1075" s="101">
        <f t="shared" si="65"/>
        <v>0</v>
      </c>
      <c r="H1075" s="101">
        <f t="shared" si="66"/>
        <v>0</v>
      </c>
      <c r="I1075" s="101">
        <f t="shared" si="67"/>
        <v>0</v>
      </c>
      <c r="J1075" s="101">
        <f t="shared" si="68"/>
        <v>0</v>
      </c>
    </row>
    <row r="1076" spans="2:10" x14ac:dyDescent="0.2">
      <c r="B1076" s="93"/>
      <c r="C1076" s="97"/>
      <c r="D1076" s="93"/>
      <c r="E1076" s="98"/>
      <c r="F1076" s="100">
        <v>1072</v>
      </c>
      <c r="G1076" s="101">
        <f t="shared" si="65"/>
        <v>0</v>
      </c>
      <c r="H1076" s="101">
        <f t="shared" si="66"/>
        <v>0</v>
      </c>
      <c r="I1076" s="101">
        <f t="shared" si="67"/>
        <v>0</v>
      </c>
      <c r="J1076" s="101">
        <f t="shared" si="68"/>
        <v>0</v>
      </c>
    </row>
    <row r="1077" spans="2:10" x14ac:dyDescent="0.2">
      <c r="B1077" s="93"/>
      <c r="C1077" s="97"/>
      <c r="D1077" s="93"/>
      <c r="E1077" s="98"/>
      <c r="F1077" s="100">
        <v>1073</v>
      </c>
      <c r="G1077" s="101">
        <f t="shared" si="65"/>
        <v>0</v>
      </c>
      <c r="H1077" s="101">
        <f t="shared" si="66"/>
        <v>0</v>
      </c>
      <c r="I1077" s="101">
        <f t="shared" si="67"/>
        <v>0</v>
      </c>
      <c r="J1077" s="101">
        <f t="shared" si="68"/>
        <v>0</v>
      </c>
    </row>
    <row r="1078" spans="2:10" x14ac:dyDescent="0.2">
      <c r="B1078" s="93"/>
      <c r="C1078" s="97"/>
      <c r="D1078" s="93"/>
      <c r="E1078" s="98"/>
      <c r="F1078" s="100">
        <v>1074</v>
      </c>
      <c r="G1078" s="101">
        <f t="shared" si="65"/>
        <v>0</v>
      </c>
      <c r="H1078" s="101">
        <f t="shared" si="66"/>
        <v>0</v>
      </c>
      <c r="I1078" s="101">
        <f t="shared" si="67"/>
        <v>0</v>
      </c>
      <c r="J1078" s="101">
        <f t="shared" si="68"/>
        <v>0</v>
      </c>
    </row>
    <row r="1079" spans="2:10" x14ac:dyDescent="0.2">
      <c r="B1079" s="93"/>
      <c r="C1079" s="97"/>
      <c r="D1079" s="93"/>
      <c r="E1079" s="98"/>
      <c r="F1079" s="100">
        <v>1075</v>
      </c>
      <c r="G1079" s="101">
        <f t="shared" si="65"/>
        <v>0</v>
      </c>
      <c r="H1079" s="101">
        <f t="shared" si="66"/>
        <v>0</v>
      </c>
      <c r="I1079" s="101">
        <f t="shared" si="67"/>
        <v>0</v>
      </c>
      <c r="J1079" s="101">
        <f t="shared" si="68"/>
        <v>0</v>
      </c>
    </row>
    <row r="1080" spans="2:10" x14ac:dyDescent="0.2">
      <c r="B1080" s="93"/>
      <c r="C1080" s="97"/>
      <c r="D1080" s="93"/>
      <c r="E1080" s="98"/>
      <c r="F1080" s="100">
        <v>1076</v>
      </c>
      <c r="G1080" s="101">
        <f t="shared" si="65"/>
        <v>0</v>
      </c>
      <c r="H1080" s="101">
        <f t="shared" si="66"/>
        <v>0</v>
      </c>
      <c r="I1080" s="101">
        <f t="shared" si="67"/>
        <v>0</v>
      </c>
      <c r="J1080" s="101">
        <f t="shared" si="68"/>
        <v>0</v>
      </c>
    </row>
    <row r="1081" spans="2:10" x14ac:dyDescent="0.2">
      <c r="B1081" s="93"/>
      <c r="C1081" s="97"/>
      <c r="D1081" s="93"/>
      <c r="E1081" s="98"/>
      <c r="F1081" s="100">
        <v>1077</v>
      </c>
      <c r="G1081" s="101">
        <f t="shared" si="65"/>
        <v>0</v>
      </c>
      <c r="H1081" s="101">
        <f t="shared" si="66"/>
        <v>0</v>
      </c>
      <c r="I1081" s="101">
        <f t="shared" si="67"/>
        <v>0</v>
      </c>
      <c r="J1081" s="101">
        <f t="shared" si="68"/>
        <v>0</v>
      </c>
    </row>
    <row r="1082" spans="2:10" x14ac:dyDescent="0.2">
      <c r="B1082" s="93"/>
      <c r="C1082" s="97"/>
      <c r="D1082" s="93"/>
      <c r="E1082" s="98"/>
      <c r="F1082" s="100">
        <v>1078</v>
      </c>
      <c r="G1082" s="101">
        <f t="shared" si="65"/>
        <v>0</v>
      </c>
      <c r="H1082" s="101">
        <f t="shared" si="66"/>
        <v>0</v>
      </c>
      <c r="I1082" s="101">
        <f t="shared" si="67"/>
        <v>0</v>
      </c>
      <c r="J1082" s="101">
        <f t="shared" si="68"/>
        <v>0</v>
      </c>
    </row>
    <row r="1083" spans="2:10" x14ac:dyDescent="0.2">
      <c r="B1083" s="93"/>
      <c r="C1083" s="97"/>
      <c r="D1083" s="93"/>
      <c r="E1083" s="98"/>
      <c r="F1083" s="100">
        <v>1079</v>
      </c>
      <c r="G1083" s="101">
        <f t="shared" si="65"/>
        <v>0</v>
      </c>
      <c r="H1083" s="101">
        <f t="shared" si="66"/>
        <v>0</v>
      </c>
      <c r="I1083" s="101">
        <f t="shared" si="67"/>
        <v>0</v>
      </c>
      <c r="J1083" s="101">
        <f t="shared" si="68"/>
        <v>0</v>
      </c>
    </row>
    <row r="1084" spans="2:10" x14ac:dyDescent="0.2">
      <c r="B1084" s="93"/>
      <c r="C1084" s="97"/>
      <c r="D1084" s="93"/>
      <c r="E1084" s="98"/>
      <c r="F1084" s="100">
        <v>1080</v>
      </c>
      <c r="G1084" s="101">
        <f t="shared" si="65"/>
        <v>0</v>
      </c>
      <c r="H1084" s="101">
        <f t="shared" si="66"/>
        <v>0</v>
      </c>
      <c r="I1084" s="101">
        <f t="shared" si="67"/>
        <v>0</v>
      </c>
      <c r="J1084" s="101">
        <f t="shared" si="68"/>
        <v>0</v>
      </c>
    </row>
    <row r="1085" spans="2:10" x14ac:dyDescent="0.2">
      <c r="B1085" s="93"/>
      <c r="C1085" s="97"/>
      <c r="D1085" s="93"/>
      <c r="E1085" s="98"/>
      <c r="F1085" s="100">
        <v>1081</v>
      </c>
      <c r="G1085" s="101">
        <f t="shared" si="65"/>
        <v>0</v>
      </c>
      <c r="H1085" s="101">
        <f t="shared" si="66"/>
        <v>0</v>
      </c>
      <c r="I1085" s="101">
        <f t="shared" si="67"/>
        <v>0</v>
      </c>
      <c r="J1085" s="101">
        <f t="shared" si="68"/>
        <v>0</v>
      </c>
    </row>
    <row r="1086" spans="2:10" x14ac:dyDescent="0.2">
      <c r="B1086" s="93"/>
      <c r="C1086" s="97"/>
      <c r="D1086" s="93"/>
      <c r="E1086" s="98"/>
      <c r="F1086" s="100">
        <v>1082</v>
      </c>
      <c r="G1086" s="101">
        <f t="shared" si="65"/>
        <v>0</v>
      </c>
      <c r="H1086" s="101">
        <f t="shared" si="66"/>
        <v>0</v>
      </c>
      <c r="I1086" s="101">
        <f t="shared" si="67"/>
        <v>0</v>
      </c>
      <c r="J1086" s="101">
        <f t="shared" si="68"/>
        <v>0</v>
      </c>
    </row>
    <row r="1087" spans="2:10" x14ac:dyDescent="0.2">
      <c r="B1087" s="93"/>
      <c r="C1087" s="97"/>
      <c r="D1087" s="93"/>
      <c r="E1087" s="98"/>
      <c r="F1087" s="100">
        <v>1083</v>
      </c>
      <c r="G1087" s="101">
        <f t="shared" si="65"/>
        <v>0</v>
      </c>
      <c r="H1087" s="101">
        <f t="shared" si="66"/>
        <v>0</v>
      </c>
      <c r="I1087" s="101">
        <f t="shared" si="67"/>
        <v>0</v>
      </c>
      <c r="J1087" s="101">
        <f t="shared" si="68"/>
        <v>0</v>
      </c>
    </row>
    <row r="1088" spans="2:10" x14ac:dyDescent="0.2">
      <c r="B1088" s="93"/>
      <c r="C1088" s="97"/>
      <c r="D1088" s="93"/>
      <c r="E1088" s="98"/>
      <c r="F1088" s="100">
        <v>1084</v>
      </c>
      <c r="G1088" s="101">
        <f t="shared" si="65"/>
        <v>0</v>
      </c>
      <c r="H1088" s="101">
        <f t="shared" si="66"/>
        <v>0</v>
      </c>
      <c r="I1088" s="101">
        <f t="shared" si="67"/>
        <v>0</v>
      </c>
      <c r="J1088" s="101">
        <f t="shared" si="68"/>
        <v>0</v>
      </c>
    </row>
    <row r="1089" spans="2:10" x14ac:dyDescent="0.2">
      <c r="B1089" s="93"/>
      <c r="C1089" s="97"/>
      <c r="D1089" s="93"/>
      <c r="E1089" s="98"/>
      <c r="F1089" s="100">
        <v>1085</v>
      </c>
      <c r="G1089" s="101">
        <f t="shared" si="65"/>
        <v>0</v>
      </c>
      <c r="H1089" s="101">
        <f t="shared" si="66"/>
        <v>0</v>
      </c>
      <c r="I1089" s="101">
        <f t="shared" si="67"/>
        <v>0</v>
      </c>
      <c r="J1089" s="101">
        <f t="shared" si="68"/>
        <v>0</v>
      </c>
    </row>
    <row r="1090" spans="2:10" x14ac:dyDescent="0.2">
      <c r="B1090" s="93"/>
      <c r="C1090" s="97"/>
      <c r="D1090" s="93"/>
      <c r="E1090" s="98"/>
      <c r="F1090" s="100">
        <v>1086</v>
      </c>
      <c r="G1090" s="101">
        <f t="shared" si="65"/>
        <v>0</v>
      </c>
      <c r="H1090" s="101">
        <f t="shared" si="66"/>
        <v>0</v>
      </c>
      <c r="I1090" s="101">
        <f t="shared" si="67"/>
        <v>0</v>
      </c>
      <c r="J1090" s="101">
        <f t="shared" si="68"/>
        <v>0</v>
      </c>
    </row>
    <row r="1091" spans="2:10" x14ac:dyDescent="0.2">
      <c r="B1091" s="93"/>
      <c r="C1091" s="97"/>
      <c r="D1091" s="93"/>
      <c r="E1091" s="98"/>
      <c r="F1091" s="100">
        <v>1087</v>
      </c>
      <c r="G1091" s="101">
        <f t="shared" si="65"/>
        <v>0</v>
      </c>
      <c r="H1091" s="101">
        <f t="shared" si="66"/>
        <v>0</v>
      </c>
      <c r="I1091" s="101">
        <f t="shared" si="67"/>
        <v>0</v>
      </c>
      <c r="J1091" s="101">
        <f t="shared" si="68"/>
        <v>0</v>
      </c>
    </row>
    <row r="1092" spans="2:10" x14ac:dyDescent="0.2">
      <c r="B1092" s="93"/>
      <c r="C1092" s="97"/>
      <c r="D1092" s="93"/>
      <c r="E1092" s="98"/>
      <c r="F1092" s="100">
        <v>1088</v>
      </c>
      <c r="G1092" s="101">
        <f t="shared" si="65"/>
        <v>0</v>
      </c>
      <c r="H1092" s="101">
        <f t="shared" si="66"/>
        <v>0</v>
      </c>
      <c r="I1092" s="101">
        <f t="shared" si="67"/>
        <v>0</v>
      </c>
      <c r="J1092" s="101">
        <f t="shared" si="68"/>
        <v>0</v>
      </c>
    </row>
    <row r="1093" spans="2:10" x14ac:dyDescent="0.2">
      <c r="B1093" s="93"/>
      <c r="C1093" s="97"/>
      <c r="D1093" s="93"/>
      <c r="E1093" s="98"/>
      <c r="F1093" s="100">
        <v>1089</v>
      </c>
      <c r="G1093" s="101">
        <f t="shared" si="65"/>
        <v>0</v>
      </c>
      <c r="H1093" s="101">
        <f t="shared" si="66"/>
        <v>0</v>
      </c>
      <c r="I1093" s="101">
        <f t="shared" si="67"/>
        <v>0</v>
      </c>
      <c r="J1093" s="101">
        <f t="shared" si="68"/>
        <v>0</v>
      </c>
    </row>
    <row r="1094" spans="2:10" x14ac:dyDescent="0.2">
      <c r="B1094" s="93"/>
      <c r="C1094" s="97"/>
      <c r="D1094" s="93"/>
      <c r="E1094" s="98"/>
      <c r="F1094" s="100">
        <v>1090</v>
      </c>
      <c r="G1094" s="101">
        <f t="shared" ref="G1094:G1157" si="69">B1094</f>
        <v>0</v>
      </c>
      <c r="H1094" s="101">
        <f t="shared" ref="H1094:H1157" si="70">C1094</f>
        <v>0</v>
      </c>
      <c r="I1094" s="101">
        <f t="shared" ref="I1094:I1157" si="71">D1094</f>
        <v>0</v>
      </c>
      <c r="J1094" s="101">
        <f t="shared" ref="J1094:J1157" si="72">E1094</f>
        <v>0</v>
      </c>
    </row>
    <row r="1095" spans="2:10" x14ac:dyDescent="0.2">
      <c r="B1095" s="93"/>
      <c r="C1095" s="97"/>
      <c r="D1095" s="93"/>
      <c r="E1095" s="98"/>
      <c r="F1095" s="100">
        <v>1091</v>
      </c>
      <c r="G1095" s="101">
        <f t="shared" si="69"/>
        <v>0</v>
      </c>
      <c r="H1095" s="101">
        <f t="shared" si="70"/>
        <v>0</v>
      </c>
      <c r="I1095" s="101">
        <f t="shared" si="71"/>
        <v>0</v>
      </c>
      <c r="J1095" s="101">
        <f t="shared" si="72"/>
        <v>0</v>
      </c>
    </row>
    <row r="1096" spans="2:10" x14ac:dyDescent="0.2">
      <c r="B1096" s="93"/>
      <c r="C1096" s="97"/>
      <c r="D1096" s="93"/>
      <c r="E1096" s="98"/>
      <c r="F1096" s="100">
        <v>1092</v>
      </c>
      <c r="G1096" s="101">
        <f t="shared" si="69"/>
        <v>0</v>
      </c>
      <c r="H1096" s="101">
        <f t="shared" si="70"/>
        <v>0</v>
      </c>
      <c r="I1096" s="101">
        <f t="shared" si="71"/>
        <v>0</v>
      </c>
      <c r="J1096" s="101">
        <f t="shared" si="72"/>
        <v>0</v>
      </c>
    </row>
    <row r="1097" spans="2:10" x14ac:dyDescent="0.2">
      <c r="B1097" s="93"/>
      <c r="C1097" s="97"/>
      <c r="D1097" s="93"/>
      <c r="E1097" s="98"/>
      <c r="F1097" s="100">
        <v>1093</v>
      </c>
      <c r="G1097" s="101">
        <f t="shared" si="69"/>
        <v>0</v>
      </c>
      <c r="H1097" s="101">
        <f t="shared" si="70"/>
        <v>0</v>
      </c>
      <c r="I1097" s="101">
        <f t="shared" si="71"/>
        <v>0</v>
      </c>
      <c r="J1097" s="101">
        <f t="shared" si="72"/>
        <v>0</v>
      </c>
    </row>
    <row r="1098" spans="2:10" x14ac:dyDescent="0.2">
      <c r="B1098" s="93"/>
      <c r="C1098" s="97"/>
      <c r="D1098" s="93"/>
      <c r="E1098" s="98"/>
      <c r="F1098" s="100">
        <v>1094</v>
      </c>
      <c r="G1098" s="101">
        <f t="shared" si="69"/>
        <v>0</v>
      </c>
      <c r="H1098" s="101">
        <f t="shared" si="70"/>
        <v>0</v>
      </c>
      <c r="I1098" s="101">
        <f t="shared" si="71"/>
        <v>0</v>
      </c>
      <c r="J1098" s="101">
        <f t="shared" si="72"/>
        <v>0</v>
      </c>
    </row>
    <row r="1099" spans="2:10" x14ac:dyDescent="0.2">
      <c r="B1099" s="93"/>
      <c r="C1099" s="97"/>
      <c r="D1099" s="93"/>
      <c r="E1099" s="98"/>
      <c r="F1099" s="100">
        <v>1095</v>
      </c>
      <c r="G1099" s="101">
        <f t="shared" si="69"/>
        <v>0</v>
      </c>
      <c r="H1099" s="101">
        <f t="shared" si="70"/>
        <v>0</v>
      </c>
      <c r="I1099" s="101">
        <f t="shared" si="71"/>
        <v>0</v>
      </c>
      <c r="J1099" s="101">
        <f t="shared" si="72"/>
        <v>0</v>
      </c>
    </row>
    <row r="1100" spans="2:10" x14ac:dyDescent="0.2">
      <c r="B1100" s="93"/>
      <c r="C1100" s="97"/>
      <c r="D1100" s="93"/>
      <c r="E1100" s="98"/>
      <c r="F1100" s="100">
        <v>1096</v>
      </c>
      <c r="G1100" s="101">
        <f t="shared" si="69"/>
        <v>0</v>
      </c>
      <c r="H1100" s="101">
        <f t="shared" si="70"/>
        <v>0</v>
      </c>
      <c r="I1100" s="101">
        <f t="shared" si="71"/>
        <v>0</v>
      </c>
      <c r="J1100" s="101">
        <f t="shared" si="72"/>
        <v>0</v>
      </c>
    </row>
    <row r="1101" spans="2:10" x14ac:dyDescent="0.2">
      <c r="B1101" s="93"/>
      <c r="C1101" s="97"/>
      <c r="D1101" s="93"/>
      <c r="E1101" s="98"/>
      <c r="F1101" s="100">
        <v>1097</v>
      </c>
      <c r="G1101" s="101">
        <f t="shared" si="69"/>
        <v>0</v>
      </c>
      <c r="H1101" s="101">
        <f t="shared" si="70"/>
        <v>0</v>
      </c>
      <c r="I1101" s="101">
        <f t="shared" si="71"/>
        <v>0</v>
      </c>
      <c r="J1101" s="101">
        <f t="shared" si="72"/>
        <v>0</v>
      </c>
    </row>
    <row r="1102" spans="2:10" x14ac:dyDescent="0.2">
      <c r="B1102" s="93"/>
      <c r="C1102" s="97"/>
      <c r="D1102" s="93"/>
      <c r="E1102" s="98"/>
      <c r="F1102" s="100">
        <v>1098</v>
      </c>
      <c r="G1102" s="101">
        <f t="shared" si="69"/>
        <v>0</v>
      </c>
      <c r="H1102" s="101">
        <f t="shared" si="70"/>
        <v>0</v>
      </c>
      <c r="I1102" s="101">
        <f t="shared" si="71"/>
        <v>0</v>
      </c>
      <c r="J1102" s="101">
        <f t="shared" si="72"/>
        <v>0</v>
      </c>
    </row>
    <row r="1103" spans="2:10" x14ac:dyDescent="0.2">
      <c r="B1103" s="93"/>
      <c r="C1103" s="97"/>
      <c r="D1103" s="93"/>
      <c r="E1103" s="98"/>
      <c r="F1103" s="100">
        <v>1099</v>
      </c>
      <c r="G1103" s="101">
        <f t="shared" si="69"/>
        <v>0</v>
      </c>
      <c r="H1103" s="101">
        <f t="shared" si="70"/>
        <v>0</v>
      </c>
      <c r="I1103" s="101">
        <f t="shared" si="71"/>
        <v>0</v>
      </c>
      <c r="J1103" s="101">
        <f t="shared" si="72"/>
        <v>0</v>
      </c>
    </row>
    <row r="1104" spans="2:10" x14ac:dyDescent="0.2">
      <c r="B1104" s="93"/>
      <c r="C1104" s="97"/>
      <c r="D1104" s="93"/>
      <c r="E1104" s="98"/>
      <c r="F1104" s="100">
        <v>1100</v>
      </c>
      <c r="G1104" s="101">
        <f t="shared" si="69"/>
        <v>0</v>
      </c>
      <c r="H1104" s="101">
        <f t="shared" si="70"/>
        <v>0</v>
      </c>
      <c r="I1104" s="101">
        <f t="shared" si="71"/>
        <v>0</v>
      </c>
      <c r="J1104" s="101">
        <f t="shared" si="72"/>
        <v>0</v>
      </c>
    </row>
    <row r="1105" spans="2:10" x14ac:dyDescent="0.2">
      <c r="B1105" s="93"/>
      <c r="C1105" s="97"/>
      <c r="D1105" s="93"/>
      <c r="E1105" s="98"/>
      <c r="F1105" s="100">
        <v>1101</v>
      </c>
      <c r="G1105" s="101">
        <f t="shared" si="69"/>
        <v>0</v>
      </c>
      <c r="H1105" s="101">
        <f t="shared" si="70"/>
        <v>0</v>
      </c>
      <c r="I1105" s="101">
        <f t="shared" si="71"/>
        <v>0</v>
      </c>
      <c r="J1105" s="101">
        <f t="shared" si="72"/>
        <v>0</v>
      </c>
    </row>
    <row r="1106" spans="2:10" x14ac:dyDescent="0.2">
      <c r="B1106" s="93"/>
      <c r="C1106" s="97"/>
      <c r="D1106" s="93"/>
      <c r="E1106" s="98"/>
      <c r="F1106" s="100">
        <v>1102</v>
      </c>
      <c r="G1106" s="101">
        <f t="shared" si="69"/>
        <v>0</v>
      </c>
      <c r="H1106" s="101">
        <f t="shared" si="70"/>
        <v>0</v>
      </c>
      <c r="I1106" s="101">
        <f t="shared" si="71"/>
        <v>0</v>
      </c>
      <c r="J1106" s="101">
        <f t="shared" si="72"/>
        <v>0</v>
      </c>
    </row>
    <row r="1107" spans="2:10" x14ac:dyDescent="0.2">
      <c r="B1107" s="93"/>
      <c r="C1107" s="97"/>
      <c r="D1107" s="93"/>
      <c r="E1107" s="98"/>
      <c r="F1107" s="100">
        <v>1103</v>
      </c>
      <c r="G1107" s="101">
        <f t="shared" si="69"/>
        <v>0</v>
      </c>
      <c r="H1107" s="101">
        <f t="shared" si="70"/>
        <v>0</v>
      </c>
      <c r="I1107" s="101">
        <f t="shared" si="71"/>
        <v>0</v>
      </c>
      <c r="J1107" s="101">
        <f t="shared" si="72"/>
        <v>0</v>
      </c>
    </row>
    <row r="1108" spans="2:10" x14ac:dyDescent="0.2">
      <c r="B1108" s="93"/>
      <c r="C1108" s="97"/>
      <c r="D1108" s="93"/>
      <c r="E1108" s="98"/>
      <c r="F1108" s="100">
        <v>1104</v>
      </c>
      <c r="G1108" s="101">
        <f t="shared" si="69"/>
        <v>0</v>
      </c>
      <c r="H1108" s="101">
        <f t="shared" si="70"/>
        <v>0</v>
      </c>
      <c r="I1108" s="101">
        <f t="shared" si="71"/>
        <v>0</v>
      </c>
      <c r="J1108" s="101">
        <f t="shared" si="72"/>
        <v>0</v>
      </c>
    </row>
    <row r="1109" spans="2:10" x14ac:dyDescent="0.2">
      <c r="B1109" s="93"/>
      <c r="C1109" s="97"/>
      <c r="D1109" s="93"/>
      <c r="E1109" s="98"/>
      <c r="F1109" s="100">
        <v>1105</v>
      </c>
      <c r="G1109" s="101">
        <f t="shared" si="69"/>
        <v>0</v>
      </c>
      <c r="H1109" s="101">
        <f t="shared" si="70"/>
        <v>0</v>
      </c>
      <c r="I1109" s="101">
        <f t="shared" si="71"/>
        <v>0</v>
      </c>
      <c r="J1109" s="101">
        <f t="shared" si="72"/>
        <v>0</v>
      </c>
    </row>
    <row r="1110" spans="2:10" x14ac:dyDescent="0.2">
      <c r="B1110" s="93"/>
      <c r="C1110" s="97"/>
      <c r="D1110" s="93"/>
      <c r="E1110" s="98"/>
      <c r="F1110" s="100">
        <v>1106</v>
      </c>
      <c r="G1110" s="101">
        <f t="shared" si="69"/>
        <v>0</v>
      </c>
      <c r="H1110" s="101">
        <f t="shared" si="70"/>
        <v>0</v>
      </c>
      <c r="I1110" s="101">
        <f t="shared" si="71"/>
        <v>0</v>
      </c>
      <c r="J1110" s="101">
        <f t="shared" si="72"/>
        <v>0</v>
      </c>
    </row>
    <row r="1111" spans="2:10" x14ac:dyDescent="0.2">
      <c r="B1111" s="93"/>
      <c r="C1111" s="97"/>
      <c r="D1111" s="93"/>
      <c r="E1111" s="98"/>
      <c r="F1111" s="100">
        <v>1107</v>
      </c>
      <c r="G1111" s="101">
        <f t="shared" si="69"/>
        <v>0</v>
      </c>
      <c r="H1111" s="101">
        <f t="shared" si="70"/>
        <v>0</v>
      </c>
      <c r="I1111" s="101">
        <f t="shared" si="71"/>
        <v>0</v>
      </c>
      <c r="J1111" s="101">
        <f t="shared" si="72"/>
        <v>0</v>
      </c>
    </row>
    <row r="1112" spans="2:10" x14ac:dyDescent="0.2">
      <c r="B1112" s="93"/>
      <c r="C1112" s="97"/>
      <c r="D1112" s="93"/>
      <c r="E1112" s="98"/>
      <c r="F1112" s="100">
        <v>1108</v>
      </c>
      <c r="G1112" s="101">
        <f t="shared" si="69"/>
        <v>0</v>
      </c>
      <c r="H1112" s="101">
        <f t="shared" si="70"/>
        <v>0</v>
      </c>
      <c r="I1112" s="101">
        <f t="shared" si="71"/>
        <v>0</v>
      </c>
      <c r="J1112" s="101">
        <f t="shared" si="72"/>
        <v>0</v>
      </c>
    </row>
    <row r="1113" spans="2:10" x14ac:dyDescent="0.2">
      <c r="B1113" s="93"/>
      <c r="C1113" s="97"/>
      <c r="D1113" s="93"/>
      <c r="E1113" s="98"/>
      <c r="F1113" s="100">
        <v>1109</v>
      </c>
      <c r="G1113" s="101">
        <f t="shared" si="69"/>
        <v>0</v>
      </c>
      <c r="H1113" s="101">
        <f t="shared" si="70"/>
        <v>0</v>
      </c>
      <c r="I1113" s="101">
        <f t="shared" si="71"/>
        <v>0</v>
      </c>
      <c r="J1113" s="101">
        <f t="shared" si="72"/>
        <v>0</v>
      </c>
    </row>
    <row r="1114" spans="2:10" x14ac:dyDescent="0.2">
      <c r="B1114" s="93"/>
      <c r="C1114" s="97"/>
      <c r="D1114" s="93"/>
      <c r="E1114" s="98"/>
      <c r="F1114" s="100">
        <v>1110</v>
      </c>
      <c r="G1114" s="101">
        <f t="shared" si="69"/>
        <v>0</v>
      </c>
      <c r="H1114" s="101">
        <f t="shared" si="70"/>
        <v>0</v>
      </c>
      <c r="I1114" s="101">
        <f t="shared" si="71"/>
        <v>0</v>
      </c>
      <c r="J1114" s="101">
        <f t="shared" si="72"/>
        <v>0</v>
      </c>
    </row>
    <row r="1115" spans="2:10" x14ac:dyDescent="0.2">
      <c r="B1115" s="93"/>
      <c r="C1115" s="97"/>
      <c r="D1115" s="93"/>
      <c r="E1115" s="98"/>
      <c r="F1115" s="100">
        <v>1111</v>
      </c>
      <c r="G1115" s="101">
        <f t="shared" si="69"/>
        <v>0</v>
      </c>
      <c r="H1115" s="101">
        <f t="shared" si="70"/>
        <v>0</v>
      </c>
      <c r="I1115" s="101">
        <f t="shared" si="71"/>
        <v>0</v>
      </c>
      <c r="J1115" s="101">
        <f t="shared" si="72"/>
        <v>0</v>
      </c>
    </row>
    <row r="1116" spans="2:10" x14ac:dyDescent="0.2">
      <c r="B1116" s="93"/>
      <c r="C1116" s="97"/>
      <c r="D1116" s="93"/>
      <c r="E1116" s="98"/>
      <c r="F1116" s="100">
        <v>1112</v>
      </c>
      <c r="G1116" s="101">
        <f t="shared" si="69"/>
        <v>0</v>
      </c>
      <c r="H1116" s="101">
        <f t="shared" si="70"/>
        <v>0</v>
      </c>
      <c r="I1116" s="101">
        <f t="shared" si="71"/>
        <v>0</v>
      </c>
      <c r="J1116" s="101">
        <f t="shared" si="72"/>
        <v>0</v>
      </c>
    </row>
    <row r="1117" spans="2:10" x14ac:dyDescent="0.2">
      <c r="B1117" s="93"/>
      <c r="C1117" s="97"/>
      <c r="D1117" s="93"/>
      <c r="E1117" s="98"/>
      <c r="F1117" s="100">
        <v>1113</v>
      </c>
      <c r="G1117" s="101">
        <f t="shared" si="69"/>
        <v>0</v>
      </c>
      <c r="H1117" s="101">
        <f t="shared" si="70"/>
        <v>0</v>
      </c>
      <c r="I1117" s="101">
        <f t="shared" si="71"/>
        <v>0</v>
      </c>
      <c r="J1117" s="101">
        <f t="shared" si="72"/>
        <v>0</v>
      </c>
    </row>
    <row r="1118" spans="2:10" x14ac:dyDescent="0.2">
      <c r="B1118" s="93"/>
      <c r="C1118" s="97"/>
      <c r="D1118" s="93"/>
      <c r="E1118" s="98"/>
      <c r="F1118" s="100">
        <v>1114</v>
      </c>
      <c r="G1118" s="101">
        <f t="shared" si="69"/>
        <v>0</v>
      </c>
      <c r="H1118" s="101">
        <f t="shared" si="70"/>
        <v>0</v>
      </c>
      <c r="I1118" s="101">
        <f t="shared" si="71"/>
        <v>0</v>
      </c>
      <c r="J1118" s="101">
        <f t="shared" si="72"/>
        <v>0</v>
      </c>
    </row>
    <row r="1119" spans="2:10" x14ac:dyDescent="0.2">
      <c r="B1119" s="93"/>
      <c r="C1119" s="97"/>
      <c r="D1119" s="93"/>
      <c r="E1119" s="98"/>
      <c r="F1119" s="100">
        <v>1115</v>
      </c>
      <c r="G1119" s="101">
        <f t="shared" si="69"/>
        <v>0</v>
      </c>
      <c r="H1119" s="101">
        <f t="shared" si="70"/>
        <v>0</v>
      </c>
      <c r="I1119" s="101">
        <f t="shared" si="71"/>
        <v>0</v>
      </c>
      <c r="J1119" s="101">
        <f t="shared" si="72"/>
        <v>0</v>
      </c>
    </row>
    <row r="1120" spans="2:10" x14ac:dyDescent="0.2">
      <c r="B1120" s="93"/>
      <c r="C1120" s="97"/>
      <c r="D1120" s="93"/>
      <c r="E1120" s="98"/>
      <c r="F1120" s="100">
        <v>1116</v>
      </c>
      <c r="G1120" s="101">
        <f t="shared" si="69"/>
        <v>0</v>
      </c>
      <c r="H1120" s="101">
        <f t="shared" si="70"/>
        <v>0</v>
      </c>
      <c r="I1120" s="101">
        <f t="shared" si="71"/>
        <v>0</v>
      </c>
      <c r="J1120" s="101">
        <f t="shared" si="72"/>
        <v>0</v>
      </c>
    </row>
    <row r="1121" spans="2:10" x14ac:dyDescent="0.2">
      <c r="B1121" s="93"/>
      <c r="C1121" s="97"/>
      <c r="D1121" s="93"/>
      <c r="E1121" s="98"/>
      <c r="F1121" s="100">
        <v>1117</v>
      </c>
      <c r="G1121" s="101">
        <f t="shared" si="69"/>
        <v>0</v>
      </c>
      <c r="H1121" s="101">
        <f t="shared" si="70"/>
        <v>0</v>
      </c>
      <c r="I1121" s="101">
        <f t="shared" si="71"/>
        <v>0</v>
      </c>
      <c r="J1121" s="101">
        <f t="shared" si="72"/>
        <v>0</v>
      </c>
    </row>
    <row r="1122" spans="2:10" x14ac:dyDescent="0.2">
      <c r="B1122" s="93"/>
      <c r="C1122" s="97"/>
      <c r="D1122" s="93"/>
      <c r="E1122" s="98"/>
      <c r="F1122" s="100">
        <v>1118</v>
      </c>
      <c r="G1122" s="101">
        <f t="shared" si="69"/>
        <v>0</v>
      </c>
      <c r="H1122" s="101">
        <f t="shared" si="70"/>
        <v>0</v>
      </c>
      <c r="I1122" s="101">
        <f t="shared" si="71"/>
        <v>0</v>
      </c>
      <c r="J1122" s="101">
        <f t="shared" si="72"/>
        <v>0</v>
      </c>
    </row>
    <row r="1123" spans="2:10" x14ac:dyDescent="0.2">
      <c r="B1123" s="93"/>
      <c r="C1123" s="97"/>
      <c r="D1123" s="93"/>
      <c r="E1123" s="98"/>
      <c r="F1123" s="100">
        <v>1119</v>
      </c>
      <c r="G1123" s="101">
        <f t="shared" si="69"/>
        <v>0</v>
      </c>
      <c r="H1123" s="101">
        <f t="shared" si="70"/>
        <v>0</v>
      </c>
      <c r="I1123" s="101">
        <f t="shared" si="71"/>
        <v>0</v>
      </c>
      <c r="J1123" s="101">
        <f t="shared" si="72"/>
        <v>0</v>
      </c>
    </row>
    <row r="1124" spans="2:10" x14ac:dyDescent="0.2">
      <c r="B1124" s="93"/>
      <c r="C1124" s="97"/>
      <c r="D1124" s="93"/>
      <c r="E1124" s="98"/>
      <c r="F1124" s="100">
        <v>1120</v>
      </c>
      <c r="G1124" s="101">
        <f t="shared" si="69"/>
        <v>0</v>
      </c>
      <c r="H1124" s="101">
        <f t="shared" si="70"/>
        <v>0</v>
      </c>
      <c r="I1124" s="101">
        <f t="shared" si="71"/>
        <v>0</v>
      </c>
      <c r="J1124" s="101">
        <f t="shared" si="72"/>
        <v>0</v>
      </c>
    </row>
    <row r="1125" spans="2:10" x14ac:dyDescent="0.2">
      <c r="B1125" s="93"/>
      <c r="C1125" s="97"/>
      <c r="D1125" s="93"/>
      <c r="E1125" s="98"/>
      <c r="F1125" s="100">
        <v>1121</v>
      </c>
      <c r="G1125" s="101">
        <f t="shared" si="69"/>
        <v>0</v>
      </c>
      <c r="H1125" s="101">
        <f t="shared" si="70"/>
        <v>0</v>
      </c>
      <c r="I1125" s="101">
        <f t="shared" si="71"/>
        <v>0</v>
      </c>
      <c r="J1125" s="101">
        <f t="shared" si="72"/>
        <v>0</v>
      </c>
    </row>
    <row r="1126" spans="2:10" x14ac:dyDescent="0.2">
      <c r="B1126" s="93"/>
      <c r="C1126" s="97"/>
      <c r="D1126" s="93"/>
      <c r="E1126" s="98"/>
      <c r="F1126" s="100">
        <v>1122</v>
      </c>
      <c r="G1126" s="101">
        <f t="shared" si="69"/>
        <v>0</v>
      </c>
      <c r="H1126" s="101">
        <f t="shared" si="70"/>
        <v>0</v>
      </c>
      <c r="I1126" s="101">
        <f t="shared" si="71"/>
        <v>0</v>
      </c>
      <c r="J1126" s="101">
        <f t="shared" si="72"/>
        <v>0</v>
      </c>
    </row>
    <row r="1127" spans="2:10" x14ac:dyDescent="0.2">
      <c r="B1127" s="93"/>
      <c r="C1127" s="97"/>
      <c r="D1127" s="93"/>
      <c r="E1127" s="98"/>
      <c r="F1127" s="100">
        <v>1123</v>
      </c>
      <c r="G1127" s="101">
        <f t="shared" si="69"/>
        <v>0</v>
      </c>
      <c r="H1127" s="101">
        <f t="shared" si="70"/>
        <v>0</v>
      </c>
      <c r="I1127" s="101">
        <f t="shared" si="71"/>
        <v>0</v>
      </c>
      <c r="J1127" s="101">
        <f t="shared" si="72"/>
        <v>0</v>
      </c>
    </row>
    <row r="1128" spans="2:10" x14ac:dyDescent="0.2">
      <c r="B1128" s="93"/>
      <c r="C1128" s="97"/>
      <c r="D1128" s="93"/>
      <c r="E1128" s="98"/>
      <c r="F1128" s="100">
        <v>1124</v>
      </c>
      <c r="G1128" s="101">
        <f t="shared" si="69"/>
        <v>0</v>
      </c>
      <c r="H1128" s="101">
        <f t="shared" si="70"/>
        <v>0</v>
      </c>
      <c r="I1128" s="101">
        <f t="shared" si="71"/>
        <v>0</v>
      </c>
      <c r="J1128" s="101">
        <f t="shared" si="72"/>
        <v>0</v>
      </c>
    </row>
    <row r="1129" spans="2:10" x14ac:dyDescent="0.2">
      <c r="B1129" s="93"/>
      <c r="C1129" s="97"/>
      <c r="D1129" s="93"/>
      <c r="E1129" s="98"/>
      <c r="F1129" s="100">
        <v>1125</v>
      </c>
      <c r="G1129" s="101">
        <f t="shared" si="69"/>
        <v>0</v>
      </c>
      <c r="H1129" s="101">
        <f t="shared" si="70"/>
        <v>0</v>
      </c>
      <c r="I1129" s="101">
        <f t="shared" si="71"/>
        <v>0</v>
      </c>
      <c r="J1129" s="101">
        <f t="shared" si="72"/>
        <v>0</v>
      </c>
    </row>
    <row r="1130" spans="2:10" x14ac:dyDescent="0.2">
      <c r="B1130" s="93"/>
      <c r="C1130" s="97"/>
      <c r="D1130" s="93"/>
      <c r="E1130" s="98"/>
      <c r="F1130" s="100">
        <v>1126</v>
      </c>
      <c r="G1130" s="101">
        <f t="shared" si="69"/>
        <v>0</v>
      </c>
      <c r="H1130" s="101">
        <f t="shared" si="70"/>
        <v>0</v>
      </c>
      <c r="I1130" s="101">
        <f t="shared" si="71"/>
        <v>0</v>
      </c>
      <c r="J1130" s="101">
        <f t="shared" si="72"/>
        <v>0</v>
      </c>
    </row>
    <row r="1131" spans="2:10" x14ac:dyDescent="0.2">
      <c r="B1131" s="93"/>
      <c r="C1131" s="97"/>
      <c r="D1131" s="93"/>
      <c r="E1131" s="98"/>
      <c r="F1131" s="100">
        <v>1127</v>
      </c>
      <c r="G1131" s="101">
        <f t="shared" si="69"/>
        <v>0</v>
      </c>
      <c r="H1131" s="101">
        <f t="shared" si="70"/>
        <v>0</v>
      </c>
      <c r="I1131" s="101">
        <f t="shared" si="71"/>
        <v>0</v>
      </c>
      <c r="J1131" s="101">
        <f t="shared" si="72"/>
        <v>0</v>
      </c>
    </row>
    <row r="1132" spans="2:10" x14ac:dyDescent="0.2">
      <c r="B1132" s="93"/>
      <c r="C1132" s="97"/>
      <c r="D1132" s="93"/>
      <c r="E1132" s="98"/>
      <c r="F1132" s="100">
        <v>1128</v>
      </c>
      <c r="G1132" s="101">
        <f t="shared" si="69"/>
        <v>0</v>
      </c>
      <c r="H1132" s="101">
        <f t="shared" si="70"/>
        <v>0</v>
      </c>
      <c r="I1132" s="101">
        <f t="shared" si="71"/>
        <v>0</v>
      </c>
      <c r="J1132" s="101">
        <f t="shared" si="72"/>
        <v>0</v>
      </c>
    </row>
    <row r="1133" spans="2:10" x14ac:dyDescent="0.2">
      <c r="B1133" s="93"/>
      <c r="C1133" s="97"/>
      <c r="D1133" s="93"/>
      <c r="E1133" s="98"/>
      <c r="F1133" s="100">
        <v>1129</v>
      </c>
      <c r="G1133" s="101">
        <f t="shared" si="69"/>
        <v>0</v>
      </c>
      <c r="H1133" s="101">
        <f t="shared" si="70"/>
        <v>0</v>
      </c>
      <c r="I1133" s="101">
        <f t="shared" si="71"/>
        <v>0</v>
      </c>
      <c r="J1133" s="101">
        <f t="shared" si="72"/>
        <v>0</v>
      </c>
    </row>
    <row r="1134" spans="2:10" x14ac:dyDescent="0.2">
      <c r="B1134" s="93"/>
      <c r="C1134" s="97"/>
      <c r="D1134" s="93"/>
      <c r="E1134" s="98"/>
      <c r="F1134" s="100">
        <v>1130</v>
      </c>
      <c r="G1134" s="101">
        <f t="shared" si="69"/>
        <v>0</v>
      </c>
      <c r="H1134" s="101">
        <f t="shared" si="70"/>
        <v>0</v>
      </c>
      <c r="I1134" s="101">
        <f t="shared" si="71"/>
        <v>0</v>
      </c>
      <c r="J1134" s="101">
        <f t="shared" si="72"/>
        <v>0</v>
      </c>
    </row>
    <row r="1135" spans="2:10" x14ac:dyDescent="0.2">
      <c r="B1135" s="93"/>
      <c r="C1135" s="97"/>
      <c r="D1135" s="93"/>
      <c r="E1135" s="98"/>
      <c r="F1135" s="100">
        <v>1131</v>
      </c>
      <c r="G1135" s="101">
        <f t="shared" si="69"/>
        <v>0</v>
      </c>
      <c r="H1135" s="101">
        <f t="shared" si="70"/>
        <v>0</v>
      </c>
      <c r="I1135" s="101">
        <f t="shared" si="71"/>
        <v>0</v>
      </c>
      <c r="J1135" s="101">
        <f t="shared" si="72"/>
        <v>0</v>
      </c>
    </row>
    <row r="1136" spans="2:10" x14ac:dyDescent="0.2">
      <c r="B1136" s="93"/>
      <c r="C1136" s="97"/>
      <c r="D1136" s="93"/>
      <c r="E1136" s="98"/>
      <c r="F1136" s="100">
        <v>1132</v>
      </c>
      <c r="G1136" s="101">
        <f t="shared" si="69"/>
        <v>0</v>
      </c>
      <c r="H1136" s="101">
        <f t="shared" si="70"/>
        <v>0</v>
      </c>
      <c r="I1136" s="101">
        <f t="shared" si="71"/>
        <v>0</v>
      </c>
      <c r="J1136" s="101">
        <f t="shared" si="72"/>
        <v>0</v>
      </c>
    </row>
    <row r="1137" spans="2:10" x14ac:dyDescent="0.2">
      <c r="B1137" s="93"/>
      <c r="C1137" s="97"/>
      <c r="D1137" s="93"/>
      <c r="E1137" s="98"/>
      <c r="F1137" s="100">
        <v>1133</v>
      </c>
      <c r="G1137" s="101">
        <f t="shared" si="69"/>
        <v>0</v>
      </c>
      <c r="H1137" s="101">
        <f t="shared" si="70"/>
        <v>0</v>
      </c>
      <c r="I1137" s="101">
        <f t="shared" si="71"/>
        <v>0</v>
      </c>
      <c r="J1137" s="101">
        <f t="shared" si="72"/>
        <v>0</v>
      </c>
    </row>
    <row r="1138" spans="2:10" x14ac:dyDescent="0.2">
      <c r="B1138" s="93"/>
      <c r="C1138" s="97"/>
      <c r="D1138" s="93"/>
      <c r="E1138" s="98"/>
      <c r="F1138" s="100">
        <v>1134</v>
      </c>
      <c r="G1138" s="101">
        <f t="shared" si="69"/>
        <v>0</v>
      </c>
      <c r="H1138" s="101">
        <f t="shared" si="70"/>
        <v>0</v>
      </c>
      <c r="I1138" s="101">
        <f t="shared" si="71"/>
        <v>0</v>
      </c>
      <c r="J1138" s="101">
        <f t="shared" si="72"/>
        <v>0</v>
      </c>
    </row>
    <row r="1139" spans="2:10" x14ac:dyDescent="0.2">
      <c r="B1139" s="93"/>
      <c r="C1139" s="97"/>
      <c r="D1139" s="93"/>
      <c r="E1139" s="98"/>
      <c r="F1139" s="100">
        <v>1135</v>
      </c>
      <c r="G1139" s="101">
        <f t="shared" si="69"/>
        <v>0</v>
      </c>
      <c r="H1139" s="101">
        <f t="shared" si="70"/>
        <v>0</v>
      </c>
      <c r="I1139" s="101">
        <f t="shared" si="71"/>
        <v>0</v>
      </c>
      <c r="J1139" s="101">
        <f t="shared" si="72"/>
        <v>0</v>
      </c>
    </row>
    <row r="1140" spans="2:10" x14ac:dyDescent="0.2">
      <c r="B1140" s="93"/>
      <c r="C1140" s="97"/>
      <c r="D1140" s="93"/>
      <c r="E1140" s="98"/>
      <c r="F1140" s="100">
        <v>1136</v>
      </c>
      <c r="G1140" s="101">
        <f t="shared" si="69"/>
        <v>0</v>
      </c>
      <c r="H1140" s="101">
        <f t="shared" si="70"/>
        <v>0</v>
      </c>
      <c r="I1140" s="101">
        <f t="shared" si="71"/>
        <v>0</v>
      </c>
      <c r="J1140" s="101">
        <f t="shared" si="72"/>
        <v>0</v>
      </c>
    </row>
    <row r="1141" spans="2:10" x14ac:dyDescent="0.2">
      <c r="B1141" s="93"/>
      <c r="C1141" s="97"/>
      <c r="D1141" s="93"/>
      <c r="E1141" s="98"/>
      <c r="F1141" s="100">
        <v>1137</v>
      </c>
      <c r="G1141" s="101">
        <f t="shared" si="69"/>
        <v>0</v>
      </c>
      <c r="H1141" s="101">
        <f t="shared" si="70"/>
        <v>0</v>
      </c>
      <c r="I1141" s="101">
        <f t="shared" si="71"/>
        <v>0</v>
      </c>
      <c r="J1141" s="101">
        <f t="shared" si="72"/>
        <v>0</v>
      </c>
    </row>
    <row r="1142" spans="2:10" x14ac:dyDescent="0.2">
      <c r="B1142" s="93"/>
      <c r="C1142" s="97"/>
      <c r="D1142" s="93"/>
      <c r="E1142" s="98"/>
      <c r="F1142" s="100">
        <v>1138</v>
      </c>
      <c r="G1142" s="101">
        <f t="shared" si="69"/>
        <v>0</v>
      </c>
      <c r="H1142" s="101">
        <f t="shared" si="70"/>
        <v>0</v>
      </c>
      <c r="I1142" s="101">
        <f t="shared" si="71"/>
        <v>0</v>
      </c>
      <c r="J1142" s="101">
        <f t="shared" si="72"/>
        <v>0</v>
      </c>
    </row>
    <row r="1143" spans="2:10" x14ac:dyDescent="0.2">
      <c r="B1143" s="93"/>
      <c r="C1143" s="97"/>
      <c r="D1143" s="93"/>
      <c r="E1143" s="98"/>
      <c r="F1143" s="100">
        <v>1139</v>
      </c>
      <c r="G1143" s="101">
        <f t="shared" si="69"/>
        <v>0</v>
      </c>
      <c r="H1143" s="101">
        <f t="shared" si="70"/>
        <v>0</v>
      </c>
      <c r="I1143" s="101">
        <f t="shared" si="71"/>
        <v>0</v>
      </c>
      <c r="J1143" s="101">
        <f t="shared" si="72"/>
        <v>0</v>
      </c>
    </row>
    <row r="1144" spans="2:10" x14ac:dyDescent="0.2">
      <c r="B1144" s="93"/>
      <c r="C1144" s="97"/>
      <c r="D1144" s="93"/>
      <c r="E1144" s="98"/>
      <c r="F1144" s="100">
        <v>1140</v>
      </c>
      <c r="G1144" s="101">
        <f t="shared" si="69"/>
        <v>0</v>
      </c>
      <c r="H1144" s="101">
        <f t="shared" si="70"/>
        <v>0</v>
      </c>
      <c r="I1144" s="101">
        <f t="shared" si="71"/>
        <v>0</v>
      </c>
      <c r="J1144" s="101">
        <f t="shared" si="72"/>
        <v>0</v>
      </c>
    </row>
    <row r="1145" spans="2:10" x14ac:dyDescent="0.2">
      <c r="B1145" s="93"/>
      <c r="C1145" s="97"/>
      <c r="D1145" s="93"/>
      <c r="E1145" s="98"/>
      <c r="F1145" s="100">
        <v>1141</v>
      </c>
      <c r="G1145" s="101">
        <f t="shared" si="69"/>
        <v>0</v>
      </c>
      <c r="H1145" s="101">
        <f t="shared" si="70"/>
        <v>0</v>
      </c>
      <c r="I1145" s="101">
        <f t="shared" si="71"/>
        <v>0</v>
      </c>
      <c r="J1145" s="101">
        <f t="shared" si="72"/>
        <v>0</v>
      </c>
    </row>
    <row r="1146" spans="2:10" x14ac:dyDescent="0.2">
      <c r="B1146" s="93"/>
      <c r="C1146" s="97"/>
      <c r="D1146" s="93"/>
      <c r="E1146" s="98"/>
      <c r="F1146" s="100">
        <v>1142</v>
      </c>
      <c r="G1146" s="101">
        <f t="shared" si="69"/>
        <v>0</v>
      </c>
      <c r="H1146" s="101">
        <f t="shared" si="70"/>
        <v>0</v>
      </c>
      <c r="I1146" s="101">
        <f t="shared" si="71"/>
        <v>0</v>
      </c>
      <c r="J1146" s="101">
        <f t="shared" si="72"/>
        <v>0</v>
      </c>
    </row>
    <row r="1147" spans="2:10" x14ac:dyDescent="0.2">
      <c r="B1147" s="93"/>
      <c r="C1147" s="97"/>
      <c r="D1147" s="93"/>
      <c r="E1147" s="98"/>
      <c r="F1147" s="100">
        <v>1143</v>
      </c>
      <c r="G1147" s="101">
        <f t="shared" si="69"/>
        <v>0</v>
      </c>
      <c r="H1147" s="101">
        <f t="shared" si="70"/>
        <v>0</v>
      </c>
      <c r="I1147" s="101">
        <f t="shared" si="71"/>
        <v>0</v>
      </c>
      <c r="J1147" s="101">
        <f t="shared" si="72"/>
        <v>0</v>
      </c>
    </row>
    <row r="1148" spans="2:10" x14ac:dyDescent="0.2">
      <c r="B1148" s="93"/>
      <c r="C1148" s="97"/>
      <c r="D1148" s="93"/>
      <c r="E1148" s="98"/>
      <c r="F1148" s="100">
        <v>1144</v>
      </c>
      <c r="G1148" s="101">
        <f t="shared" si="69"/>
        <v>0</v>
      </c>
      <c r="H1148" s="101">
        <f t="shared" si="70"/>
        <v>0</v>
      </c>
      <c r="I1148" s="101">
        <f t="shared" si="71"/>
        <v>0</v>
      </c>
      <c r="J1148" s="101">
        <f t="shared" si="72"/>
        <v>0</v>
      </c>
    </row>
    <row r="1149" spans="2:10" x14ac:dyDescent="0.2">
      <c r="B1149" s="93"/>
      <c r="C1149" s="97"/>
      <c r="D1149" s="93"/>
      <c r="E1149" s="98"/>
      <c r="F1149" s="100">
        <v>1145</v>
      </c>
      <c r="G1149" s="101">
        <f t="shared" si="69"/>
        <v>0</v>
      </c>
      <c r="H1149" s="101">
        <f t="shared" si="70"/>
        <v>0</v>
      </c>
      <c r="I1149" s="101">
        <f t="shared" si="71"/>
        <v>0</v>
      </c>
      <c r="J1149" s="101">
        <f t="shared" si="72"/>
        <v>0</v>
      </c>
    </row>
    <row r="1150" spans="2:10" x14ac:dyDescent="0.2">
      <c r="B1150" s="93"/>
      <c r="C1150" s="97"/>
      <c r="D1150" s="93"/>
      <c r="E1150" s="98"/>
      <c r="F1150" s="100">
        <v>1146</v>
      </c>
      <c r="G1150" s="101">
        <f t="shared" si="69"/>
        <v>0</v>
      </c>
      <c r="H1150" s="101">
        <f t="shared" si="70"/>
        <v>0</v>
      </c>
      <c r="I1150" s="101">
        <f t="shared" si="71"/>
        <v>0</v>
      </c>
      <c r="J1150" s="101">
        <f t="shared" si="72"/>
        <v>0</v>
      </c>
    </row>
    <row r="1151" spans="2:10" x14ac:dyDescent="0.2">
      <c r="B1151" s="93"/>
      <c r="C1151" s="97"/>
      <c r="D1151" s="93"/>
      <c r="E1151" s="98"/>
      <c r="F1151" s="100">
        <v>1147</v>
      </c>
      <c r="G1151" s="101">
        <f t="shared" si="69"/>
        <v>0</v>
      </c>
      <c r="H1151" s="101">
        <f t="shared" si="70"/>
        <v>0</v>
      </c>
      <c r="I1151" s="101">
        <f t="shared" si="71"/>
        <v>0</v>
      </c>
      <c r="J1151" s="101">
        <f t="shared" si="72"/>
        <v>0</v>
      </c>
    </row>
    <row r="1152" spans="2:10" x14ac:dyDescent="0.2">
      <c r="B1152" s="93"/>
      <c r="C1152" s="97"/>
      <c r="D1152" s="93"/>
      <c r="E1152" s="98"/>
      <c r="F1152" s="100">
        <v>1148</v>
      </c>
      <c r="G1152" s="101">
        <f t="shared" si="69"/>
        <v>0</v>
      </c>
      <c r="H1152" s="101">
        <f t="shared" si="70"/>
        <v>0</v>
      </c>
      <c r="I1152" s="101">
        <f t="shared" si="71"/>
        <v>0</v>
      </c>
      <c r="J1152" s="101">
        <f t="shared" si="72"/>
        <v>0</v>
      </c>
    </row>
    <row r="1153" spans="2:10" x14ac:dyDescent="0.2">
      <c r="B1153" s="93"/>
      <c r="C1153" s="97"/>
      <c r="D1153" s="93"/>
      <c r="E1153" s="98"/>
      <c r="F1153" s="100">
        <v>1149</v>
      </c>
      <c r="G1153" s="101">
        <f t="shared" si="69"/>
        <v>0</v>
      </c>
      <c r="H1153" s="101">
        <f t="shared" si="70"/>
        <v>0</v>
      </c>
      <c r="I1153" s="101">
        <f t="shared" si="71"/>
        <v>0</v>
      </c>
      <c r="J1153" s="101">
        <f t="shared" si="72"/>
        <v>0</v>
      </c>
    </row>
    <row r="1154" spans="2:10" x14ac:dyDescent="0.2">
      <c r="B1154" s="93"/>
      <c r="C1154" s="97"/>
      <c r="D1154" s="93"/>
      <c r="E1154" s="98"/>
      <c r="F1154" s="100">
        <v>1150</v>
      </c>
      <c r="G1154" s="101">
        <f t="shared" si="69"/>
        <v>0</v>
      </c>
      <c r="H1154" s="101">
        <f t="shared" si="70"/>
        <v>0</v>
      </c>
      <c r="I1154" s="101">
        <f t="shared" si="71"/>
        <v>0</v>
      </c>
      <c r="J1154" s="101">
        <f t="shared" si="72"/>
        <v>0</v>
      </c>
    </row>
    <row r="1155" spans="2:10" x14ac:dyDescent="0.2">
      <c r="B1155" s="93"/>
      <c r="C1155" s="97"/>
      <c r="D1155" s="93"/>
      <c r="E1155" s="98"/>
      <c r="F1155" s="100">
        <v>1151</v>
      </c>
      <c r="G1155" s="101">
        <f t="shared" si="69"/>
        <v>0</v>
      </c>
      <c r="H1155" s="101">
        <f t="shared" si="70"/>
        <v>0</v>
      </c>
      <c r="I1155" s="101">
        <f t="shared" si="71"/>
        <v>0</v>
      </c>
      <c r="J1155" s="101">
        <f t="shared" si="72"/>
        <v>0</v>
      </c>
    </row>
    <row r="1156" spans="2:10" x14ac:dyDescent="0.2">
      <c r="B1156" s="93"/>
      <c r="C1156" s="97"/>
      <c r="D1156" s="93"/>
      <c r="E1156" s="98"/>
      <c r="F1156" s="100">
        <v>1152</v>
      </c>
      <c r="G1156" s="101">
        <f t="shared" si="69"/>
        <v>0</v>
      </c>
      <c r="H1156" s="101">
        <f t="shared" si="70"/>
        <v>0</v>
      </c>
      <c r="I1156" s="101">
        <f t="shared" si="71"/>
        <v>0</v>
      </c>
      <c r="J1156" s="101">
        <f t="shared" si="72"/>
        <v>0</v>
      </c>
    </row>
    <row r="1157" spans="2:10" x14ac:dyDescent="0.2">
      <c r="B1157" s="93"/>
      <c r="C1157" s="97"/>
      <c r="D1157" s="93"/>
      <c r="E1157" s="98"/>
      <c r="F1157" s="100">
        <v>1153</v>
      </c>
      <c r="G1157" s="101">
        <f t="shared" si="69"/>
        <v>0</v>
      </c>
      <c r="H1157" s="101">
        <f t="shared" si="70"/>
        <v>0</v>
      </c>
      <c r="I1157" s="101">
        <f t="shared" si="71"/>
        <v>0</v>
      </c>
      <c r="J1157" s="101">
        <f t="shared" si="72"/>
        <v>0</v>
      </c>
    </row>
    <row r="1158" spans="2:10" x14ac:dyDescent="0.2">
      <c r="B1158" s="93"/>
      <c r="C1158" s="97"/>
      <c r="D1158" s="93"/>
      <c r="E1158" s="98"/>
      <c r="F1158" s="100">
        <v>1154</v>
      </c>
      <c r="G1158" s="101">
        <f t="shared" ref="G1158:G1221" si="73">B1158</f>
        <v>0</v>
      </c>
      <c r="H1158" s="101">
        <f t="shared" ref="H1158:H1221" si="74">C1158</f>
        <v>0</v>
      </c>
      <c r="I1158" s="101">
        <f t="shared" ref="I1158:I1221" si="75">D1158</f>
        <v>0</v>
      </c>
      <c r="J1158" s="101">
        <f t="shared" ref="J1158:J1221" si="76">E1158</f>
        <v>0</v>
      </c>
    </row>
    <row r="1159" spans="2:10" x14ac:dyDescent="0.2">
      <c r="B1159" s="93"/>
      <c r="C1159" s="97"/>
      <c r="D1159" s="93"/>
      <c r="E1159" s="98"/>
      <c r="F1159" s="100">
        <v>1155</v>
      </c>
      <c r="G1159" s="101">
        <f t="shared" si="73"/>
        <v>0</v>
      </c>
      <c r="H1159" s="101">
        <f t="shared" si="74"/>
        <v>0</v>
      </c>
      <c r="I1159" s="101">
        <f t="shared" si="75"/>
        <v>0</v>
      </c>
      <c r="J1159" s="101">
        <f t="shared" si="76"/>
        <v>0</v>
      </c>
    </row>
    <row r="1160" spans="2:10" x14ac:dyDescent="0.2">
      <c r="B1160" s="93"/>
      <c r="C1160" s="97"/>
      <c r="D1160" s="93"/>
      <c r="E1160" s="98"/>
      <c r="F1160" s="100">
        <v>1156</v>
      </c>
      <c r="G1160" s="101">
        <f t="shared" si="73"/>
        <v>0</v>
      </c>
      <c r="H1160" s="101">
        <f t="shared" si="74"/>
        <v>0</v>
      </c>
      <c r="I1160" s="101">
        <f t="shared" si="75"/>
        <v>0</v>
      </c>
      <c r="J1160" s="101">
        <f t="shared" si="76"/>
        <v>0</v>
      </c>
    </row>
    <row r="1161" spans="2:10" x14ac:dyDescent="0.2">
      <c r="B1161" s="93"/>
      <c r="C1161" s="97"/>
      <c r="D1161" s="93"/>
      <c r="E1161" s="98"/>
      <c r="F1161" s="100">
        <v>1157</v>
      </c>
      <c r="G1161" s="101">
        <f t="shared" si="73"/>
        <v>0</v>
      </c>
      <c r="H1161" s="101">
        <f t="shared" si="74"/>
        <v>0</v>
      </c>
      <c r="I1161" s="101">
        <f t="shared" si="75"/>
        <v>0</v>
      </c>
      <c r="J1161" s="101">
        <f t="shared" si="76"/>
        <v>0</v>
      </c>
    </row>
    <row r="1162" spans="2:10" x14ac:dyDescent="0.2">
      <c r="B1162" s="93"/>
      <c r="C1162" s="97"/>
      <c r="D1162" s="93"/>
      <c r="E1162" s="98"/>
      <c r="F1162" s="100">
        <v>1158</v>
      </c>
      <c r="G1162" s="101">
        <f t="shared" si="73"/>
        <v>0</v>
      </c>
      <c r="H1162" s="101">
        <f t="shared" si="74"/>
        <v>0</v>
      </c>
      <c r="I1162" s="101">
        <f t="shared" si="75"/>
        <v>0</v>
      </c>
      <c r="J1162" s="101">
        <f t="shared" si="76"/>
        <v>0</v>
      </c>
    </row>
    <row r="1163" spans="2:10" x14ac:dyDescent="0.2">
      <c r="B1163" s="93"/>
      <c r="C1163" s="97"/>
      <c r="D1163" s="93"/>
      <c r="E1163" s="98"/>
      <c r="F1163" s="100">
        <v>1159</v>
      </c>
      <c r="G1163" s="101">
        <f t="shared" si="73"/>
        <v>0</v>
      </c>
      <c r="H1163" s="101">
        <f t="shared" si="74"/>
        <v>0</v>
      </c>
      <c r="I1163" s="101">
        <f t="shared" si="75"/>
        <v>0</v>
      </c>
      <c r="J1163" s="101">
        <f t="shared" si="76"/>
        <v>0</v>
      </c>
    </row>
    <row r="1164" spans="2:10" x14ac:dyDescent="0.2">
      <c r="B1164" s="93"/>
      <c r="C1164" s="97"/>
      <c r="D1164" s="93"/>
      <c r="E1164" s="98"/>
      <c r="F1164" s="100">
        <v>1160</v>
      </c>
      <c r="G1164" s="101">
        <f t="shared" si="73"/>
        <v>0</v>
      </c>
      <c r="H1164" s="101">
        <f t="shared" si="74"/>
        <v>0</v>
      </c>
      <c r="I1164" s="101">
        <f t="shared" si="75"/>
        <v>0</v>
      </c>
      <c r="J1164" s="101">
        <f t="shared" si="76"/>
        <v>0</v>
      </c>
    </row>
    <row r="1165" spans="2:10" x14ac:dyDescent="0.2">
      <c r="B1165" s="93"/>
      <c r="C1165" s="97"/>
      <c r="D1165" s="93"/>
      <c r="E1165" s="98"/>
      <c r="F1165" s="100">
        <v>1161</v>
      </c>
      <c r="G1165" s="101">
        <f t="shared" si="73"/>
        <v>0</v>
      </c>
      <c r="H1165" s="101">
        <f t="shared" si="74"/>
        <v>0</v>
      </c>
      <c r="I1165" s="101">
        <f t="shared" si="75"/>
        <v>0</v>
      </c>
      <c r="J1165" s="101">
        <f t="shared" si="76"/>
        <v>0</v>
      </c>
    </row>
    <row r="1166" spans="2:10" x14ac:dyDescent="0.2">
      <c r="B1166" s="93"/>
      <c r="C1166" s="97"/>
      <c r="D1166" s="93"/>
      <c r="E1166" s="98"/>
      <c r="F1166" s="100">
        <v>1162</v>
      </c>
      <c r="G1166" s="101">
        <f t="shared" si="73"/>
        <v>0</v>
      </c>
      <c r="H1166" s="101">
        <f t="shared" si="74"/>
        <v>0</v>
      </c>
      <c r="I1166" s="101">
        <f t="shared" si="75"/>
        <v>0</v>
      </c>
      <c r="J1166" s="101">
        <f t="shared" si="76"/>
        <v>0</v>
      </c>
    </row>
    <row r="1167" spans="2:10" x14ac:dyDescent="0.2">
      <c r="B1167" s="93"/>
      <c r="C1167" s="97"/>
      <c r="D1167" s="93"/>
      <c r="E1167" s="98"/>
      <c r="F1167" s="100">
        <v>1163</v>
      </c>
      <c r="G1167" s="101">
        <f t="shared" si="73"/>
        <v>0</v>
      </c>
      <c r="H1167" s="101">
        <f t="shared" si="74"/>
        <v>0</v>
      </c>
      <c r="I1167" s="101">
        <f t="shared" si="75"/>
        <v>0</v>
      </c>
      <c r="J1167" s="101">
        <f t="shared" si="76"/>
        <v>0</v>
      </c>
    </row>
    <row r="1168" spans="2:10" x14ac:dyDescent="0.2">
      <c r="B1168" s="93"/>
      <c r="C1168" s="97"/>
      <c r="D1168" s="93"/>
      <c r="E1168" s="98"/>
      <c r="F1168" s="100">
        <v>1164</v>
      </c>
      <c r="G1168" s="101">
        <f t="shared" si="73"/>
        <v>0</v>
      </c>
      <c r="H1168" s="101">
        <f t="shared" si="74"/>
        <v>0</v>
      </c>
      <c r="I1168" s="101">
        <f t="shared" si="75"/>
        <v>0</v>
      </c>
      <c r="J1168" s="101">
        <f t="shared" si="76"/>
        <v>0</v>
      </c>
    </row>
    <row r="1169" spans="2:10" x14ac:dyDescent="0.2">
      <c r="B1169" s="93"/>
      <c r="C1169" s="97"/>
      <c r="D1169" s="93"/>
      <c r="E1169" s="98"/>
      <c r="F1169" s="100">
        <v>1165</v>
      </c>
      <c r="G1169" s="101">
        <f t="shared" si="73"/>
        <v>0</v>
      </c>
      <c r="H1169" s="101">
        <f t="shared" si="74"/>
        <v>0</v>
      </c>
      <c r="I1169" s="101">
        <f t="shared" si="75"/>
        <v>0</v>
      </c>
      <c r="J1169" s="101">
        <f t="shared" si="76"/>
        <v>0</v>
      </c>
    </row>
    <row r="1170" spans="2:10" x14ac:dyDescent="0.2">
      <c r="B1170" s="93"/>
      <c r="C1170" s="97"/>
      <c r="D1170" s="93"/>
      <c r="E1170" s="98"/>
      <c r="F1170" s="100">
        <v>1166</v>
      </c>
      <c r="G1170" s="101">
        <f t="shared" si="73"/>
        <v>0</v>
      </c>
      <c r="H1170" s="101">
        <f t="shared" si="74"/>
        <v>0</v>
      </c>
      <c r="I1170" s="101">
        <f t="shared" si="75"/>
        <v>0</v>
      </c>
      <c r="J1170" s="101">
        <f t="shared" si="76"/>
        <v>0</v>
      </c>
    </row>
    <row r="1171" spans="2:10" x14ac:dyDescent="0.2">
      <c r="B1171" s="93"/>
      <c r="C1171" s="97"/>
      <c r="D1171" s="93"/>
      <c r="E1171" s="98"/>
      <c r="F1171" s="100">
        <v>1167</v>
      </c>
      <c r="G1171" s="101">
        <f t="shared" si="73"/>
        <v>0</v>
      </c>
      <c r="H1171" s="101">
        <f t="shared" si="74"/>
        <v>0</v>
      </c>
      <c r="I1171" s="101">
        <f t="shared" si="75"/>
        <v>0</v>
      </c>
      <c r="J1171" s="101">
        <f t="shared" si="76"/>
        <v>0</v>
      </c>
    </row>
    <row r="1172" spans="2:10" x14ac:dyDescent="0.2">
      <c r="B1172" s="93"/>
      <c r="C1172" s="97"/>
      <c r="D1172" s="93"/>
      <c r="E1172" s="98"/>
      <c r="F1172" s="100">
        <v>1168</v>
      </c>
      <c r="G1172" s="101">
        <f t="shared" si="73"/>
        <v>0</v>
      </c>
      <c r="H1172" s="101">
        <f t="shared" si="74"/>
        <v>0</v>
      </c>
      <c r="I1172" s="101">
        <f t="shared" si="75"/>
        <v>0</v>
      </c>
      <c r="J1172" s="101">
        <f t="shared" si="76"/>
        <v>0</v>
      </c>
    </row>
    <row r="1173" spans="2:10" x14ac:dyDescent="0.2">
      <c r="B1173" s="93"/>
      <c r="C1173" s="97"/>
      <c r="D1173" s="93"/>
      <c r="E1173" s="98"/>
      <c r="F1173" s="100">
        <v>1169</v>
      </c>
      <c r="G1173" s="101">
        <f t="shared" si="73"/>
        <v>0</v>
      </c>
      <c r="H1173" s="101">
        <f t="shared" si="74"/>
        <v>0</v>
      </c>
      <c r="I1173" s="101">
        <f t="shared" si="75"/>
        <v>0</v>
      </c>
      <c r="J1173" s="101">
        <f t="shared" si="76"/>
        <v>0</v>
      </c>
    </row>
    <row r="1174" spans="2:10" x14ac:dyDescent="0.2">
      <c r="B1174" s="93"/>
      <c r="C1174" s="97"/>
      <c r="D1174" s="93"/>
      <c r="E1174" s="98"/>
      <c r="F1174" s="100">
        <v>1170</v>
      </c>
      <c r="G1174" s="101">
        <f t="shared" si="73"/>
        <v>0</v>
      </c>
      <c r="H1174" s="101">
        <f t="shared" si="74"/>
        <v>0</v>
      </c>
      <c r="I1174" s="101">
        <f t="shared" si="75"/>
        <v>0</v>
      </c>
      <c r="J1174" s="101">
        <f t="shared" si="76"/>
        <v>0</v>
      </c>
    </row>
    <row r="1175" spans="2:10" x14ac:dyDescent="0.2">
      <c r="B1175" s="93"/>
      <c r="C1175" s="97"/>
      <c r="D1175" s="93"/>
      <c r="E1175" s="98"/>
      <c r="F1175" s="100">
        <v>1171</v>
      </c>
      <c r="G1175" s="101">
        <f t="shared" si="73"/>
        <v>0</v>
      </c>
      <c r="H1175" s="101">
        <f t="shared" si="74"/>
        <v>0</v>
      </c>
      <c r="I1175" s="101">
        <f t="shared" si="75"/>
        <v>0</v>
      </c>
      <c r="J1175" s="101">
        <f t="shared" si="76"/>
        <v>0</v>
      </c>
    </row>
    <row r="1176" spans="2:10" x14ac:dyDescent="0.2">
      <c r="B1176" s="93"/>
      <c r="C1176" s="97"/>
      <c r="D1176" s="93"/>
      <c r="E1176" s="98"/>
      <c r="F1176" s="100">
        <v>1172</v>
      </c>
      <c r="G1176" s="101">
        <f t="shared" si="73"/>
        <v>0</v>
      </c>
      <c r="H1176" s="101">
        <f t="shared" si="74"/>
        <v>0</v>
      </c>
      <c r="I1176" s="101">
        <f t="shared" si="75"/>
        <v>0</v>
      </c>
      <c r="J1176" s="101">
        <f t="shared" si="76"/>
        <v>0</v>
      </c>
    </row>
    <row r="1177" spans="2:10" x14ac:dyDescent="0.2">
      <c r="B1177" s="93"/>
      <c r="C1177" s="97"/>
      <c r="D1177" s="93"/>
      <c r="E1177" s="98"/>
      <c r="F1177" s="100">
        <v>1173</v>
      </c>
      <c r="G1177" s="101">
        <f t="shared" si="73"/>
        <v>0</v>
      </c>
      <c r="H1177" s="101">
        <f t="shared" si="74"/>
        <v>0</v>
      </c>
      <c r="I1177" s="101">
        <f t="shared" si="75"/>
        <v>0</v>
      </c>
      <c r="J1177" s="101">
        <f t="shared" si="76"/>
        <v>0</v>
      </c>
    </row>
    <row r="1178" spans="2:10" x14ac:dyDescent="0.2">
      <c r="B1178" s="93"/>
      <c r="C1178" s="97"/>
      <c r="D1178" s="93"/>
      <c r="E1178" s="98"/>
      <c r="F1178" s="100">
        <v>1174</v>
      </c>
      <c r="G1178" s="101">
        <f t="shared" si="73"/>
        <v>0</v>
      </c>
      <c r="H1178" s="101">
        <f t="shared" si="74"/>
        <v>0</v>
      </c>
      <c r="I1178" s="101">
        <f t="shared" si="75"/>
        <v>0</v>
      </c>
      <c r="J1178" s="101">
        <f t="shared" si="76"/>
        <v>0</v>
      </c>
    </row>
    <row r="1179" spans="2:10" x14ac:dyDescent="0.2">
      <c r="B1179" s="93"/>
      <c r="C1179" s="97"/>
      <c r="D1179" s="93"/>
      <c r="E1179" s="98"/>
      <c r="F1179" s="100">
        <v>1175</v>
      </c>
      <c r="G1179" s="101">
        <f t="shared" si="73"/>
        <v>0</v>
      </c>
      <c r="H1179" s="101">
        <f t="shared" si="74"/>
        <v>0</v>
      </c>
      <c r="I1179" s="101">
        <f t="shared" si="75"/>
        <v>0</v>
      </c>
      <c r="J1179" s="101">
        <f t="shared" si="76"/>
        <v>0</v>
      </c>
    </row>
    <row r="1180" spans="2:10" x14ac:dyDescent="0.2">
      <c r="B1180" s="93"/>
      <c r="C1180" s="97"/>
      <c r="D1180" s="93"/>
      <c r="E1180" s="98"/>
      <c r="F1180" s="100">
        <v>1176</v>
      </c>
      <c r="G1180" s="101">
        <f t="shared" si="73"/>
        <v>0</v>
      </c>
      <c r="H1180" s="101">
        <f t="shared" si="74"/>
        <v>0</v>
      </c>
      <c r="I1180" s="101">
        <f t="shared" si="75"/>
        <v>0</v>
      </c>
      <c r="J1180" s="101">
        <f t="shared" si="76"/>
        <v>0</v>
      </c>
    </row>
    <row r="1181" spans="2:10" x14ac:dyDescent="0.2">
      <c r="B1181" s="93"/>
      <c r="C1181" s="97"/>
      <c r="D1181" s="93"/>
      <c r="E1181" s="98"/>
      <c r="F1181" s="100">
        <v>1177</v>
      </c>
      <c r="G1181" s="101">
        <f t="shared" si="73"/>
        <v>0</v>
      </c>
      <c r="H1181" s="101">
        <f t="shared" si="74"/>
        <v>0</v>
      </c>
      <c r="I1181" s="101">
        <f t="shared" si="75"/>
        <v>0</v>
      </c>
      <c r="J1181" s="101">
        <f t="shared" si="76"/>
        <v>0</v>
      </c>
    </row>
    <row r="1182" spans="2:10" x14ac:dyDescent="0.2">
      <c r="B1182" s="93"/>
      <c r="C1182" s="97"/>
      <c r="D1182" s="93"/>
      <c r="E1182" s="98"/>
      <c r="F1182" s="100">
        <v>1178</v>
      </c>
      <c r="G1182" s="101">
        <f t="shared" si="73"/>
        <v>0</v>
      </c>
      <c r="H1182" s="101">
        <f t="shared" si="74"/>
        <v>0</v>
      </c>
      <c r="I1182" s="101">
        <f t="shared" si="75"/>
        <v>0</v>
      </c>
      <c r="J1182" s="101">
        <f t="shared" si="76"/>
        <v>0</v>
      </c>
    </row>
    <row r="1183" spans="2:10" x14ac:dyDescent="0.2">
      <c r="B1183" s="93"/>
      <c r="C1183" s="97"/>
      <c r="D1183" s="93"/>
      <c r="E1183" s="98"/>
      <c r="F1183" s="100">
        <v>1179</v>
      </c>
      <c r="G1183" s="101">
        <f t="shared" si="73"/>
        <v>0</v>
      </c>
      <c r="H1183" s="101">
        <f t="shared" si="74"/>
        <v>0</v>
      </c>
      <c r="I1183" s="101">
        <f t="shared" si="75"/>
        <v>0</v>
      </c>
      <c r="J1183" s="101">
        <f t="shared" si="76"/>
        <v>0</v>
      </c>
    </row>
    <row r="1184" spans="2:10" x14ac:dyDescent="0.2">
      <c r="B1184" s="93"/>
      <c r="C1184" s="97"/>
      <c r="D1184" s="93"/>
      <c r="E1184" s="98"/>
      <c r="F1184" s="100">
        <v>1180</v>
      </c>
      <c r="G1184" s="101">
        <f t="shared" si="73"/>
        <v>0</v>
      </c>
      <c r="H1184" s="101">
        <f t="shared" si="74"/>
        <v>0</v>
      </c>
      <c r="I1184" s="101">
        <f t="shared" si="75"/>
        <v>0</v>
      </c>
      <c r="J1184" s="101">
        <f t="shared" si="76"/>
        <v>0</v>
      </c>
    </row>
    <row r="1185" spans="2:10" x14ac:dyDescent="0.2">
      <c r="B1185" s="93"/>
      <c r="C1185" s="97"/>
      <c r="D1185" s="93"/>
      <c r="E1185" s="98"/>
      <c r="F1185" s="100">
        <v>1181</v>
      </c>
      <c r="G1185" s="101">
        <f t="shared" si="73"/>
        <v>0</v>
      </c>
      <c r="H1185" s="101">
        <f t="shared" si="74"/>
        <v>0</v>
      </c>
      <c r="I1185" s="101">
        <f t="shared" si="75"/>
        <v>0</v>
      </c>
      <c r="J1185" s="101">
        <f t="shared" si="76"/>
        <v>0</v>
      </c>
    </row>
    <row r="1186" spans="2:10" x14ac:dyDescent="0.2">
      <c r="B1186" s="93"/>
      <c r="C1186" s="97"/>
      <c r="D1186" s="93"/>
      <c r="E1186" s="98"/>
      <c r="F1186" s="100">
        <v>1182</v>
      </c>
      <c r="G1186" s="101">
        <f t="shared" si="73"/>
        <v>0</v>
      </c>
      <c r="H1186" s="101">
        <f t="shared" si="74"/>
        <v>0</v>
      </c>
      <c r="I1186" s="101">
        <f t="shared" si="75"/>
        <v>0</v>
      </c>
      <c r="J1186" s="101">
        <f t="shared" si="76"/>
        <v>0</v>
      </c>
    </row>
    <row r="1187" spans="2:10" x14ac:dyDescent="0.2">
      <c r="B1187" s="93"/>
      <c r="C1187" s="97"/>
      <c r="D1187" s="93"/>
      <c r="E1187" s="98"/>
      <c r="F1187" s="100">
        <v>1183</v>
      </c>
      <c r="G1187" s="101">
        <f t="shared" si="73"/>
        <v>0</v>
      </c>
      <c r="H1187" s="101">
        <f t="shared" si="74"/>
        <v>0</v>
      </c>
      <c r="I1187" s="101">
        <f t="shared" si="75"/>
        <v>0</v>
      </c>
      <c r="J1187" s="101">
        <f t="shared" si="76"/>
        <v>0</v>
      </c>
    </row>
    <row r="1188" spans="2:10" x14ac:dyDescent="0.2">
      <c r="B1188" s="93"/>
      <c r="C1188" s="97"/>
      <c r="D1188" s="93"/>
      <c r="E1188" s="98"/>
      <c r="F1188" s="100">
        <v>1184</v>
      </c>
      <c r="G1188" s="101">
        <f t="shared" si="73"/>
        <v>0</v>
      </c>
      <c r="H1188" s="101">
        <f t="shared" si="74"/>
        <v>0</v>
      </c>
      <c r="I1188" s="101">
        <f t="shared" si="75"/>
        <v>0</v>
      </c>
      <c r="J1188" s="101">
        <f t="shared" si="76"/>
        <v>0</v>
      </c>
    </row>
    <row r="1189" spans="2:10" x14ac:dyDescent="0.2">
      <c r="B1189" s="93"/>
      <c r="C1189" s="97"/>
      <c r="D1189" s="93"/>
      <c r="E1189" s="98"/>
      <c r="F1189" s="100">
        <v>1185</v>
      </c>
      <c r="G1189" s="101">
        <f t="shared" si="73"/>
        <v>0</v>
      </c>
      <c r="H1189" s="101">
        <f t="shared" si="74"/>
        <v>0</v>
      </c>
      <c r="I1189" s="101">
        <f t="shared" si="75"/>
        <v>0</v>
      </c>
      <c r="J1189" s="101">
        <f t="shared" si="76"/>
        <v>0</v>
      </c>
    </row>
    <row r="1190" spans="2:10" x14ac:dyDescent="0.2">
      <c r="B1190" s="93"/>
      <c r="C1190" s="97"/>
      <c r="D1190" s="93"/>
      <c r="E1190" s="98"/>
      <c r="F1190" s="100">
        <v>1186</v>
      </c>
      <c r="G1190" s="101">
        <f t="shared" si="73"/>
        <v>0</v>
      </c>
      <c r="H1190" s="101">
        <f t="shared" si="74"/>
        <v>0</v>
      </c>
      <c r="I1190" s="101">
        <f t="shared" si="75"/>
        <v>0</v>
      </c>
      <c r="J1190" s="101">
        <f t="shared" si="76"/>
        <v>0</v>
      </c>
    </row>
    <row r="1191" spans="2:10" x14ac:dyDescent="0.2">
      <c r="B1191" s="93"/>
      <c r="C1191" s="97"/>
      <c r="D1191" s="93"/>
      <c r="E1191" s="98"/>
      <c r="F1191" s="100">
        <v>1187</v>
      </c>
      <c r="G1191" s="101">
        <f t="shared" si="73"/>
        <v>0</v>
      </c>
      <c r="H1191" s="101">
        <f t="shared" si="74"/>
        <v>0</v>
      </c>
      <c r="I1191" s="101">
        <f t="shared" si="75"/>
        <v>0</v>
      </c>
      <c r="J1191" s="101">
        <f t="shared" si="76"/>
        <v>0</v>
      </c>
    </row>
    <row r="1192" spans="2:10" x14ac:dyDescent="0.2">
      <c r="B1192" s="93"/>
      <c r="C1192" s="97"/>
      <c r="D1192" s="93"/>
      <c r="E1192" s="98"/>
      <c r="F1192" s="100">
        <v>1188</v>
      </c>
      <c r="G1192" s="101">
        <f t="shared" si="73"/>
        <v>0</v>
      </c>
      <c r="H1192" s="101">
        <f t="shared" si="74"/>
        <v>0</v>
      </c>
      <c r="I1192" s="101">
        <f t="shared" si="75"/>
        <v>0</v>
      </c>
      <c r="J1192" s="101">
        <f t="shared" si="76"/>
        <v>0</v>
      </c>
    </row>
    <row r="1193" spans="2:10" x14ac:dyDescent="0.2">
      <c r="B1193" s="93"/>
      <c r="C1193" s="97"/>
      <c r="D1193" s="93"/>
      <c r="E1193" s="98"/>
      <c r="F1193" s="100">
        <v>1189</v>
      </c>
      <c r="G1193" s="101">
        <f t="shared" si="73"/>
        <v>0</v>
      </c>
      <c r="H1193" s="101">
        <f t="shared" si="74"/>
        <v>0</v>
      </c>
      <c r="I1193" s="101">
        <f t="shared" si="75"/>
        <v>0</v>
      </c>
      <c r="J1193" s="101">
        <f t="shared" si="76"/>
        <v>0</v>
      </c>
    </row>
    <row r="1194" spans="2:10" x14ac:dyDescent="0.2">
      <c r="B1194" s="93"/>
      <c r="C1194" s="97"/>
      <c r="D1194" s="93"/>
      <c r="E1194" s="98"/>
      <c r="F1194" s="100">
        <v>1190</v>
      </c>
      <c r="G1194" s="101">
        <f t="shared" si="73"/>
        <v>0</v>
      </c>
      <c r="H1194" s="101">
        <f t="shared" si="74"/>
        <v>0</v>
      </c>
      <c r="I1194" s="101">
        <f t="shared" si="75"/>
        <v>0</v>
      </c>
      <c r="J1194" s="101">
        <f t="shared" si="76"/>
        <v>0</v>
      </c>
    </row>
    <row r="1195" spans="2:10" x14ac:dyDescent="0.2">
      <c r="B1195" s="93"/>
      <c r="C1195" s="97"/>
      <c r="D1195" s="93"/>
      <c r="E1195" s="98"/>
      <c r="F1195" s="100">
        <v>1191</v>
      </c>
      <c r="G1195" s="101">
        <f t="shared" si="73"/>
        <v>0</v>
      </c>
      <c r="H1195" s="101">
        <f t="shared" si="74"/>
        <v>0</v>
      </c>
      <c r="I1195" s="101">
        <f t="shared" si="75"/>
        <v>0</v>
      </c>
      <c r="J1195" s="101">
        <f t="shared" si="76"/>
        <v>0</v>
      </c>
    </row>
    <row r="1196" spans="2:10" x14ac:dyDescent="0.2">
      <c r="B1196" s="93"/>
      <c r="C1196" s="97"/>
      <c r="D1196" s="93"/>
      <c r="E1196" s="98"/>
      <c r="F1196" s="100">
        <v>1192</v>
      </c>
      <c r="G1196" s="101">
        <f t="shared" si="73"/>
        <v>0</v>
      </c>
      <c r="H1196" s="101">
        <f t="shared" si="74"/>
        <v>0</v>
      </c>
      <c r="I1196" s="101">
        <f t="shared" si="75"/>
        <v>0</v>
      </c>
      <c r="J1196" s="101">
        <f t="shared" si="76"/>
        <v>0</v>
      </c>
    </row>
    <row r="1197" spans="2:10" x14ac:dyDescent="0.2">
      <c r="B1197" s="93"/>
      <c r="C1197" s="97"/>
      <c r="D1197" s="93"/>
      <c r="E1197" s="98"/>
      <c r="F1197" s="100">
        <v>1193</v>
      </c>
      <c r="G1197" s="101">
        <f t="shared" si="73"/>
        <v>0</v>
      </c>
      <c r="H1197" s="101">
        <f t="shared" si="74"/>
        <v>0</v>
      </c>
      <c r="I1197" s="101">
        <f t="shared" si="75"/>
        <v>0</v>
      </c>
      <c r="J1197" s="101">
        <f t="shared" si="76"/>
        <v>0</v>
      </c>
    </row>
    <row r="1198" spans="2:10" x14ac:dyDescent="0.2">
      <c r="B1198" s="93"/>
      <c r="C1198" s="97"/>
      <c r="D1198" s="93"/>
      <c r="E1198" s="98"/>
      <c r="F1198" s="100">
        <v>1194</v>
      </c>
      <c r="G1198" s="101">
        <f t="shared" si="73"/>
        <v>0</v>
      </c>
      <c r="H1198" s="101">
        <f t="shared" si="74"/>
        <v>0</v>
      </c>
      <c r="I1198" s="101">
        <f t="shared" si="75"/>
        <v>0</v>
      </c>
      <c r="J1198" s="101">
        <f t="shared" si="76"/>
        <v>0</v>
      </c>
    </row>
    <row r="1199" spans="2:10" x14ac:dyDescent="0.2">
      <c r="B1199" s="93"/>
      <c r="C1199" s="97"/>
      <c r="D1199" s="93"/>
      <c r="E1199" s="98"/>
      <c r="F1199" s="100">
        <v>1195</v>
      </c>
      <c r="G1199" s="101">
        <f t="shared" si="73"/>
        <v>0</v>
      </c>
      <c r="H1199" s="101">
        <f t="shared" si="74"/>
        <v>0</v>
      </c>
      <c r="I1199" s="101">
        <f t="shared" si="75"/>
        <v>0</v>
      </c>
      <c r="J1199" s="101">
        <f t="shared" si="76"/>
        <v>0</v>
      </c>
    </row>
    <row r="1200" spans="2:10" x14ac:dyDescent="0.2">
      <c r="B1200" s="93"/>
      <c r="C1200" s="97"/>
      <c r="D1200" s="93"/>
      <c r="E1200" s="98"/>
      <c r="F1200" s="100">
        <v>1196</v>
      </c>
      <c r="G1200" s="101">
        <f t="shared" si="73"/>
        <v>0</v>
      </c>
      <c r="H1200" s="101">
        <f t="shared" si="74"/>
        <v>0</v>
      </c>
      <c r="I1200" s="101">
        <f t="shared" si="75"/>
        <v>0</v>
      </c>
      <c r="J1200" s="101">
        <f t="shared" si="76"/>
        <v>0</v>
      </c>
    </row>
    <row r="1201" spans="2:10" x14ac:dyDescent="0.2">
      <c r="B1201" s="93"/>
      <c r="C1201" s="97"/>
      <c r="D1201" s="93"/>
      <c r="E1201" s="98"/>
      <c r="F1201" s="100">
        <v>1197</v>
      </c>
      <c r="G1201" s="101">
        <f t="shared" si="73"/>
        <v>0</v>
      </c>
      <c r="H1201" s="101">
        <f t="shared" si="74"/>
        <v>0</v>
      </c>
      <c r="I1201" s="101">
        <f t="shared" si="75"/>
        <v>0</v>
      </c>
      <c r="J1201" s="101">
        <f t="shared" si="76"/>
        <v>0</v>
      </c>
    </row>
    <row r="1202" spans="2:10" x14ac:dyDescent="0.2">
      <c r="B1202" s="93"/>
      <c r="C1202" s="97"/>
      <c r="D1202" s="93"/>
      <c r="E1202" s="98"/>
      <c r="F1202" s="100">
        <v>1198</v>
      </c>
      <c r="G1202" s="101">
        <f t="shared" si="73"/>
        <v>0</v>
      </c>
      <c r="H1202" s="101">
        <f t="shared" si="74"/>
        <v>0</v>
      </c>
      <c r="I1202" s="101">
        <f t="shared" si="75"/>
        <v>0</v>
      </c>
      <c r="J1202" s="101">
        <f t="shared" si="76"/>
        <v>0</v>
      </c>
    </row>
    <row r="1203" spans="2:10" x14ac:dyDescent="0.2">
      <c r="B1203" s="93"/>
      <c r="C1203" s="97"/>
      <c r="D1203" s="93"/>
      <c r="E1203" s="98"/>
      <c r="F1203" s="100">
        <v>1199</v>
      </c>
      <c r="G1203" s="101">
        <f t="shared" si="73"/>
        <v>0</v>
      </c>
      <c r="H1203" s="101">
        <f t="shared" si="74"/>
        <v>0</v>
      </c>
      <c r="I1203" s="101">
        <f t="shared" si="75"/>
        <v>0</v>
      </c>
      <c r="J1203" s="101">
        <f t="shared" si="76"/>
        <v>0</v>
      </c>
    </row>
    <row r="1204" spans="2:10" x14ac:dyDescent="0.2">
      <c r="B1204" s="93"/>
      <c r="C1204" s="97"/>
      <c r="D1204" s="93"/>
      <c r="E1204" s="98"/>
      <c r="F1204" s="100">
        <v>1200</v>
      </c>
      <c r="G1204" s="101">
        <f t="shared" si="73"/>
        <v>0</v>
      </c>
      <c r="H1204" s="101">
        <f t="shared" si="74"/>
        <v>0</v>
      </c>
      <c r="I1204" s="101">
        <f t="shared" si="75"/>
        <v>0</v>
      </c>
      <c r="J1204" s="101">
        <f t="shared" si="76"/>
        <v>0</v>
      </c>
    </row>
    <row r="1205" spans="2:10" x14ac:dyDescent="0.2">
      <c r="B1205" s="93"/>
      <c r="C1205" s="97"/>
      <c r="D1205" s="93"/>
      <c r="E1205" s="98"/>
      <c r="F1205" s="100">
        <v>1201</v>
      </c>
      <c r="G1205" s="101">
        <f t="shared" si="73"/>
        <v>0</v>
      </c>
      <c r="H1205" s="101">
        <f t="shared" si="74"/>
        <v>0</v>
      </c>
      <c r="I1205" s="101">
        <f t="shared" si="75"/>
        <v>0</v>
      </c>
      <c r="J1205" s="101">
        <f t="shared" si="76"/>
        <v>0</v>
      </c>
    </row>
    <row r="1206" spans="2:10" x14ac:dyDescent="0.2">
      <c r="B1206" s="93"/>
      <c r="C1206" s="97"/>
      <c r="D1206" s="93"/>
      <c r="E1206" s="98"/>
      <c r="F1206" s="100">
        <v>1202</v>
      </c>
      <c r="G1206" s="101">
        <f t="shared" si="73"/>
        <v>0</v>
      </c>
      <c r="H1206" s="101">
        <f t="shared" si="74"/>
        <v>0</v>
      </c>
      <c r="I1206" s="101">
        <f t="shared" si="75"/>
        <v>0</v>
      </c>
      <c r="J1206" s="101">
        <f t="shared" si="76"/>
        <v>0</v>
      </c>
    </row>
    <row r="1207" spans="2:10" x14ac:dyDescent="0.2">
      <c r="B1207" s="93"/>
      <c r="C1207" s="97"/>
      <c r="D1207" s="93"/>
      <c r="E1207" s="98"/>
      <c r="F1207" s="100">
        <v>1203</v>
      </c>
      <c r="G1207" s="101">
        <f t="shared" si="73"/>
        <v>0</v>
      </c>
      <c r="H1207" s="101">
        <f t="shared" si="74"/>
        <v>0</v>
      </c>
      <c r="I1207" s="101">
        <f t="shared" si="75"/>
        <v>0</v>
      </c>
      <c r="J1207" s="101">
        <f t="shared" si="76"/>
        <v>0</v>
      </c>
    </row>
    <row r="1208" spans="2:10" x14ac:dyDescent="0.2">
      <c r="B1208" s="93"/>
      <c r="C1208" s="97"/>
      <c r="D1208" s="93"/>
      <c r="E1208" s="98"/>
      <c r="F1208" s="100">
        <v>1204</v>
      </c>
      <c r="G1208" s="101">
        <f t="shared" si="73"/>
        <v>0</v>
      </c>
      <c r="H1208" s="101">
        <f t="shared" si="74"/>
        <v>0</v>
      </c>
      <c r="I1208" s="101">
        <f t="shared" si="75"/>
        <v>0</v>
      </c>
      <c r="J1208" s="101">
        <f t="shared" si="76"/>
        <v>0</v>
      </c>
    </row>
    <row r="1209" spans="2:10" x14ac:dyDescent="0.2">
      <c r="B1209" s="93"/>
      <c r="C1209" s="97"/>
      <c r="D1209" s="93"/>
      <c r="E1209" s="98"/>
      <c r="F1209" s="100">
        <v>1205</v>
      </c>
      <c r="G1209" s="101">
        <f t="shared" si="73"/>
        <v>0</v>
      </c>
      <c r="H1209" s="101">
        <f t="shared" si="74"/>
        <v>0</v>
      </c>
      <c r="I1209" s="101">
        <f t="shared" si="75"/>
        <v>0</v>
      </c>
      <c r="J1209" s="101">
        <f t="shared" si="76"/>
        <v>0</v>
      </c>
    </row>
    <row r="1210" spans="2:10" x14ac:dyDescent="0.2">
      <c r="B1210" s="93"/>
      <c r="C1210" s="97"/>
      <c r="D1210" s="93"/>
      <c r="E1210" s="98"/>
      <c r="F1210" s="100">
        <v>1206</v>
      </c>
      <c r="G1210" s="101">
        <f t="shared" si="73"/>
        <v>0</v>
      </c>
      <c r="H1210" s="101">
        <f t="shared" si="74"/>
        <v>0</v>
      </c>
      <c r="I1210" s="101">
        <f t="shared" si="75"/>
        <v>0</v>
      </c>
      <c r="J1210" s="101">
        <f t="shared" si="76"/>
        <v>0</v>
      </c>
    </row>
    <row r="1211" spans="2:10" x14ac:dyDescent="0.2">
      <c r="B1211" s="93"/>
      <c r="C1211" s="97"/>
      <c r="D1211" s="93"/>
      <c r="E1211" s="98"/>
      <c r="F1211" s="100">
        <v>1207</v>
      </c>
      <c r="G1211" s="101">
        <f t="shared" si="73"/>
        <v>0</v>
      </c>
      <c r="H1211" s="101">
        <f t="shared" si="74"/>
        <v>0</v>
      </c>
      <c r="I1211" s="101">
        <f t="shared" si="75"/>
        <v>0</v>
      </c>
      <c r="J1211" s="101">
        <f t="shared" si="76"/>
        <v>0</v>
      </c>
    </row>
    <row r="1212" spans="2:10" x14ac:dyDescent="0.2">
      <c r="B1212" s="93"/>
      <c r="C1212" s="97"/>
      <c r="D1212" s="93"/>
      <c r="E1212" s="98"/>
      <c r="F1212" s="100">
        <v>1208</v>
      </c>
      <c r="G1212" s="101">
        <f t="shared" si="73"/>
        <v>0</v>
      </c>
      <c r="H1212" s="101">
        <f t="shared" si="74"/>
        <v>0</v>
      </c>
      <c r="I1212" s="101">
        <f t="shared" si="75"/>
        <v>0</v>
      </c>
      <c r="J1212" s="101">
        <f t="shared" si="76"/>
        <v>0</v>
      </c>
    </row>
    <row r="1213" spans="2:10" x14ac:dyDescent="0.2">
      <c r="B1213" s="93"/>
      <c r="C1213" s="97"/>
      <c r="D1213" s="93"/>
      <c r="E1213" s="98"/>
      <c r="F1213" s="100">
        <v>1209</v>
      </c>
      <c r="G1213" s="101">
        <f t="shared" si="73"/>
        <v>0</v>
      </c>
      <c r="H1213" s="101">
        <f t="shared" si="74"/>
        <v>0</v>
      </c>
      <c r="I1213" s="101">
        <f t="shared" si="75"/>
        <v>0</v>
      </c>
      <c r="J1213" s="101">
        <f t="shared" si="76"/>
        <v>0</v>
      </c>
    </row>
    <row r="1214" spans="2:10" x14ac:dyDescent="0.2">
      <c r="B1214" s="93"/>
      <c r="C1214" s="97"/>
      <c r="D1214" s="93"/>
      <c r="E1214" s="98"/>
      <c r="F1214" s="100">
        <v>1210</v>
      </c>
      <c r="G1214" s="101">
        <f t="shared" si="73"/>
        <v>0</v>
      </c>
      <c r="H1214" s="101">
        <f t="shared" si="74"/>
        <v>0</v>
      </c>
      <c r="I1214" s="101">
        <f t="shared" si="75"/>
        <v>0</v>
      </c>
      <c r="J1214" s="101">
        <f t="shared" si="76"/>
        <v>0</v>
      </c>
    </row>
    <row r="1215" spans="2:10" x14ac:dyDescent="0.2">
      <c r="B1215" s="93"/>
      <c r="C1215" s="97"/>
      <c r="D1215" s="93"/>
      <c r="E1215" s="98"/>
      <c r="F1215" s="100">
        <v>1211</v>
      </c>
      <c r="G1215" s="101">
        <f t="shared" si="73"/>
        <v>0</v>
      </c>
      <c r="H1215" s="101">
        <f t="shared" si="74"/>
        <v>0</v>
      </c>
      <c r="I1215" s="101">
        <f t="shared" si="75"/>
        <v>0</v>
      </c>
      <c r="J1215" s="101">
        <f t="shared" si="76"/>
        <v>0</v>
      </c>
    </row>
    <row r="1216" spans="2:10" x14ac:dyDescent="0.2">
      <c r="B1216" s="93"/>
      <c r="C1216" s="97"/>
      <c r="D1216" s="93"/>
      <c r="E1216" s="98"/>
      <c r="F1216" s="100">
        <v>1212</v>
      </c>
      <c r="G1216" s="101">
        <f t="shared" si="73"/>
        <v>0</v>
      </c>
      <c r="H1216" s="101">
        <f t="shared" si="74"/>
        <v>0</v>
      </c>
      <c r="I1216" s="101">
        <f t="shared" si="75"/>
        <v>0</v>
      </c>
      <c r="J1216" s="101">
        <f t="shared" si="76"/>
        <v>0</v>
      </c>
    </row>
    <row r="1217" spans="2:10" x14ac:dyDescent="0.2">
      <c r="B1217" s="93"/>
      <c r="C1217" s="97"/>
      <c r="D1217" s="93"/>
      <c r="E1217" s="98"/>
      <c r="F1217" s="100">
        <v>1213</v>
      </c>
      <c r="G1217" s="101">
        <f t="shared" si="73"/>
        <v>0</v>
      </c>
      <c r="H1217" s="101">
        <f t="shared" si="74"/>
        <v>0</v>
      </c>
      <c r="I1217" s="101">
        <f t="shared" si="75"/>
        <v>0</v>
      </c>
      <c r="J1217" s="101">
        <f t="shared" si="76"/>
        <v>0</v>
      </c>
    </row>
    <row r="1218" spans="2:10" x14ac:dyDescent="0.2">
      <c r="B1218" s="93"/>
      <c r="C1218" s="97"/>
      <c r="D1218" s="93"/>
      <c r="E1218" s="98"/>
      <c r="F1218" s="100">
        <v>1214</v>
      </c>
      <c r="G1218" s="101">
        <f t="shared" si="73"/>
        <v>0</v>
      </c>
      <c r="H1218" s="101">
        <f t="shared" si="74"/>
        <v>0</v>
      </c>
      <c r="I1218" s="101">
        <f t="shared" si="75"/>
        <v>0</v>
      </c>
      <c r="J1218" s="101">
        <f t="shared" si="76"/>
        <v>0</v>
      </c>
    </row>
    <row r="1219" spans="2:10" x14ac:dyDescent="0.2">
      <c r="B1219" s="93"/>
      <c r="C1219" s="97"/>
      <c r="D1219" s="93"/>
      <c r="E1219" s="98"/>
      <c r="F1219" s="100">
        <v>1215</v>
      </c>
      <c r="G1219" s="101">
        <f t="shared" si="73"/>
        <v>0</v>
      </c>
      <c r="H1219" s="101">
        <f t="shared" si="74"/>
        <v>0</v>
      </c>
      <c r="I1219" s="101">
        <f t="shared" si="75"/>
        <v>0</v>
      </c>
      <c r="J1219" s="101">
        <f t="shared" si="76"/>
        <v>0</v>
      </c>
    </row>
    <row r="1220" spans="2:10" x14ac:dyDescent="0.2">
      <c r="B1220" s="93"/>
      <c r="C1220" s="97"/>
      <c r="D1220" s="93"/>
      <c r="E1220" s="98"/>
      <c r="F1220" s="100">
        <v>1216</v>
      </c>
      <c r="G1220" s="101">
        <f t="shared" si="73"/>
        <v>0</v>
      </c>
      <c r="H1220" s="101">
        <f t="shared" si="74"/>
        <v>0</v>
      </c>
      <c r="I1220" s="101">
        <f t="shared" si="75"/>
        <v>0</v>
      </c>
      <c r="J1220" s="101">
        <f t="shared" si="76"/>
        <v>0</v>
      </c>
    </row>
    <row r="1221" spans="2:10" x14ac:dyDescent="0.2">
      <c r="B1221" s="93"/>
      <c r="C1221" s="97"/>
      <c r="D1221" s="93"/>
      <c r="E1221" s="98"/>
      <c r="F1221" s="100">
        <v>1217</v>
      </c>
      <c r="G1221" s="101">
        <f t="shared" si="73"/>
        <v>0</v>
      </c>
      <c r="H1221" s="101">
        <f t="shared" si="74"/>
        <v>0</v>
      </c>
      <c r="I1221" s="101">
        <f t="shared" si="75"/>
        <v>0</v>
      </c>
      <c r="J1221" s="101">
        <f t="shared" si="76"/>
        <v>0</v>
      </c>
    </row>
    <row r="1222" spans="2:10" x14ac:dyDescent="0.2">
      <c r="B1222" s="93"/>
      <c r="C1222" s="97"/>
      <c r="D1222" s="93"/>
      <c r="E1222" s="98"/>
      <c r="F1222" s="100">
        <v>1218</v>
      </c>
      <c r="G1222" s="101">
        <f t="shared" ref="G1222:G1285" si="77">B1222</f>
        <v>0</v>
      </c>
      <c r="H1222" s="101">
        <f t="shared" ref="H1222:H1285" si="78">C1222</f>
        <v>0</v>
      </c>
      <c r="I1222" s="101">
        <f t="shared" ref="I1222:I1285" si="79">D1222</f>
        <v>0</v>
      </c>
      <c r="J1222" s="101">
        <f t="shared" ref="J1222:J1285" si="80">E1222</f>
        <v>0</v>
      </c>
    </row>
    <row r="1223" spans="2:10" x14ac:dyDescent="0.2">
      <c r="B1223" s="93"/>
      <c r="C1223" s="97"/>
      <c r="D1223" s="93"/>
      <c r="E1223" s="98"/>
      <c r="F1223" s="100">
        <v>1219</v>
      </c>
      <c r="G1223" s="101">
        <f t="shared" si="77"/>
        <v>0</v>
      </c>
      <c r="H1223" s="101">
        <f t="shared" si="78"/>
        <v>0</v>
      </c>
      <c r="I1223" s="101">
        <f t="shared" si="79"/>
        <v>0</v>
      </c>
      <c r="J1223" s="101">
        <f t="shared" si="80"/>
        <v>0</v>
      </c>
    </row>
    <row r="1224" spans="2:10" x14ac:dyDescent="0.2">
      <c r="B1224" s="93"/>
      <c r="C1224" s="97"/>
      <c r="D1224" s="93"/>
      <c r="E1224" s="98"/>
      <c r="F1224" s="100">
        <v>1220</v>
      </c>
      <c r="G1224" s="101">
        <f t="shared" si="77"/>
        <v>0</v>
      </c>
      <c r="H1224" s="101">
        <f t="shared" si="78"/>
        <v>0</v>
      </c>
      <c r="I1224" s="101">
        <f t="shared" si="79"/>
        <v>0</v>
      </c>
      <c r="J1224" s="101">
        <f t="shared" si="80"/>
        <v>0</v>
      </c>
    </row>
    <row r="1225" spans="2:10" x14ac:dyDescent="0.2">
      <c r="B1225" s="93"/>
      <c r="C1225" s="97"/>
      <c r="D1225" s="93"/>
      <c r="E1225" s="98"/>
      <c r="F1225" s="100">
        <v>1221</v>
      </c>
      <c r="G1225" s="101">
        <f t="shared" si="77"/>
        <v>0</v>
      </c>
      <c r="H1225" s="101">
        <f t="shared" si="78"/>
        <v>0</v>
      </c>
      <c r="I1225" s="101">
        <f t="shared" si="79"/>
        <v>0</v>
      </c>
      <c r="J1225" s="101">
        <f t="shared" si="80"/>
        <v>0</v>
      </c>
    </row>
    <row r="1226" spans="2:10" x14ac:dyDescent="0.2">
      <c r="B1226" s="93"/>
      <c r="C1226" s="97"/>
      <c r="D1226" s="93"/>
      <c r="E1226" s="98"/>
      <c r="F1226" s="100">
        <v>1222</v>
      </c>
      <c r="G1226" s="101">
        <f t="shared" si="77"/>
        <v>0</v>
      </c>
      <c r="H1226" s="101">
        <f t="shared" si="78"/>
        <v>0</v>
      </c>
      <c r="I1226" s="101">
        <f t="shared" si="79"/>
        <v>0</v>
      </c>
      <c r="J1226" s="101">
        <f t="shared" si="80"/>
        <v>0</v>
      </c>
    </row>
    <row r="1227" spans="2:10" x14ac:dyDescent="0.2">
      <c r="B1227" s="93"/>
      <c r="C1227" s="97"/>
      <c r="D1227" s="93"/>
      <c r="E1227" s="98"/>
      <c r="F1227" s="100">
        <v>1223</v>
      </c>
      <c r="G1227" s="101">
        <f t="shared" si="77"/>
        <v>0</v>
      </c>
      <c r="H1227" s="101">
        <f t="shared" si="78"/>
        <v>0</v>
      </c>
      <c r="I1227" s="101">
        <f t="shared" si="79"/>
        <v>0</v>
      </c>
      <c r="J1227" s="101">
        <f t="shared" si="80"/>
        <v>0</v>
      </c>
    </row>
    <row r="1228" spans="2:10" x14ac:dyDescent="0.2">
      <c r="B1228" s="93"/>
      <c r="C1228" s="97"/>
      <c r="D1228" s="93"/>
      <c r="E1228" s="98"/>
      <c r="F1228" s="100">
        <v>1224</v>
      </c>
      <c r="G1228" s="101">
        <f t="shared" si="77"/>
        <v>0</v>
      </c>
      <c r="H1228" s="101">
        <f t="shared" si="78"/>
        <v>0</v>
      </c>
      <c r="I1228" s="101">
        <f t="shared" si="79"/>
        <v>0</v>
      </c>
      <c r="J1228" s="101">
        <f t="shared" si="80"/>
        <v>0</v>
      </c>
    </row>
    <row r="1229" spans="2:10" x14ac:dyDescent="0.2">
      <c r="B1229" s="93"/>
      <c r="C1229" s="97"/>
      <c r="D1229" s="93"/>
      <c r="E1229" s="98"/>
      <c r="F1229" s="100">
        <v>1225</v>
      </c>
      <c r="G1229" s="101">
        <f t="shared" si="77"/>
        <v>0</v>
      </c>
      <c r="H1229" s="101">
        <f t="shared" si="78"/>
        <v>0</v>
      </c>
      <c r="I1229" s="101">
        <f t="shared" si="79"/>
        <v>0</v>
      </c>
      <c r="J1229" s="101">
        <f t="shared" si="80"/>
        <v>0</v>
      </c>
    </row>
    <row r="1230" spans="2:10" x14ac:dyDescent="0.2">
      <c r="B1230" s="93"/>
      <c r="C1230" s="97"/>
      <c r="D1230" s="93"/>
      <c r="E1230" s="98"/>
      <c r="F1230" s="100">
        <v>1226</v>
      </c>
      <c r="G1230" s="101">
        <f t="shared" si="77"/>
        <v>0</v>
      </c>
      <c r="H1230" s="101">
        <f t="shared" si="78"/>
        <v>0</v>
      </c>
      <c r="I1230" s="101">
        <f t="shared" si="79"/>
        <v>0</v>
      </c>
      <c r="J1230" s="101">
        <f t="shared" si="80"/>
        <v>0</v>
      </c>
    </row>
    <row r="1231" spans="2:10" x14ac:dyDescent="0.2">
      <c r="B1231" s="93"/>
      <c r="C1231" s="97"/>
      <c r="D1231" s="93"/>
      <c r="E1231" s="98"/>
      <c r="F1231" s="100">
        <v>1227</v>
      </c>
      <c r="G1231" s="101">
        <f t="shared" si="77"/>
        <v>0</v>
      </c>
      <c r="H1231" s="101">
        <f t="shared" si="78"/>
        <v>0</v>
      </c>
      <c r="I1231" s="101">
        <f t="shared" si="79"/>
        <v>0</v>
      </c>
      <c r="J1231" s="101">
        <f t="shared" si="80"/>
        <v>0</v>
      </c>
    </row>
    <row r="1232" spans="2:10" x14ac:dyDescent="0.2">
      <c r="B1232" s="93"/>
      <c r="C1232" s="97"/>
      <c r="D1232" s="93"/>
      <c r="E1232" s="98"/>
      <c r="F1232" s="100">
        <v>1228</v>
      </c>
      <c r="G1232" s="101">
        <f t="shared" si="77"/>
        <v>0</v>
      </c>
      <c r="H1232" s="101">
        <f t="shared" si="78"/>
        <v>0</v>
      </c>
      <c r="I1232" s="101">
        <f t="shared" si="79"/>
        <v>0</v>
      </c>
      <c r="J1232" s="101">
        <f t="shared" si="80"/>
        <v>0</v>
      </c>
    </row>
    <row r="1233" spans="2:10" x14ac:dyDescent="0.2">
      <c r="B1233" s="93"/>
      <c r="C1233" s="97"/>
      <c r="D1233" s="93"/>
      <c r="E1233" s="98"/>
      <c r="F1233" s="100">
        <v>1229</v>
      </c>
      <c r="G1233" s="101">
        <f t="shared" si="77"/>
        <v>0</v>
      </c>
      <c r="H1233" s="101">
        <f t="shared" si="78"/>
        <v>0</v>
      </c>
      <c r="I1233" s="101">
        <f t="shared" si="79"/>
        <v>0</v>
      </c>
      <c r="J1233" s="101">
        <f t="shared" si="80"/>
        <v>0</v>
      </c>
    </row>
    <row r="1234" spans="2:10" x14ac:dyDescent="0.2">
      <c r="B1234" s="93"/>
      <c r="C1234" s="97"/>
      <c r="D1234" s="93"/>
      <c r="E1234" s="98"/>
      <c r="F1234" s="100">
        <v>1230</v>
      </c>
      <c r="G1234" s="101">
        <f t="shared" si="77"/>
        <v>0</v>
      </c>
      <c r="H1234" s="101">
        <f t="shared" si="78"/>
        <v>0</v>
      </c>
      <c r="I1234" s="101">
        <f t="shared" si="79"/>
        <v>0</v>
      </c>
      <c r="J1234" s="101">
        <f t="shared" si="80"/>
        <v>0</v>
      </c>
    </row>
    <row r="1235" spans="2:10" x14ac:dyDescent="0.2">
      <c r="B1235" s="93"/>
      <c r="C1235" s="97"/>
      <c r="D1235" s="93"/>
      <c r="E1235" s="98"/>
      <c r="F1235" s="100">
        <v>1231</v>
      </c>
      <c r="G1235" s="101">
        <f t="shared" si="77"/>
        <v>0</v>
      </c>
      <c r="H1235" s="101">
        <f t="shared" si="78"/>
        <v>0</v>
      </c>
      <c r="I1235" s="101">
        <f t="shared" si="79"/>
        <v>0</v>
      </c>
      <c r="J1235" s="101">
        <f t="shared" si="80"/>
        <v>0</v>
      </c>
    </row>
    <row r="1236" spans="2:10" x14ac:dyDescent="0.2">
      <c r="B1236" s="93"/>
      <c r="C1236" s="97"/>
      <c r="D1236" s="93"/>
      <c r="E1236" s="98"/>
      <c r="F1236" s="100">
        <v>1232</v>
      </c>
      <c r="G1236" s="101">
        <f t="shared" si="77"/>
        <v>0</v>
      </c>
      <c r="H1236" s="101">
        <f t="shared" si="78"/>
        <v>0</v>
      </c>
      <c r="I1236" s="101">
        <f t="shared" si="79"/>
        <v>0</v>
      </c>
      <c r="J1236" s="101">
        <f t="shared" si="80"/>
        <v>0</v>
      </c>
    </row>
    <row r="1237" spans="2:10" x14ac:dyDescent="0.2">
      <c r="B1237" s="93"/>
      <c r="C1237" s="97"/>
      <c r="D1237" s="93"/>
      <c r="E1237" s="98"/>
      <c r="F1237" s="100">
        <v>1233</v>
      </c>
      <c r="G1237" s="101">
        <f t="shared" si="77"/>
        <v>0</v>
      </c>
      <c r="H1237" s="101">
        <f t="shared" si="78"/>
        <v>0</v>
      </c>
      <c r="I1237" s="101">
        <f t="shared" si="79"/>
        <v>0</v>
      </c>
      <c r="J1237" s="101">
        <f t="shared" si="80"/>
        <v>0</v>
      </c>
    </row>
    <row r="1238" spans="2:10" x14ac:dyDescent="0.2">
      <c r="B1238" s="93"/>
      <c r="C1238" s="97"/>
      <c r="D1238" s="93"/>
      <c r="E1238" s="98"/>
      <c r="F1238" s="100">
        <v>1234</v>
      </c>
      <c r="G1238" s="101">
        <f t="shared" si="77"/>
        <v>0</v>
      </c>
      <c r="H1238" s="101">
        <f t="shared" si="78"/>
        <v>0</v>
      </c>
      <c r="I1238" s="101">
        <f t="shared" si="79"/>
        <v>0</v>
      </c>
      <c r="J1238" s="101">
        <f t="shared" si="80"/>
        <v>0</v>
      </c>
    </row>
    <row r="1239" spans="2:10" x14ac:dyDescent="0.2">
      <c r="B1239" s="93"/>
      <c r="C1239" s="97"/>
      <c r="D1239" s="93"/>
      <c r="E1239" s="98"/>
      <c r="F1239" s="100">
        <v>1235</v>
      </c>
      <c r="G1239" s="101">
        <f t="shared" si="77"/>
        <v>0</v>
      </c>
      <c r="H1239" s="101">
        <f t="shared" si="78"/>
        <v>0</v>
      </c>
      <c r="I1239" s="101">
        <f t="shared" si="79"/>
        <v>0</v>
      </c>
      <c r="J1239" s="101">
        <f t="shared" si="80"/>
        <v>0</v>
      </c>
    </row>
    <row r="1240" spans="2:10" x14ac:dyDescent="0.2">
      <c r="B1240" s="93"/>
      <c r="C1240" s="97"/>
      <c r="D1240" s="93"/>
      <c r="E1240" s="98"/>
      <c r="F1240" s="100">
        <v>1236</v>
      </c>
      <c r="G1240" s="101">
        <f t="shared" si="77"/>
        <v>0</v>
      </c>
      <c r="H1240" s="101">
        <f t="shared" si="78"/>
        <v>0</v>
      </c>
      <c r="I1240" s="101">
        <f t="shared" si="79"/>
        <v>0</v>
      </c>
      <c r="J1240" s="101">
        <f t="shared" si="80"/>
        <v>0</v>
      </c>
    </row>
    <row r="1241" spans="2:10" x14ac:dyDescent="0.2">
      <c r="B1241" s="93"/>
      <c r="C1241" s="97"/>
      <c r="D1241" s="93"/>
      <c r="E1241" s="98"/>
      <c r="F1241" s="100">
        <v>1237</v>
      </c>
      <c r="G1241" s="101">
        <f t="shared" si="77"/>
        <v>0</v>
      </c>
      <c r="H1241" s="101">
        <f t="shared" si="78"/>
        <v>0</v>
      </c>
      <c r="I1241" s="101">
        <f t="shared" si="79"/>
        <v>0</v>
      </c>
      <c r="J1241" s="101">
        <f t="shared" si="80"/>
        <v>0</v>
      </c>
    </row>
    <row r="1242" spans="2:10" x14ac:dyDescent="0.2">
      <c r="B1242" s="93"/>
      <c r="C1242" s="97"/>
      <c r="D1242" s="93"/>
      <c r="E1242" s="98"/>
      <c r="F1242" s="100">
        <v>1238</v>
      </c>
      <c r="G1242" s="101">
        <f t="shared" si="77"/>
        <v>0</v>
      </c>
      <c r="H1242" s="101">
        <f t="shared" si="78"/>
        <v>0</v>
      </c>
      <c r="I1242" s="101">
        <f t="shared" si="79"/>
        <v>0</v>
      </c>
      <c r="J1242" s="101">
        <f t="shared" si="80"/>
        <v>0</v>
      </c>
    </row>
    <row r="1243" spans="2:10" x14ac:dyDescent="0.2">
      <c r="B1243" s="93"/>
      <c r="C1243" s="97"/>
      <c r="D1243" s="93"/>
      <c r="E1243" s="98"/>
      <c r="F1243" s="100">
        <v>1239</v>
      </c>
      <c r="G1243" s="101">
        <f t="shared" si="77"/>
        <v>0</v>
      </c>
      <c r="H1243" s="101">
        <f t="shared" si="78"/>
        <v>0</v>
      </c>
      <c r="I1243" s="101">
        <f t="shared" si="79"/>
        <v>0</v>
      </c>
      <c r="J1243" s="101">
        <f t="shared" si="80"/>
        <v>0</v>
      </c>
    </row>
    <row r="1244" spans="2:10" x14ac:dyDescent="0.2">
      <c r="B1244" s="93"/>
      <c r="C1244" s="97"/>
      <c r="D1244" s="93"/>
      <c r="E1244" s="98"/>
      <c r="F1244" s="100">
        <v>1240</v>
      </c>
      <c r="G1244" s="101">
        <f t="shared" si="77"/>
        <v>0</v>
      </c>
      <c r="H1244" s="101">
        <f t="shared" si="78"/>
        <v>0</v>
      </c>
      <c r="I1244" s="101">
        <f t="shared" si="79"/>
        <v>0</v>
      </c>
      <c r="J1244" s="101">
        <f t="shared" si="80"/>
        <v>0</v>
      </c>
    </row>
    <row r="1245" spans="2:10" x14ac:dyDescent="0.2">
      <c r="B1245" s="93"/>
      <c r="C1245" s="97"/>
      <c r="D1245" s="93"/>
      <c r="E1245" s="98"/>
      <c r="F1245" s="100">
        <v>1241</v>
      </c>
      <c r="G1245" s="101">
        <f t="shared" si="77"/>
        <v>0</v>
      </c>
      <c r="H1245" s="101">
        <f t="shared" si="78"/>
        <v>0</v>
      </c>
      <c r="I1245" s="101">
        <f t="shared" si="79"/>
        <v>0</v>
      </c>
      <c r="J1245" s="101">
        <f t="shared" si="80"/>
        <v>0</v>
      </c>
    </row>
    <row r="1246" spans="2:10" x14ac:dyDescent="0.2">
      <c r="B1246" s="93"/>
      <c r="C1246" s="97"/>
      <c r="D1246" s="93"/>
      <c r="E1246" s="98"/>
      <c r="F1246" s="100">
        <v>1242</v>
      </c>
      <c r="G1246" s="101">
        <f t="shared" si="77"/>
        <v>0</v>
      </c>
      <c r="H1246" s="101">
        <f t="shared" si="78"/>
        <v>0</v>
      </c>
      <c r="I1246" s="101">
        <f t="shared" si="79"/>
        <v>0</v>
      </c>
      <c r="J1246" s="101">
        <f t="shared" si="80"/>
        <v>0</v>
      </c>
    </row>
    <row r="1247" spans="2:10" x14ac:dyDescent="0.2">
      <c r="B1247" s="93"/>
      <c r="C1247" s="97"/>
      <c r="D1247" s="93"/>
      <c r="E1247" s="98"/>
      <c r="F1247" s="100">
        <v>1243</v>
      </c>
      <c r="G1247" s="101">
        <f t="shared" si="77"/>
        <v>0</v>
      </c>
      <c r="H1247" s="101">
        <f t="shared" si="78"/>
        <v>0</v>
      </c>
      <c r="I1247" s="101">
        <f t="shared" si="79"/>
        <v>0</v>
      </c>
      <c r="J1247" s="101">
        <f t="shared" si="80"/>
        <v>0</v>
      </c>
    </row>
    <row r="1248" spans="2:10" x14ac:dyDescent="0.2">
      <c r="B1248" s="93"/>
      <c r="C1248" s="97"/>
      <c r="D1248" s="93"/>
      <c r="E1248" s="98"/>
      <c r="F1248" s="100">
        <v>1244</v>
      </c>
      <c r="G1248" s="101">
        <f t="shared" si="77"/>
        <v>0</v>
      </c>
      <c r="H1248" s="101">
        <f t="shared" si="78"/>
        <v>0</v>
      </c>
      <c r="I1248" s="101">
        <f t="shared" si="79"/>
        <v>0</v>
      </c>
      <c r="J1248" s="101">
        <f t="shared" si="80"/>
        <v>0</v>
      </c>
    </row>
    <row r="1249" spans="2:10" x14ac:dyDescent="0.2">
      <c r="B1249" s="93"/>
      <c r="C1249" s="97"/>
      <c r="D1249" s="93"/>
      <c r="E1249" s="98"/>
      <c r="F1249" s="100">
        <v>1245</v>
      </c>
      <c r="G1249" s="101">
        <f t="shared" si="77"/>
        <v>0</v>
      </c>
      <c r="H1249" s="101">
        <f t="shared" si="78"/>
        <v>0</v>
      </c>
      <c r="I1249" s="101">
        <f t="shared" si="79"/>
        <v>0</v>
      </c>
      <c r="J1249" s="101">
        <f t="shared" si="80"/>
        <v>0</v>
      </c>
    </row>
    <row r="1250" spans="2:10" x14ac:dyDescent="0.2">
      <c r="B1250" s="93"/>
      <c r="C1250" s="97"/>
      <c r="D1250" s="93"/>
      <c r="E1250" s="98"/>
      <c r="F1250" s="100">
        <v>1246</v>
      </c>
      <c r="G1250" s="101">
        <f t="shared" si="77"/>
        <v>0</v>
      </c>
      <c r="H1250" s="101">
        <f t="shared" si="78"/>
        <v>0</v>
      </c>
      <c r="I1250" s="101">
        <f t="shared" si="79"/>
        <v>0</v>
      </c>
      <c r="J1250" s="101">
        <f t="shared" si="80"/>
        <v>0</v>
      </c>
    </row>
    <row r="1251" spans="2:10" x14ac:dyDescent="0.2">
      <c r="B1251" s="93"/>
      <c r="C1251" s="97"/>
      <c r="D1251" s="93"/>
      <c r="E1251" s="98"/>
      <c r="F1251" s="100">
        <v>1247</v>
      </c>
      <c r="G1251" s="101">
        <f t="shared" si="77"/>
        <v>0</v>
      </c>
      <c r="H1251" s="101">
        <f t="shared" si="78"/>
        <v>0</v>
      </c>
      <c r="I1251" s="101">
        <f t="shared" si="79"/>
        <v>0</v>
      </c>
      <c r="J1251" s="101">
        <f t="shared" si="80"/>
        <v>0</v>
      </c>
    </row>
    <row r="1252" spans="2:10" x14ac:dyDescent="0.2">
      <c r="B1252" s="93"/>
      <c r="C1252" s="97"/>
      <c r="D1252" s="93"/>
      <c r="E1252" s="98"/>
      <c r="F1252" s="100">
        <v>1248</v>
      </c>
      <c r="G1252" s="101">
        <f t="shared" si="77"/>
        <v>0</v>
      </c>
      <c r="H1252" s="101">
        <f t="shared" si="78"/>
        <v>0</v>
      </c>
      <c r="I1252" s="101">
        <f t="shared" si="79"/>
        <v>0</v>
      </c>
      <c r="J1252" s="101">
        <f t="shared" si="80"/>
        <v>0</v>
      </c>
    </row>
    <row r="1253" spans="2:10" x14ac:dyDescent="0.2">
      <c r="B1253" s="93"/>
      <c r="C1253" s="97"/>
      <c r="D1253" s="93"/>
      <c r="E1253" s="98"/>
      <c r="F1253" s="100">
        <v>1249</v>
      </c>
      <c r="G1253" s="101">
        <f t="shared" si="77"/>
        <v>0</v>
      </c>
      <c r="H1253" s="101">
        <f t="shared" si="78"/>
        <v>0</v>
      </c>
      <c r="I1253" s="101">
        <f t="shared" si="79"/>
        <v>0</v>
      </c>
      <c r="J1253" s="101">
        <f t="shared" si="80"/>
        <v>0</v>
      </c>
    </row>
    <row r="1254" spans="2:10" x14ac:dyDescent="0.2">
      <c r="B1254" s="93"/>
      <c r="C1254" s="97"/>
      <c r="D1254" s="93"/>
      <c r="E1254" s="98"/>
      <c r="F1254" s="100">
        <v>1250</v>
      </c>
      <c r="G1254" s="101">
        <f t="shared" si="77"/>
        <v>0</v>
      </c>
      <c r="H1254" s="101">
        <f t="shared" si="78"/>
        <v>0</v>
      </c>
      <c r="I1254" s="101">
        <f t="shared" si="79"/>
        <v>0</v>
      </c>
      <c r="J1254" s="101">
        <f t="shared" si="80"/>
        <v>0</v>
      </c>
    </row>
    <row r="1255" spans="2:10" x14ac:dyDescent="0.2">
      <c r="B1255" s="93"/>
      <c r="C1255" s="97"/>
      <c r="D1255" s="93"/>
      <c r="E1255" s="98"/>
      <c r="F1255" s="100">
        <v>1251</v>
      </c>
      <c r="G1255" s="101">
        <f t="shared" si="77"/>
        <v>0</v>
      </c>
      <c r="H1255" s="101">
        <f t="shared" si="78"/>
        <v>0</v>
      </c>
      <c r="I1255" s="101">
        <f t="shared" si="79"/>
        <v>0</v>
      </c>
      <c r="J1255" s="101">
        <f t="shared" si="80"/>
        <v>0</v>
      </c>
    </row>
    <row r="1256" spans="2:10" x14ac:dyDescent="0.2">
      <c r="B1256" s="93"/>
      <c r="C1256" s="97"/>
      <c r="D1256" s="93"/>
      <c r="E1256" s="98"/>
      <c r="F1256" s="100">
        <v>1252</v>
      </c>
      <c r="G1256" s="101">
        <f t="shared" si="77"/>
        <v>0</v>
      </c>
      <c r="H1256" s="101">
        <f t="shared" si="78"/>
        <v>0</v>
      </c>
      <c r="I1256" s="101">
        <f t="shared" si="79"/>
        <v>0</v>
      </c>
      <c r="J1256" s="101">
        <f t="shared" si="80"/>
        <v>0</v>
      </c>
    </row>
    <row r="1257" spans="2:10" x14ac:dyDescent="0.2">
      <c r="B1257" s="93"/>
      <c r="C1257" s="97"/>
      <c r="D1257" s="93"/>
      <c r="E1257" s="98"/>
      <c r="F1257" s="100">
        <v>1253</v>
      </c>
      <c r="G1257" s="101">
        <f t="shared" si="77"/>
        <v>0</v>
      </c>
      <c r="H1257" s="101">
        <f t="shared" si="78"/>
        <v>0</v>
      </c>
      <c r="I1257" s="101">
        <f t="shared" si="79"/>
        <v>0</v>
      </c>
      <c r="J1257" s="101">
        <f t="shared" si="80"/>
        <v>0</v>
      </c>
    </row>
    <row r="1258" spans="2:10" x14ac:dyDescent="0.2">
      <c r="B1258" s="93"/>
      <c r="C1258" s="97"/>
      <c r="D1258" s="93"/>
      <c r="E1258" s="98"/>
      <c r="F1258" s="100">
        <v>1254</v>
      </c>
      <c r="G1258" s="101">
        <f t="shared" si="77"/>
        <v>0</v>
      </c>
      <c r="H1258" s="101">
        <f t="shared" si="78"/>
        <v>0</v>
      </c>
      <c r="I1258" s="101">
        <f t="shared" si="79"/>
        <v>0</v>
      </c>
      <c r="J1258" s="101">
        <f t="shared" si="80"/>
        <v>0</v>
      </c>
    </row>
    <row r="1259" spans="2:10" x14ac:dyDescent="0.2">
      <c r="B1259" s="93"/>
      <c r="C1259" s="97"/>
      <c r="D1259" s="93"/>
      <c r="E1259" s="98"/>
      <c r="F1259" s="100">
        <v>1255</v>
      </c>
      <c r="G1259" s="101">
        <f t="shared" si="77"/>
        <v>0</v>
      </c>
      <c r="H1259" s="101">
        <f t="shared" si="78"/>
        <v>0</v>
      </c>
      <c r="I1259" s="101">
        <f t="shared" si="79"/>
        <v>0</v>
      </c>
      <c r="J1259" s="101">
        <f t="shared" si="80"/>
        <v>0</v>
      </c>
    </row>
    <row r="1260" spans="2:10" x14ac:dyDescent="0.2">
      <c r="B1260" s="93"/>
      <c r="C1260" s="97"/>
      <c r="D1260" s="93"/>
      <c r="E1260" s="98"/>
      <c r="F1260" s="100">
        <v>1256</v>
      </c>
      <c r="G1260" s="101">
        <f t="shared" si="77"/>
        <v>0</v>
      </c>
      <c r="H1260" s="101">
        <f t="shared" si="78"/>
        <v>0</v>
      </c>
      <c r="I1260" s="101">
        <f t="shared" si="79"/>
        <v>0</v>
      </c>
      <c r="J1260" s="101">
        <f t="shared" si="80"/>
        <v>0</v>
      </c>
    </row>
    <row r="1261" spans="2:10" x14ac:dyDescent="0.2">
      <c r="B1261" s="93"/>
      <c r="C1261" s="97"/>
      <c r="D1261" s="93"/>
      <c r="E1261" s="98"/>
      <c r="F1261" s="100">
        <v>1257</v>
      </c>
      <c r="G1261" s="101">
        <f t="shared" si="77"/>
        <v>0</v>
      </c>
      <c r="H1261" s="101">
        <f t="shared" si="78"/>
        <v>0</v>
      </c>
      <c r="I1261" s="101">
        <f t="shared" si="79"/>
        <v>0</v>
      </c>
      <c r="J1261" s="101">
        <f t="shared" si="80"/>
        <v>0</v>
      </c>
    </row>
    <row r="1262" spans="2:10" x14ac:dyDescent="0.2">
      <c r="B1262" s="93"/>
      <c r="C1262" s="97"/>
      <c r="D1262" s="93"/>
      <c r="E1262" s="98"/>
      <c r="F1262" s="100">
        <v>1258</v>
      </c>
      <c r="G1262" s="101">
        <f t="shared" si="77"/>
        <v>0</v>
      </c>
      <c r="H1262" s="101">
        <f t="shared" si="78"/>
        <v>0</v>
      </c>
      <c r="I1262" s="101">
        <f t="shared" si="79"/>
        <v>0</v>
      </c>
      <c r="J1262" s="101">
        <f t="shared" si="80"/>
        <v>0</v>
      </c>
    </row>
    <row r="1263" spans="2:10" x14ac:dyDescent="0.2">
      <c r="B1263" s="93"/>
      <c r="C1263" s="97"/>
      <c r="D1263" s="93"/>
      <c r="E1263" s="98"/>
      <c r="F1263" s="100">
        <v>1259</v>
      </c>
      <c r="G1263" s="101">
        <f t="shared" si="77"/>
        <v>0</v>
      </c>
      <c r="H1263" s="101">
        <f t="shared" si="78"/>
        <v>0</v>
      </c>
      <c r="I1263" s="101">
        <f t="shared" si="79"/>
        <v>0</v>
      </c>
      <c r="J1263" s="101">
        <f t="shared" si="80"/>
        <v>0</v>
      </c>
    </row>
    <row r="1264" spans="2:10" x14ac:dyDescent="0.2">
      <c r="B1264" s="93"/>
      <c r="C1264" s="97"/>
      <c r="D1264" s="93"/>
      <c r="E1264" s="98"/>
      <c r="F1264" s="100">
        <v>1260</v>
      </c>
      <c r="G1264" s="101">
        <f t="shared" si="77"/>
        <v>0</v>
      </c>
      <c r="H1264" s="101">
        <f t="shared" si="78"/>
        <v>0</v>
      </c>
      <c r="I1264" s="101">
        <f t="shared" si="79"/>
        <v>0</v>
      </c>
      <c r="J1264" s="101">
        <f t="shared" si="80"/>
        <v>0</v>
      </c>
    </row>
    <row r="1265" spans="2:10" x14ac:dyDescent="0.2">
      <c r="B1265" s="93"/>
      <c r="C1265" s="97"/>
      <c r="D1265" s="93"/>
      <c r="E1265" s="98"/>
      <c r="F1265" s="100">
        <v>1261</v>
      </c>
      <c r="G1265" s="101">
        <f t="shared" si="77"/>
        <v>0</v>
      </c>
      <c r="H1265" s="101">
        <f t="shared" si="78"/>
        <v>0</v>
      </c>
      <c r="I1265" s="101">
        <f t="shared" si="79"/>
        <v>0</v>
      </c>
      <c r="J1265" s="101">
        <f t="shared" si="80"/>
        <v>0</v>
      </c>
    </row>
    <row r="1266" spans="2:10" x14ac:dyDescent="0.2">
      <c r="B1266" s="93"/>
      <c r="C1266" s="97"/>
      <c r="D1266" s="93"/>
      <c r="E1266" s="98"/>
      <c r="F1266" s="100">
        <v>1262</v>
      </c>
      <c r="G1266" s="101">
        <f t="shared" si="77"/>
        <v>0</v>
      </c>
      <c r="H1266" s="101">
        <f t="shared" si="78"/>
        <v>0</v>
      </c>
      <c r="I1266" s="101">
        <f t="shared" si="79"/>
        <v>0</v>
      </c>
      <c r="J1266" s="101">
        <f t="shared" si="80"/>
        <v>0</v>
      </c>
    </row>
    <row r="1267" spans="2:10" x14ac:dyDescent="0.2">
      <c r="B1267" s="93"/>
      <c r="C1267" s="97"/>
      <c r="D1267" s="93"/>
      <c r="E1267" s="98"/>
      <c r="F1267" s="100">
        <v>1263</v>
      </c>
      <c r="G1267" s="101">
        <f t="shared" si="77"/>
        <v>0</v>
      </c>
      <c r="H1267" s="101">
        <f t="shared" si="78"/>
        <v>0</v>
      </c>
      <c r="I1267" s="101">
        <f t="shared" si="79"/>
        <v>0</v>
      </c>
      <c r="J1267" s="101">
        <f t="shared" si="80"/>
        <v>0</v>
      </c>
    </row>
    <row r="1268" spans="2:10" x14ac:dyDescent="0.2">
      <c r="B1268" s="93"/>
      <c r="C1268" s="97"/>
      <c r="D1268" s="93"/>
      <c r="E1268" s="98"/>
      <c r="F1268" s="100">
        <v>1264</v>
      </c>
      <c r="G1268" s="101">
        <f t="shared" si="77"/>
        <v>0</v>
      </c>
      <c r="H1268" s="101">
        <f t="shared" si="78"/>
        <v>0</v>
      </c>
      <c r="I1268" s="101">
        <f t="shared" si="79"/>
        <v>0</v>
      </c>
      <c r="J1268" s="101">
        <f t="shared" si="80"/>
        <v>0</v>
      </c>
    </row>
    <row r="1269" spans="2:10" x14ac:dyDescent="0.2">
      <c r="B1269" s="93"/>
      <c r="C1269" s="97"/>
      <c r="D1269" s="93"/>
      <c r="E1269" s="98"/>
      <c r="F1269" s="100">
        <v>1265</v>
      </c>
      <c r="G1269" s="101">
        <f t="shared" si="77"/>
        <v>0</v>
      </c>
      <c r="H1269" s="101">
        <f t="shared" si="78"/>
        <v>0</v>
      </c>
      <c r="I1269" s="101">
        <f t="shared" si="79"/>
        <v>0</v>
      </c>
      <c r="J1269" s="101">
        <f t="shared" si="80"/>
        <v>0</v>
      </c>
    </row>
    <row r="1270" spans="2:10" x14ac:dyDescent="0.2">
      <c r="B1270" s="93"/>
      <c r="C1270" s="97"/>
      <c r="D1270" s="93"/>
      <c r="E1270" s="98"/>
      <c r="F1270" s="100">
        <v>1266</v>
      </c>
      <c r="G1270" s="101">
        <f t="shared" si="77"/>
        <v>0</v>
      </c>
      <c r="H1270" s="101">
        <f t="shared" si="78"/>
        <v>0</v>
      </c>
      <c r="I1270" s="101">
        <f t="shared" si="79"/>
        <v>0</v>
      </c>
      <c r="J1270" s="101">
        <f t="shared" si="80"/>
        <v>0</v>
      </c>
    </row>
    <row r="1271" spans="2:10" x14ac:dyDescent="0.2">
      <c r="B1271" s="93"/>
      <c r="C1271" s="97"/>
      <c r="D1271" s="93"/>
      <c r="E1271" s="98"/>
      <c r="F1271" s="100">
        <v>1267</v>
      </c>
      <c r="G1271" s="101">
        <f t="shared" si="77"/>
        <v>0</v>
      </c>
      <c r="H1271" s="101">
        <f t="shared" si="78"/>
        <v>0</v>
      </c>
      <c r="I1271" s="101">
        <f t="shared" si="79"/>
        <v>0</v>
      </c>
      <c r="J1271" s="101">
        <f t="shared" si="80"/>
        <v>0</v>
      </c>
    </row>
    <row r="1272" spans="2:10" x14ac:dyDescent="0.2">
      <c r="B1272" s="93"/>
      <c r="C1272" s="97"/>
      <c r="D1272" s="93"/>
      <c r="E1272" s="98"/>
      <c r="F1272" s="100">
        <v>1268</v>
      </c>
      <c r="G1272" s="101">
        <f t="shared" si="77"/>
        <v>0</v>
      </c>
      <c r="H1272" s="101">
        <f t="shared" si="78"/>
        <v>0</v>
      </c>
      <c r="I1272" s="101">
        <f t="shared" si="79"/>
        <v>0</v>
      </c>
      <c r="J1272" s="101">
        <f t="shared" si="80"/>
        <v>0</v>
      </c>
    </row>
    <row r="1273" spans="2:10" x14ac:dyDescent="0.2">
      <c r="B1273" s="93"/>
      <c r="C1273" s="97"/>
      <c r="D1273" s="93"/>
      <c r="E1273" s="98"/>
      <c r="F1273" s="100">
        <v>1269</v>
      </c>
      <c r="G1273" s="101">
        <f t="shared" si="77"/>
        <v>0</v>
      </c>
      <c r="H1273" s="101">
        <f t="shared" si="78"/>
        <v>0</v>
      </c>
      <c r="I1273" s="101">
        <f t="shared" si="79"/>
        <v>0</v>
      </c>
      <c r="J1273" s="101">
        <f t="shared" si="80"/>
        <v>0</v>
      </c>
    </row>
    <row r="1274" spans="2:10" x14ac:dyDescent="0.2">
      <c r="B1274" s="93"/>
      <c r="C1274" s="97"/>
      <c r="D1274" s="93"/>
      <c r="E1274" s="98"/>
      <c r="F1274" s="100">
        <v>1270</v>
      </c>
      <c r="G1274" s="101">
        <f t="shared" si="77"/>
        <v>0</v>
      </c>
      <c r="H1274" s="101">
        <f t="shared" si="78"/>
        <v>0</v>
      </c>
      <c r="I1274" s="101">
        <f t="shared" si="79"/>
        <v>0</v>
      </c>
      <c r="J1274" s="101">
        <f t="shared" si="80"/>
        <v>0</v>
      </c>
    </row>
    <row r="1275" spans="2:10" x14ac:dyDescent="0.2">
      <c r="B1275" s="93"/>
      <c r="C1275" s="97"/>
      <c r="D1275" s="93"/>
      <c r="E1275" s="98"/>
      <c r="F1275" s="100">
        <v>1271</v>
      </c>
      <c r="G1275" s="101">
        <f t="shared" si="77"/>
        <v>0</v>
      </c>
      <c r="H1275" s="101">
        <f t="shared" si="78"/>
        <v>0</v>
      </c>
      <c r="I1275" s="101">
        <f t="shared" si="79"/>
        <v>0</v>
      </c>
      <c r="J1275" s="101">
        <f t="shared" si="80"/>
        <v>0</v>
      </c>
    </row>
    <row r="1276" spans="2:10" x14ac:dyDescent="0.2">
      <c r="B1276" s="93"/>
      <c r="C1276" s="97"/>
      <c r="D1276" s="93"/>
      <c r="E1276" s="98"/>
      <c r="F1276" s="100">
        <v>1272</v>
      </c>
      <c r="G1276" s="101">
        <f t="shared" si="77"/>
        <v>0</v>
      </c>
      <c r="H1276" s="101">
        <f t="shared" si="78"/>
        <v>0</v>
      </c>
      <c r="I1276" s="101">
        <f t="shared" si="79"/>
        <v>0</v>
      </c>
      <c r="J1276" s="101">
        <f t="shared" si="80"/>
        <v>0</v>
      </c>
    </row>
    <row r="1277" spans="2:10" x14ac:dyDescent="0.2">
      <c r="B1277" s="93"/>
      <c r="C1277" s="97"/>
      <c r="D1277" s="93"/>
      <c r="E1277" s="98"/>
      <c r="F1277" s="100">
        <v>1273</v>
      </c>
      <c r="G1277" s="101">
        <f t="shared" si="77"/>
        <v>0</v>
      </c>
      <c r="H1277" s="101">
        <f t="shared" si="78"/>
        <v>0</v>
      </c>
      <c r="I1277" s="101">
        <f t="shared" si="79"/>
        <v>0</v>
      </c>
      <c r="J1277" s="101">
        <f t="shared" si="80"/>
        <v>0</v>
      </c>
    </row>
    <row r="1278" spans="2:10" x14ac:dyDescent="0.2">
      <c r="B1278" s="93"/>
      <c r="C1278" s="97"/>
      <c r="D1278" s="93"/>
      <c r="E1278" s="98"/>
      <c r="F1278" s="100">
        <v>1274</v>
      </c>
      <c r="G1278" s="101">
        <f t="shared" si="77"/>
        <v>0</v>
      </c>
      <c r="H1278" s="101">
        <f t="shared" si="78"/>
        <v>0</v>
      </c>
      <c r="I1278" s="101">
        <f t="shared" si="79"/>
        <v>0</v>
      </c>
      <c r="J1278" s="101">
        <f t="shared" si="80"/>
        <v>0</v>
      </c>
    </row>
    <row r="1279" spans="2:10" x14ac:dyDescent="0.2">
      <c r="B1279" s="93"/>
      <c r="C1279" s="97"/>
      <c r="D1279" s="93"/>
      <c r="E1279" s="98"/>
      <c r="F1279" s="100">
        <v>1275</v>
      </c>
      <c r="G1279" s="101">
        <f t="shared" si="77"/>
        <v>0</v>
      </c>
      <c r="H1279" s="101">
        <f t="shared" si="78"/>
        <v>0</v>
      </c>
      <c r="I1279" s="101">
        <f t="shared" si="79"/>
        <v>0</v>
      </c>
      <c r="J1279" s="101">
        <f t="shared" si="80"/>
        <v>0</v>
      </c>
    </row>
    <row r="1280" spans="2:10" x14ac:dyDescent="0.2">
      <c r="B1280" s="93"/>
      <c r="C1280" s="97"/>
      <c r="D1280" s="93"/>
      <c r="E1280" s="98"/>
      <c r="F1280" s="100">
        <v>1276</v>
      </c>
      <c r="G1280" s="101">
        <f t="shared" si="77"/>
        <v>0</v>
      </c>
      <c r="H1280" s="101">
        <f t="shared" si="78"/>
        <v>0</v>
      </c>
      <c r="I1280" s="101">
        <f t="shared" si="79"/>
        <v>0</v>
      </c>
      <c r="J1280" s="101">
        <f t="shared" si="80"/>
        <v>0</v>
      </c>
    </row>
    <row r="1281" spans="2:10" x14ac:dyDescent="0.2">
      <c r="B1281" s="93"/>
      <c r="C1281" s="97"/>
      <c r="D1281" s="93"/>
      <c r="E1281" s="98"/>
      <c r="F1281" s="100">
        <v>1277</v>
      </c>
      <c r="G1281" s="101">
        <f t="shared" si="77"/>
        <v>0</v>
      </c>
      <c r="H1281" s="101">
        <f t="shared" si="78"/>
        <v>0</v>
      </c>
      <c r="I1281" s="101">
        <f t="shared" si="79"/>
        <v>0</v>
      </c>
      <c r="J1281" s="101">
        <f t="shared" si="80"/>
        <v>0</v>
      </c>
    </row>
    <row r="1282" spans="2:10" x14ac:dyDescent="0.2">
      <c r="B1282" s="93"/>
      <c r="C1282" s="97"/>
      <c r="D1282" s="93"/>
      <c r="E1282" s="98"/>
      <c r="F1282" s="100">
        <v>1278</v>
      </c>
      <c r="G1282" s="101">
        <f t="shared" si="77"/>
        <v>0</v>
      </c>
      <c r="H1282" s="101">
        <f t="shared" si="78"/>
        <v>0</v>
      </c>
      <c r="I1282" s="101">
        <f t="shared" si="79"/>
        <v>0</v>
      </c>
      <c r="J1282" s="101">
        <f t="shared" si="80"/>
        <v>0</v>
      </c>
    </row>
    <row r="1283" spans="2:10" x14ac:dyDescent="0.2">
      <c r="B1283" s="93"/>
      <c r="C1283" s="97"/>
      <c r="D1283" s="93"/>
      <c r="E1283" s="98"/>
      <c r="F1283" s="100">
        <v>1279</v>
      </c>
      <c r="G1283" s="101">
        <f t="shared" si="77"/>
        <v>0</v>
      </c>
      <c r="H1283" s="101">
        <f t="shared" si="78"/>
        <v>0</v>
      </c>
      <c r="I1283" s="101">
        <f t="shared" si="79"/>
        <v>0</v>
      </c>
      <c r="J1283" s="101">
        <f t="shared" si="80"/>
        <v>0</v>
      </c>
    </row>
    <row r="1284" spans="2:10" x14ac:dyDescent="0.2">
      <c r="B1284" s="93"/>
      <c r="C1284" s="97"/>
      <c r="D1284" s="93"/>
      <c r="E1284" s="98"/>
      <c r="F1284" s="100">
        <v>1280</v>
      </c>
      <c r="G1284" s="101">
        <f t="shared" si="77"/>
        <v>0</v>
      </c>
      <c r="H1284" s="101">
        <f t="shared" si="78"/>
        <v>0</v>
      </c>
      <c r="I1284" s="101">
        <f t="shared" si="79"/>
        <v>0</v>
      </c>
      <c r="J1284" s="101">
        <f t="shared" si="80"/>
        <v>0</v>
      </c>
    </row>
    <row r="1285" spans="2:10" x14ac:dyDescent="0.2">
      <c r="B1285" s="93"/>
      <c r="C1285" s="97"/>
      <c r="D1285" s="93"/>
      <c r="E1285" s="98"/>
      <c r="F1285" s="100">
        <v>1281</v>
      </c>
      <c r="G1285" s="101">
        <f t="shared" si="77"/>
        <v>0</v>
      </c>
      <c r="H1285" s="101">
        <f t="shared" si="78"/>
        <v>0</v>
      </c>
      <c r="I1285" s="101">
        <f t="shared" si="79"/>
        <v>0</v>
      </c>
      <c r="J1285" s="101">
        <f t="shared" si="80"/>
        <v>0</v>
      </c>
    </row>
    <row r="1286" spans="2:10" x14ac:dyDescent="0.2">
      <c r="B1286" s="93"/>
      <c r="C1286" s="97"/>
      <c r="D1286" s="93"/>
      <c r="E1286" s="98"/>
      <c r="F1286" s="100">
        <v>1282</v>
      </c>
      <c r="G1286" s="101">
        <f t="shared" ref="G1286:G1349" si="81">B1286</f>
        <v>0</v>
      </c>
      <c r="H1286" s="101">
        <f t="shared" ref="H1286:H1349" si="82">C1286</f>
        <v>0</v>
      </c>
      <c r="I1286" s="101">
        <f t="shared" ref="I1286:I1349" si="83">D1286</f>
        <v>0</v>
      </c>
      <c r="J1286" s="101">
        <f t="shared" ref="J1286:J1349" si="84">E1286</f>
        <v>0</v>
      </c>
    </row>
    <row r="1287" spans="2:10" x14ac:dyDescent="0.2">
      <c r="B1287" s="93"/>
      <c r="C1287" s="97"/>
      <c r="D1287" s="93"/>
      <c r="E1287" s="98"/>
      <c r="F1287" s="100">
        <v>1283</v>
      </c>
      <c r="G1287" s="101">
        <f t="shared" si="81"/>
        <v>0</v>
      </c>
      <c r="H1287" s="101">
        <f t="shared" si="82"/>
        <v>0</v>
      </c>
      <c r="I1287" s="101">
        <f t="shared" si="83"/>
        <v>0</v>
      </c>
      <c r="J1287" s="101">
        <f t="shared" si="84"/>
        <v>0</v>
      </c>
    </row>
    <row r="1288" spans="2:10" x14ac:dyDescent="0.2">
      <c r="B1288" s="93"/>
      <c r="C1288" s="97"/>
      <c r="D1288" s="93"/>
      <c r="E1288" s="98"/>
      <c r="F1288" s="100">
        <v>1284</v>
      </c>
      <c r="G1288" s="101">
        <f t="shared" si="81"/>
        <v>0</v>
      </c>
      <c r="H1288" s="101">
        <f t="shared" si="82"/>
        <v>0</v>
      </c>
      <c r="I1288" s="101">
        <f t="shared" si="83"/>
        <v>0</v>
      </c>
      <c r="J1288" s="101">
        <f t="shared" si="84"/>
        <v>0</v>
      </c>
    </row>
    <row r="1289" spans="2:10" x14ac:dyDescent="0.2">
      <c r="B1289" s="93"/>
      <c r="C1289" s="97"/>
      <c r="D1289" s="93"/>
      <c r="E1289" s="98"/>
      <c r="F1289" s="100">
        <v>1285</v>
      </c>
      <c r="G1289" s="101">
        <f t="shared" si="81"/>
        <v>0</v>
      </c>
      <c r="H1289" s="101">
        <f t="shared" si="82"/>
        <v>0</v>
      </c>
      <c r="I1289" s="101">
        <f t="shared" si="83"/>
        <v>0</v>
      </c>
      <c r="J1289" s="101">
        <f t="shared" si="84"/>
        <v>0</v>
      </c>
    </row>
    <row r="1290" spans="2:10" x14ac:dyDescent="0.2">
      <c r="B1290" s="93"/>
      <c r="C1290" s="97"/>
      <c r="D1290" s="93"/>
      <c r="E1290" s="98"/>
      <c r="F1290" s="100">
        <v>1286</v>
      </c>
      <c r="G1290" s="101">
        <f t="shared" si="81"/>
        <v>0</v>
      </c>
      <c r="H1290" s="101">
        <f t="shared" si="82"/>
        <v>0</v>
      </c>
      <c r="I1290" s="101">
        <f t="shared" si="83"/>
        <v>0</v>
      </c>
      <c r="J1290" s="101">
        <f t="shared" si="84"/>
        <v>0</v>
      </c>
    </row>
    <row r="1291" spans="2:10" x14ac:dyDescent="0.2">
      <c r="B1291" s="93"/>
      <c r="C1291" s="97"/>
      <c r="D1291" s="93"/>
      <c r="E1291" s="98"/>
      <c r="F1291" s="100">
        <v>1287</v>
      </c>
      <c r="G1291" s="101">
        <f t="shared" si="81"/>
        <v>0</v>
      </c>
      <c r="H1291" s="101">
        <f t="shared" si="82"/>
        <v>0</v>
      </c>
      <c r="I1291" s="101">
        <f t="shared" si="83"/>
        <v>0</v>
      </c>
      <c r="J1291" s="101">
        <f t="shared" si="84"/>
        <v>0</v>
      </c>
    </row>
    <row r="1292" spans="2:10" x14ac:dyDescent="0.2">
      <c r="B1292" s="93"/>
      <c r="C1292" s="97"/>
      <c r="D1292" s="93"/>
      <c r="E1292" s="98"/>
      <c r="F1292" s="100">
        <v>1288</v>
      </c>
      <c r="G1292" s="101">
        <f t="shared" si="81"/>
        <v>0</v>
      </c>
      <c r="H1292" s="101">
        <f t="shared" si="82"/>
        <v>0</v>
      </c>
      <c r="I1292" s="101">
        <f t="shared" si="83"/>
        <v>0</v>
      </c>
      <c r="J1292" s="101">
        <f t="shared" si="84"/>
        <v>0</v>
      </c>
    </row>
    <row r="1293" spans="2:10" x14ac:dyDescent="0.2">
      <c r="B1293" s="93"/>
      <c r="C1293" s="97"/>
      <c r="D1293" s="93"/>
      <c r="E1293" s="98"/>
      <c r="F1293" s="100">
        <v>1289</v>
      </c>
      <c r="G1293" s="101">
        <f t="shared" si="81"/>
        <v>0</v>
      </c>
      <c r="H1293" s="101">
        <f t="shared" si="82"/>
        <v>0</v>
      </c>
      <c r="I1293" s="101">
        <f t="shared" si="83"/>
        <v>0</v>
      </c>
      <c r="J1293" s="101">
        <f t="shared" si="84"/>
        <v>0</v>
      </c>
    </row>
    <row r="1294" spans="2:10" x14ac:dyDescent="0.2">
      <c r="B1294" s="93"/>
      <c r="C1294" s="97"/>
      <c r="D1294" s="93"/>
      <c r="E1294" s="98"/>
      <c r="F1294" s="100">
        <v>1290</v>
      </c>
      <c r="G1294" s="101">
        <f t="shared" si="81"/>
        <v>0</v>
      </c>
      <c r="H1294" s="101">
        <f t="shared" si="82"/>
        <v>0</v>
      </c>
      <c r="I1294" s="101">
        <f t="shared" si="83"/>
        <v>0</v>
      </c>
      <c r="J1294" s="101">
        <f t="shared" si="84"/>
        <v>0</v>
      </c>
    </row>
    <row r="1295" spans="2:10" x14ac:dyDescent="0.2">
      <c r="B1295" s="93"/>
      <c r="C1295" s="97"/>
      <c r="D1295" s="93"/>
      <c r="E1295" s="98"/>
      <c r="F1295" s="100">
        <v>1291</v>
      </c>
      <c r="G1295" s="101">
        <f t="shared" si="81"/>
        <v>0</v>
      </c>
      <c r="H1295" s="101">
        <f t="shared" si="82"/>
        <v>0</v>
      </c>
      <c r="I1295" s="101">
        <f t="shared" si="83"/>
        <v>0</v>
      </c>
      <c r="J1295" s="101">
        <f t="shared" si="84"/>
        <v>0</v>
      </c>
    </row>
    <row r="1296" spans="2:10" x14ac:dyDescent="0.2">
      <c r="B1296" s="93"/>
      <c r="C1296" s="97"/>
      <c r="D1296" s="93"/>
      <c r="E1296" s="98"/>
      <c r="F1296" s="100">
        <v>1292</v>
      </c>
      <c r="G1296" s="101">
        <f t="shared" si="81"/>
        <v>0</v>
      </c>
      <c r="H1296" s="101">
        <f t="shared" si="82"/>
        <v>0</v>
      </c>
      <c r="I1296" s="101">
        <f t="shared" si="83"/>
        <v>0</v>
      </c>
      <c r="J1296" s="101">
        <f t="shared" si="84"/>
        <v>0</v>
      </c>
    </row>
    <row r="1297" spans="2:10" x14ac:dyDescent="0.2">
      <c r="B1297" s="93"/>
      <c r="C1297" s="97"/>
      <c r="D1297" s="93"/>
      <c r="E1297" s="98"/>
      <c r="F1297" s="100">
        <v>1293</v>
      </c>
      <c r="G1297" s="101">
        <f t="shared" si="81"/>
        <v>0</v>
      </c>
      <c r="H1297" s="101">
        <f t="shared" si="82"/>
        <v>0</v>
      </c>
      <c r="I1297" s="101">
        <f t="shared" si="83"/>
        <v>0</v>
      </c>
      <c r="J1297" s="101">
        <f t="shared" si="84"/>
        <v>0</v>
      </c>
    </row>
    <row r="1298" spans="2:10" x14ac:dyDescent="0.2">
      <c r="B1298" s="93"/>
      <c r="C1298" s="97"/>
      <c r="D1298" s="93"/>
      <c r="E1298" s="98"/>
      <c r="F1298" s="100">
        <v>1294</v>
      </c>
      <c r="G1298" s="101">
        <f t="shared" si="81"/>
        <v>0</v>
      </c>
      <c r="H1298" s="101">
        <f t="shared" si="82"/>
        <v>0</v>
      </c>
      <c r="I1298" s="101">
        <f t="shared" si="83"/>
        <v>0</v>
      </c>
      <c r="J1298" s="101">
        <f t="shared" si="84"/>
        <v>0</v>
      </c>
    </row>
    <row r="1299" spans="2:10" x14ac:dyDescent="0.2">
      <c r="B1299" s="93"/>
      <c r="C1299" s="97"/>
      <c r="D1299" s="93"/>
      <c r="E1299" s="98"/>
      <c r="F1299" s="100">
        <v>1295</v>
      </c>
      <c r="G1299" s="101">
        <f t="shared" si="81"/>
        <v>0</v>
      </c>
      <c r="H1299" s="101">
        <f t="shared" si="82"/>
        <v>0</v>
      </c>
      <c r="I1299" s="101">
        <f t="shared" si="83"/>
        <v>0</v>
      </c>
      <c r="J1299" s="101">
        <f t="shared" si="84"/>
        <v>0</v>
      </c>
    </row>
    <row r="1300" spans="2:10" x14ac:dyDescent="0.2">
      <c r="B1300" s="93"/>
      <c r="C1300" s="97"/>
      <c r="D1300" s="93"/>
      <c r="E1300" s="98"/>
      <c r="F1300" s="100">
        <v>1296</v>
      </c>
      <c r="G1300" s="101">
        <f t="shared" si="81"/>
        <v>0</v>
      </c>
      <c r="H1300" s="101">
        <f t="shared" si="82"/>
        <v>0</v>
      </c>
      <c r="I1300" s="101">
        <f t="shared" si="83"/>
        <v>0</v>
      </c>
      <c r="J1300" s="101">
        <f t="shared" si="84"/>
        <v>0</v>
      </c>
    </row>
    <row r="1301" spans="2:10" x14ac:dyDescent="0.2">
      <c r="B1301" s="93"/>
      <c r="C1301" s="97"/>
      <c r="D1301" s="93"/>
      <c r="E1301" s="98"/>
      <c r="F1301" s="100">
        <v>1297</v>
      </c>
      <c r="G1301" s="101">
        <f t="shared" si="81"/>
        <v>0</v>
      </c>
      <c r="H1301" s="101">
        <f t="shared" si="82"/>
        <v>0</v>
      </c>
      <c r="I1301" s="101">
        <f t="shared" si="83"/>
        <v>0</v>
      </c>
      <c r="J1301" s="101">
        <f t="shared" si="84"/>
        <v>0</v>
      </c>
    </row>
    <row r="1302" spans="2:10" x14ac:dyDescent="0.2">
      <c r="B1302" s="93"/>
      <c r="C1302" s="97"/>
      <c r="D1302" s="93"/>
      <c r="E1302" s="98"/>
      <c r="F1302" s="100">
        <v>1298</v>
      </c>
      <c r="G1302" s="101">
        <f t="shared" si="81"/>
        <v>0</v>
      </c>
      <c r="H1302" s="101">
        <f t="shared" si="82"/>
        <v>0</v>
      </c>
      <c r="I1302" s="101">
        <f t="shared" si="83"/>
        <v>0</v>
      </c>
      <c r="J1302" s="101">
        <f t="shared" si="84"/>
        <v>0</v>
      </c>
    </row>
    <row r="1303" spans="2:10" x14ac:dyDescent="0.2">
      <c r="B1303" s="93"/>
      <c r="C1303" s="97"/>
      <c r="D1303" s="93"/>
      <c r="E1303" s="98"/>
      <c r="F1303" s="100">
        <v>1299</v>
      </c>
      <c r="G1303" s="101">
        <f t="shared" si="81"/>
        <v>0</v>
      </c>
      <c r="H1303" s="101">
        <f t="shared" si="82"/>
        <v>0</v>
      </c>
      <c r="I1303" s="101">
        <f t="shared" si="83"/>
        <v>0</v>
      </c>
      <c r="J1303" s="101">
        <f t="shared" si="84"/>
        <v>0</v>
      </c>
    </row>
    <row r="1304" spans="2:10" x14ac:dyDescent="0.2">
      <c r="B1304" s="93"/>
      <c r="C1304" s="97"/>
      <c r="D1304" s="93"/>
      <c r="E1304" s="98"/>
      <c r="F1304" s="100">
        <v>1300</v>
      </c>
      <c r="G1304" s="101">
        <f t="shared" si="81"/>
        <v>0</v>
      </c>
      <c r="H1304" s="101">
        <f t="shared" si="82"/>
        <v>0</v>
      </c>
      <c r="I1304" s="101">
        <f t="shared" si="83"/>
        <v>0</v>
      </c>
      <c r="J1304" s="101">
        <f t="shared" si="84"/>
        <v>0</v>
      </c>
    </row>
    <row r="1305" spans="2:10" x14ac:dyDescent="0.2">
      <c r="B1305" s="93"/>
      <c r="C1305" s="97"/>
      <c r="D1305" s="93"/>
      <c r="E1305" s="98"/>
      <c r="F1305" s="100">
        <v>1301</v>
      </c>
      <c r="G1305" s="101">
        <f t="shared" si="81"/>
        <v>0</v>
      </c>
      <c r="H1305" s="101">
        <f t="shared" si="82"/>
        <v>0</v>
      </c>
      <c r="I1305" s="101">
        <f t="shared" si="83"/>
        <v>0</v>
      </c>
      <c r="J1305" s="101">
        <f t="shared" si="84"/>
        <v>0</v>
      </c>
    </row>
    <row r="1306" spans="2:10" x14ac:dyDescent="0.2">
      <c r="B1306" s="93"/>
      <c r="C1306" s="97"/>
      <c r="D1306" s="93"/>
      <c r="E1306" s="98"/>
      <c r="F1306" s="100">
        <v>1302</v>
      </c>
      <c r="G1306" s="101">
        <f t="shared" si="81"/>
        <v>0</v>
      </c>
      <c r="H1306" s="101">
        <f t="shared" si="82"/>
        <v>0</v>
      </c>
      <c r="I1306" s="101">
        <f t="shared" si="83"/>
        <v>0</v>
      </c>
      <c r="J1306" s="101">
        <f t="shared" si="84"/>
        <v>0</v>
      </c>
    </row>
    <row r="1307" spans="2:10" x14ac:dyDescent="0.2">
      <c r="B1307" s="93"/>
      <c r="C1307" s="97"/>
      <c r="D1307" s="93"/>
      <c r="E1307" s="98"/>
      <c r="F1307" s="100">
        <v>1303</v>
      </c>
      <c r="G1307" s="101">
        <f t="shared" si="81"/>
        <v>0</v>
      </c>
      <c r="H1307" s="101">
        <f t="shared" si="82"/>
        <v>0</v>
      </c>
      <c r="I1307" s="101">
        <f t="shared" si="83"/>
        <v>0</v>
      </c>
      <c r="J1307" s="101">
        <f t="shared" si="84"/>
        <v>0</v>
      </c>
    </row>
    <row r="1308" spans="2:10" x14ac:dyDescent="0.2">
      <c r="B1308" s="93"/>
      <c r="C1308" s="97"/>
      <c r="D1308" s="93"/>
      <c r="E1308" s="98"/>
      <c r="F1308" s="100">
        <v>1304</v>
      </c>
      <c r="G1308" s="101">
        <f t="shared" si="81"/>
        <v>0</v>
      </c>
      <c r="H1308" s="101">
        <f t="shared" si="82"/>
        <v>0</v>
      </c>
      <c r="I1308" s="101">
        <f t="shared" si="83"/>
        <v>0</v>
      </c>
      <c r="J1308" s="101">
        <f t="shared" si="84"/>
        <v>0</v>
      </c>
    </row>
    <row r="1309" spans="2:10" x14ac:dyDescent="0.2">
      <c r="B1309" s="93"/>
      <c r="C1309" s="97"/>
      <c r="D1309" s="93"/>
      <c r="E1309" s="98"/>
      <c r="F1309" s="100">
        <v>1305</v>
      </c>
      <c r="G1309" s="101">
        <f t="shared" si="81"/>
        <v>0</v>
      </c>
      <c r="H1309" s="101">
        <f t="shared" si="82"/>
        <v>0</v>
      </c>
      <c r="I1309" s="101">
        <f t="shared" si="83"/>
        <v>0</v>
      </c>
      <c r="J1309" s="101">
        <f t="shared" si="84"/>
        <v>0</v>
      </c>
    </row>
    <row r="1310" spans="2:10" x14ac:dyDescent="0.2">
      <c r="B1310" s="93"/>
      <c r="C1310" s="97"/>
      <c r="D1310" s="93"/>
      <c r="E1310" s="98"/>
      <c r="F1310" s="100">
        <v>1306</v>
      </c>
      <c r="G1310" s="101">
        <f t="shared" si="81"/>
        <v>0</v>
      </c>
      <c r="H1310" s="101">
        <f t="shared" si="82"/>
        <v>0</v>
      </c>
      <c r="I1310" s="101">
        <f t="shared" si="83"/>
        <v>0</v>
      </c>
      <c r="J1310" s="101">
        <f t="shared" si="84"/>
        <v>0</v>
      </c>
    </row>
    <row r="1311" spans="2:10" x14ac:dyDescent="0.2">
      <c r="B1311" s="93"/>
      <c r="C1311" s="97"/>
      <c r="D1311" s="93"/>
      <c r="E1311" s="98"/>
      <c r="F1311" s="100">
        <v>1307</v>
      </c>
      <c r="G1311" s="101">
        <f t="shared" si="81"/>
        <v>0</v>
      </c>
      <c r="H1311" s="101">
        <f t="shared" si="82"/>
        <v>0</v>
      </c>
      <c r="I1311" s="101">
        <f t="shared" si="83"/>
        <v>0</v>
      </c>
      <c r="J1311" s="101">
        <f t="shared" si="84"/>
        <v>0</v>
      </c>
    </row>
    <row r="1312" spans="2:10" x14ac:dyDescent="0.2">
      <c r="B1312" s="93"/>
      <c r="C1312" s="97"/>
      <c r="D1312" s="93"/>
      <c r="E1312" s="98"/>
      <c r="F1312" s="100">
        <v>1308</v>
      </c>
      <c r="G1312" s="101">
        <f t="shared" si="81"/>
        <v>0</v>
      </c>
      <c r="H1312" s="101">
        <f t="shared" si="82"/>
        <v>0</v>
      </c>
      <c r="I1312" s="101">
        <f t="shared" si="83"/>
        <v>0</v>
      </c>
      <c r="J1312" s="101">
        <f t="shared" si="84"/>
        <v>0</v>
      </c>
    </row>
    <row r="1313" spans="2:10" x14ac:dyDescent="0.2">
      <c r="B1313" s="93"/>
      <c r="C1313" s="97"/>
      <c r="D1313" s="93"/>
      <c r="E1313" s="98"/>
      <c r="F1313" s="100">
        <v>1309</v>
      </c>
      <c r="G1313" s="101">
        <f t="shared" si="81"/>
        <v>0</v>
      </c>
      <c r="H1313" s="101">
        <f t="shared" si="82"/>
        <v>0</v>
      </c>
      <c r="I1313" s="101">
        <f t="shared" si="83"/>
        <v>0</v>
      </c>
      <c r="J1313" s="101">
        <f t="shared" si="84"/>
        <v>0</v>
      </c>
    </row>
    <row r="1314" spans="2:10" x14ac:dyDescent="0.2">
      <c r="B1314" s="93"/>
      <c r="C1314" s="97"/>
      <c r="D1314" s="93"/>
      <c r="E1314" s="98"/>
      <c r="F1314" s="100">
        <v>1310</v>
      </c>
      <c r="G1314" s="101">
        <f t="shared" si="81"/>
        <v>0</v>
      </c>
      <c r="H1314" s="101">
        <f t="shared" si="82"/>
        <v>0</v>
      </c>
      <c r="I1314" s="101">
        <f t="shared" si="83"/>
        <v>0</v>
      </c>
      <c r="J1314" s="101">
        <f t="shared" si="84"/>
        <v>0</v>
      </c>
    </row>
    <row r="1315" spans="2:10" x14ac:dyDescent="0.2">
      <c r="B1315" s="93"/>
      <c r="C1315" s="97"/>
      <c r="D1315" s="93"/>
      <c r="E1315" s="98"/>
      <c r="F1315" s="100">
        <v>1311</v>
      </c>
      <c r="G1315" s="101">
        <f t="shared" si="81"/>
        <v>0</v>
      </c>
      <c r="H1315" s="101">
        <f t="shared" si="82"/>
        <v>0</v>
      </c>
      <c r="I1315" s="101">
        <f t="shared" si="83"/>
        <v>0</v>
      </c>
      <c r="J1315" s="101">
        <f t="shared" si="84"/>
        <v>0</v>
      </c>
    </row>
    <row r="1316" spans="2:10" x14ac:dyDescent="0.2">
      <c r="B1316" s="93"/>
      <c r="C1316" s="97"/>
      <c r="D1316" s="93"/>
      <c r="E1316" s="98"/>
      <c r="F1316" s="100">
        <v>1312</v>
      </c>
      <c r="G1316" s="101">
        <f t="shared" si="81"/>
        <v>0</v>
      </c>
      <c r="H1316" s="101">
        <f t="shared" si="82"/>
        <v>0</v>
      </c>
      <c r="I1316" s="101">
        <f t="shared" si="83"/>
        <v>0</v>
      </c>
      <c r="J1316" s="101">
        <f t="shared" si="84"/>
        <v>0</v>
      </c>
    </row>
    <row r="1317" spans="2:10" x14ac:dyDescent="0.2">
      <c r="B1317" s="93"/>
      <c r="C1317" s="97"/>
      <c r="D1317" s="93"/>
      <c r="E1317" s="98"/>
      <c r="F1317" s="100">
        <v>1313</v>
      </c>
      <c r="G1317" s="101">
        <f t="shared" si="81"/>
        <v>0</v>
      </c>
      <c r="H1317" s="101">
        <f t="shared" si="82"/>
        <v>0</v>
      </c>
      <c r="I1317" s="101">
        <f t="shared" si="83"/>
        <v>0</v>
      </c>
      <c r="J1317" s="101">
        <f t="shared" si="84"/>
        <v>0</v>
      </c>
    </row>
    <row r="1318" spans="2:10" x14ac:dyDescent="0.2">
      <c r="B1318" s="93"/>
      <c r="C1318" s="97"/>
      <c r="D1318" s="93"/>
      <c r="E1318" s="98"/>
      <c r="F1318" s="100">
        <v>1314</v>
      </c>
      <c r="G1318" s="101">
        <f t="shared" si="81"/>
        <v>0</v>
      </c>
      <c r="H1318" s="101">
        <f t="shared" si="82"/>
        <v>0</v>
      </c>
      <c r="I1318" s="101">
        <f t="shared" si="83"/>
        <v>0</v>
      </c>
      <c r="J1318" s="101">
        <f t="shared" si="84"/>
        <v>0</v>
      </c>
    </row>
    <row r="1319" spans="2:10" x14ac:dyDescent="0.2">
      <c r="B1319" s="93"/>
      <c r="C1319" s="97"/>
      <c r="D1319" s="93"/>
      <c r="E1319" s="98"/>
      <c r="F1319" s="100">
        <v>1315</v>
      </c>
      <c r="G1319" s="101">
        <f t="shared" si="81"/>
        <v>0</v>
      </c>
      <c r="H1319" s="101">
        <f t="shared" si="82"/>
        <v>0</v>
      </c>
      <c r="I1319" s="101">
        <f t="shared" si="83"/>
        <v>0</v>
      </c>
      <c r="J1319" s="101">
        <f t="shared" si="84"/>
        <v>0</v>
      </c>
    </row>
    <row r="1320" spans="2:10" x14ac:dyDescent="0.2">
      <c r="B1320" s="93"/>
      <c r="C1320" s="97"/>
      <c r="D1320" s="93"/>
      <c r="E1320" s="98"/>
      <c r="F1320" s="100">
        <v>1316</v>
      </c>
      <c r="G1320" s="101">
        <f t="shared" si="81"/>
        <v>0</v>
      </c>
      <c r="H1320" s="101">
        <f t="shared" si="82"/>
        <v>0</v>
      </c>
      <c r="I1320" s="101">
        <f t="shared" si="83"/>
        <v>0</v>
      </c>
      <c r="J1320" s="101">
        <f t="shared" si="84"/>
        <v>0</v>
      </c>
    </row>
    <row r="1321" spans="2:10" x14ac:dyDescent="0.2">
      <c r="B1321" s="93"/>
      <c r="C1321" s="97"/>
      <c r="D1321" s="93"/>
      <c r="E1321" s="98"/>
      <c r="F1321" s="100">
        <v>1317</v>
      </c>
      <c r="G1321" s="101">
        <f t="shared" si="81"/>
        <v>0</v>
      </c>
      <c r="H1321" s="101">
        <f t="shared" si="82"/>
        <v>0</v>
      </c>
      <c r="I1321" s="101">
        <f t="shared" si="83"/>
        <v>0</v>
      </c>
      <c r="J1321" s="101">
        <f t="shared" si="84"/>
        <v>0</v>
      </c>
    </row>
    <row r="1322" spans="2:10" x14ac:dyDescent="0.2">
      <c r="B1322" s="93"/>
      <c r="C1322" s="97"/>
      <c r="D1322" s="93"/>
      <c r="E1322" s="98"/>
      <c r="F1322" s="100">
        <v>1318</v>
      </c>
      <c r="G1322" s="101">
        <f t="shared" si="81"/>
        <v>0</v>
      </c>
      <c r="H1322" s="101">
        <f t="shared" si="82"/>
        <v>0</v>
      </c>
      <c r="I1322" s="101">
        <f t="shared" si="83"/>
        <v>0</v>
      </c>
      <c r="J1322" s="101">
        <f t="shared" si="84"/>
        <v>0</v>
      </c>
    </row>
    <row r="1323" spans="2:10" x14ac:dyDescent="0.2">
      <c r="B1323" s="93"/>
      <c r="C1323" s="97"/>
      <c r="D1323" s="93"/>
      <c r="E1323" s="98"/>
      <c r="F1323" s="100">
        <v>1319</v>
      </c>
      <c r="G1323" s="101">
        <f t="shared" si="81"/>
        <v>0</v>
      </c>
      <c r="H1323" s="101">
        <f t="shared" si="82"/>
        <v>0</v>
      </c>
      <c r="I1323" s="101">
        <f t="shared" si="83"/>
        <v>0</v>
      </c>
      <c r="J1323" s="101">
        <f t="shared" si="84"/>
        <v>0</v>
      </c>
    </row>
    <row r="1324" spans="2:10" x14ac:dyDescent="0.2">
      <c r="B1324" s="93"/>
      <c r="C1324" s="97"/>
      <c r="D1324" s="93"/>
      <c r="E1324" s="98"/>
      <c r="F1324" s="100">
        <v>1320</v>
      </c>
      <c r="G1324" s="101">
        <f t="shared" si="81"/>
        <v>0</v>
      </c>
      <c r="H1324" s="101">
        <f t="shared" si="82"/>
        <v>0</v>
      </c>
      <c r="I1324" s="101">
        <f t="shared" si="83"/>
        <v>0</v>
      </c>
      <c r="J1324" s="101">
        <f t="shared" si="84"/>
        <v>0</v>
      </c>
    </row>
    <row r="1325" spans="2:10" x14ac:dyDescent="0.2">
      <c r="B1325" s="93"/>
      <c r="C1325" s="97"/>
      <c r="D1325" s="93"/>
      <c r="E1325" s="98"/>
      <c r="F1325" s="100">
        <v>1321</v>
      </c>
      <c r="G1325" s="101">
        <f t="shared" si="81"/>
        <v>0</v>
      </c>
      <c r="H1325" s="101">
        <f t="shared" si="82"/>
        <v>0</v>
      </c>
      <c r="I1325" s="101">
        <f t="shared" si="83"/>
        <v>0</v>
      </c>
      <c r="J1325" s="101">
        <f t="shared" si="84"/>
        <v>0</v>
      </c>
    </row>
    <row r="1326" spans="2:10" x14ac:dyDescent="0.2">
      <c r="B1326" s="93"/>
      <c r="C1326" s="97"/>
      <c r="D1326" s="93"/>
      <c r="E1326" s="98"/>
      <c r="F1326" s="100">
        <v>1322</v>
      </c>
      <c r="G1326" s="101">
        <f t="shared" si="81"/>
        <v>0</v>
      </c>
      <c r="H1326" s="101">
        <f t="shared" si="82"/>
        <v>0</v>
      </c>
      <c r="I1326" s="101">
        <f t="shared" si="83"/>
        <v>0</v>
      </c>
      <c r="J1326" s="101">
        <f t="shared" si="84"/>
        <v>0</v>
      </c>
    </row>
    <row r="1327" spans="2:10" x14ac:dyDescent="0.2">
      <c r="B1327" s="93"/>
      <c r="C1327" s="97"/>
      <c r="D1327" s="93"/>
      <c r="E1327" s="98"/>
      <c r="F1327" s="100">
        <v>1323</v>
      </c>
      <c r="G1327" s="101">
        <f t="shared" si="81"/>
        <v>0</v>
      </c>
      <c r="H1327" s="101">
        <f t="shared" si="82"/>
        <v>0</v>
      </c>
      <c r="I1327" s="101">
        <f t="shared" si="83"/>
        <v>0</v>
      </c>
      <c r="J1327" s="101">
        <f t="shared" si="84"/>
        <v>0</v>
      </c>
    </row>
    <row r="1328" spans="2:10" x14ac:dyDescent="0.2">
      <c r="B1328" s="93"/>
      <c r="C1328" s="97"/>
      <c r="D1328" s="93"/>
      <c r="E1328" s="98"/>
      <c r="F1328" s="100">
        <v>1324</v>
      </c>
      <c r="G1328" s="101">
        <f t="shared" si="81"/>
        <v>0</v>
      </c>
      <c r="H1328" s="101">
        <f t="shared" si="82"/>
        <v>0</v>
      </c>
      <c r="I1328" s="101">
        <f t="shared" si="83"/>
        <v>0</v>
      </c>
      <c r="J1328" s="101">
        <f t="shared" si="84"/>
        <v>0</v>
      </c>
    </row>
    <row r="1329" spans="2:10" x14ac:dyDescent="0.2">
      <c r="B1329" s="93"/>
      <c r="C1329" s="97"/>
      <c r="D1329" s="93"/>
      <c r="E1329" s="98"/>
      <c r="F1329" s="100">
        <v>1325</v>
      </c>
      <c r="G1329" s="101">
        <f t="shared" si="81"/>
        <v>0</v>
      </c>
      <c r="H1329" s="101">
        <f t="shared" si="82"/>
        <v>0</v>
      </c>
      <c r="I1329" s="101">
        <f t="shared" si="83"/>
        <v>0</v>
      </c>
      <c r="J1329" s="101">
        <f t="shared" si="84"/>
        <v>0</v>
      </c>
    </row>
    <row r="1330" spans="2:10" x14ac:dyDescent="0.2">
      <c r="B1330" s="93"/>
      <c r="C1330" s="97"/>
      <c r="D1330" s="93"/>
      <c r="E1330" s="98"/>
      <c r="F1330" s="100">
        <v>1326</v>
      </c>
      <c r="G1330" s="101">
        <f t="shared" si="81"/>
        <v>0</v>
      </c>
      <c r="H1330" s="101">
        <f t="shared" si="82"/>
        <v>0</v>
      </c>
      <c r="I1330" s="101">
        <f t="shared" si="83"/>
        <v>0</v>
      </c>
      <c r="J1330" s="101">
        <f t="shared" si="84"/>
        <v>0</v>
      </c>
    </row>
    <row r="1331" spans="2:10" x14ac:dyDescent="0.2">
      <c r="B1331" s="93"/>
      <c r="C1331" s="97"/>
      <c r="D1331" s="93"/>
      <c r="E1331" s="98"/>
      <c r="F1331" s="100">
        <v>1327</v>
      </c>
      <c r="G1331" s="101">
        <f t="shared" si="81"/>
        <v>0</v>
      </c>
      <c r="H1331" s="101">
        <f t="shared" si="82"/>
        <v>0</v>
      </c>
      <c r="I1331" s="101">
        <f t="shared" si="83"/>
        <v>0</v>
      </c>
      <c r="J1331" s="101">
        <f t="shared" si="84"/>
        <v>0</v>
      </c>
    </row>
    <row r="1332" spans="2:10" x14ac:dyDescent="0.2">
      <c r="B1332" s="93"/>
      <c r="C1332" s="97"/>
      <c r="D1332" s="93"/>
      <c r="E1332" s="98"/>
      <c r="F1332" s="100">
        <v>1328</v>
      </c>
      <c r="G1332" s="101">
        <f t="shared" si="81"/>
        <v>0</v>
      </c>
      <c r="H1332" s="101">
        <f t="shared" si="82"/>
        <v>0</v>
      </c>
      <c r="I1332" s="101">
        <f t="shared" si="83"/>
        <v>0</v>
      </c>
      <c r="J1332" s="101">
        <f t="shared" si="84"/>
        <v>0</v>
      </c>
    </row>
    <row r="1333" spans="2:10" x14ac:dyDescent="0.2">
      <c r="B1333" s="93"/>
      <c r="C1333" s="97"/>
      <c r="D1333" s="93"/>
      <c r="E1333" s="98"/>
      <c r="F1333" s="100">
        <v>1329</v>
      </c>
      <c r="G1333" s="101">
        <f t="shared" si="81"/>
        <v>0</v>
      </c>
      <c r="H1333" s="101">
        <f t="shared" si="82"/>
        <v>0</v>
      </c>
      <c r="I1333" s="101">
        <f t="shared" si="83"/>
        <v>0</v>
      </c>
      <c r="J1333" s="101">
        <f t="shared" si="84"/>
        <v>0</v>
      </c>
    </row>
    <row r="1334" spans="2:10" x14ac:dyDescent="0.2">
      <c r="B1334" s="93"/>
      <c r="C1334" s="97"/>
      <c r="D1334" s="93"/>
      <c r="E1334" s="98"/>
      <c r="F1334" s="100">
        <v>1330</v>
      </c>
      <c r="G1334" s="101">
        <f t="shared" si="81"/>
        <v>0</v>
      </c>
      <c r="H1334" s="101">
        <f t="shared" si="82"/>
        <v>0</v>
      </c>
      <c r="I1334" s="101">
        <f t="shared" si="83"/>
        <v>0</v>
      </c>
      <c r="J1334" s="101">
        <f t="shared" si="84"/>
        <v>0</v>
      </c>
    </row>
    <row r="1335" spans="2:10" x14ac:dyDescent="0.2">
      <c r="B1335" s="93"/>
      <c r="C1335" s="97"/>
      <c r="D1335" s="93"/>
      <c r="E1335" s="98"/>
      <c r="F1335" s="100">
        <v>1331</v>
      </c>
      <c r="G1335" s="101">
        <f t="shared" si="81"/>
        <v>0</v>
      </c>
      <c r="H1335" s="101">
        <f t="shared" si="82"/>
        <v>0</v>
      </c>
      <c r="I1335" s="101">
        <f t="shared" si="83"/>
        <v>0</v>
      </c>
      <c r="J1335" s="101">
        <f t="shared" si="84"/>
        <v>0</v>
      </c>
    </row>
    <row r="1336" spans="2:10" x14ac:dyDescent="0.2">
      <c r="B1336" s="93"/>
      <c r="C1336" s="97"/>
      <c r="D1336" s="93"/>
      <c r="E1336" s="98"/>
      <c r="F1336" s="100">
        <v>1332</v>
      </c>
      <c r="G1336" s="101">
        <f t="shared" si="81"/>
        <v>0</v>
      </c>
      <c r="H1336" s="101">
        <f t="shared" si="82"/>
        <v>0</v>
      </c>
      <c r="I1336" s="101">
        <f t="shared" si="83"/>
        <v>0</v>
      </c>
      <c r="J1336" s="101">
        <f t="shared" si="84"/>
        <v>0</v>
      </c>
    </row>
    <row r="1337" spans="2:10" x14ac:dyDescent="0.2">
      <c r="B1337" s="93"/>
      <c r="C1337" s="97"/>
      <c r="D1337" s="93"/>
      <c r="E1337" s="98"/>
      <c r="F1337" s="100">
        <v>1333</v>
      </c>
      <c r="G1337" s="101">
        <f t="shared" si="81"/>
        <v>0</v>
      </c>
      <c r="H1337" s="101">
        <f t="shared" si="82"/>
        <v>0</v>
      </c>
      <c r="I1337" s="101">
        <f t="shared" si="83"/>
        <v>0</v>
      </c>
      <c r="J1337" s="101">
        <f t="shared" si="84"/>
        <v>0</v>
      </c>
    </row>
    <row r="1338" spans="2:10" x14ac:dyDescent="0.2">
      <c r="B1338" s="93"/>
      <c r="C1338" s="97"/>
      <c r="D1338" s="93"/>
      <c r="E1338" s="98"/>
      <c r="F1338" s="100">
        <v>1334</v>
      </c>
      <c r="G1338" s="101">
        <f t="shared" si="81"/>
        <v>0</v>
      </c>
      <c r="H1338" s="101">
        <f t="shared" si="82"/>
        <v>0</v>
      </c>
      <c r="I1338" s="101">
        <f t="shared" si="83"/>
        <v>0</v>
      </c>
      <c r="J1338" s="101">
        <f t="shared" si="84"/>
        <v>0</v>
      </c>
    </row>
    <row r="1339" spans="2:10" x14ac:dyDescent="0.2">
      <c r="B1339" s="93"/>
      <c r="C1339" s="97"/>
      <c r="D1339" s="93"/>
      <c r="E1339" s="98"/>
      <c r="F1339" s="100">
        <v>1335</v>
      </c>
      <c r="G1339" s="101">
        <f t="shared" si="81"/>
        <v>0</v>
      </c>
      <c r="H1339" s="101">
        <f t="shared" si="82"/>
        <v>0</v>
      </c>
      <c r="I1339" s="101">
        <f t="shared" si="83"/>
        <v>0</v>
      </c>
      <c r="J1339" s="101">
        <f t="shared" si="84"/>
        <v>0</v>
      </c>
    </row>
    <row r="1340" spans="2:10" x14ac:dyDescent="0.2">
      <c r="B1340" s="93"/>
      <c r="C1340" s="97"/>
      <c r="D1340" s="93"/>
      <c r="E1340" s="98"/>
      <c r="F1340" s="100">
        <v>1336</v>
      </c>
      <c r="G1340" s="101">
        <f t="shared" si="81"/>
        <v>0</v>
      </c>
      <c r="H1340" s="101">
        <f t="shared" si="82"/>
        <v>0</v>
      </c>
      <c r="I1340" s="101">
        <f t="shared" si="83"/>
        <v>0</v>
      </c>
      <c r="J1340" s="101">
        <f t="shared" si="84"/>
        <v>0</v>
      </c>
    </row>
    <row r="1341" spans="2:10" x14ac:dyDescent="0.2">
      <c r="B1341" s="93"/>
      <c r="C1341" s="97"/>
      <c r="D1341" s="93"/>
      <c r="E1341" s="98"/>
      <c r="F1341" s="100">
        <v>1337</v>
      </c>
      <c r="G1341" s="101">
        <f t="shared" si="81"/>
        <v>0</v>
      </c>
      <c r="H1341" s="101">
        <f t="shared" si="82"/>
        <v>0</v>
      </c>
      <c r="I1341" s="101">
        <f t="shared" si="83"/>
        <v>0</v>
      </c>
      <c r="J1341" s="101">
        <f t="shared" si="84"/>
        <v>0</v>
      </c>
    </row>
    <row r="1342" spans="2:10" x14ac:dyDescent="0.2">
      <c r="B1342" s="93"/>
      <c r="C1342" s="97"/>
      <c r="D1342" s="93"/>
      <c r="E1342" s="98"/>
      <c r="F1342" s="100">
        <v>1338</v>
      </c>
      <c r="G1342" s="101">
        <f t="shared" si="81"/>
        <v>0</v>
      </c>
      <c r="H1342" s="101">
        <f t="shared" si="82"/>
        <v>0</v>
      </c>
      <c r="I1342" s="101">
        <f t="shared" si="83"/>
        <v>0</v>
      </c>
      <c r="J1342" s="101">
        <f t="shared" si="84"/>
        <v>0</v>
      </c>
    </row>
    <row r="1343" spans="2:10" x14ac:dyDescent="0.2">
      <c r="B1343" s="93"/>
      <c r="C1343" s="97"/>
      <c r="D1343" s="93"/>
      <c r="E1343" s="98"/>
      <c r="F1343" s="100">
        <v>1339</v>
      </c>
      <c r="G1343" s="101">
        <f t="shared" si="81"/>
        <v>0</v>
      </c>
      <c r="H1343" s="101">
        <f t="shared" si="82"/>
        <v>0</v>
      </c>
      <c r="I1343" s="101">
        <f t="shared" si="83"/>
        <v>0</v>
      </c>
      <c r="J1343" s="101">
        <f t="shared" si="84"/>
        <v>0</v>
      </c>
    </row>
    <row r="1344" spans="2:10" x14ac:dyDescent="0.2">
      <c r="B1344" s="93"/>
      <c r="C1344" s="97"/>
      <c r="D1344" s="93"/>
      <c r="E1344" s="98"/>
      <c r="F1344" s="100">
        <v>1340</v>
      </c>
      <c r="G1344" s="101">
        <f t="shared" si="81"/>
        <v>0</v>
      </c>
      <c r="H1344" s="101">
        <f t="shared" si="82"/>
        <v>0</v>
      </c>
      <c r="I1344" s="101">
        <f t="shared" si="83"/>
        <v>0</v>
      </c>
      <c r="J1344" s="101">
        <f t="shared" si="84"/>
        <v>0</v>
      </c>
    </row>
    <row r="1345" spans="2:10" x14ac:dyDescent="0.2">
      <c r="B1345" s="93"/>
      <c r="C1345" s="97"/>
      <c r="D1345" s="93"/>
      <c r="E1345" s="98"/>
      <c r="F1345" s="100">
        <v>1341</v>
      </c>
      <c r="G1345" s="101">
        <f t="shared" si="81"/>
        <v>0</v>
      </c>
      <c r="H1345" s="101">
        <f t="shared" si="82"/>
        <v>0</v>
      </c>
      <c r="I1345" s="101">
        <f t="shared" si="83"/>
        <v>0</v>
      </c>
      <c r="J1345" s="101">
        <f t="shared" si="84"/>
        <v>0</v>
      </c>
    </row>
    <row r="1346" spans="2:10" x14ac:dyDescent="0.2">
      <c r="B1346" s="93"/>
      <c r="C1346" s="97"/>
      <c r="D1346" s="93"/>
      <c r="E1346" s="98"/>
      <c r="F1346" s="100">
        <v>1342</v>
      </c>
      <c r="G1346" s="101">
        <f t="shared" si="81"/>
        <v>0</v>
      </c>
      <c r="H1346" s="101">
        <f t="shared" si="82"/>
        <v>0</v>
      </c>
      <c r="I1346" s="101">
        <f t="shared" si="83"/>
        <v>0</v>
      </c>
      <c r="J1346" s="101">
        <f t="shared" si="84"/>
        <v>0</v>
      </c>
    </row>
    <row r="1347" spans="2:10" x14ac:dyDescent="0.2">
      <c r="B1347" s="93"/>
      <c r="C1347" s="97"/>
      <c r="D1347" s="93"/>
      <c r="E1347" s="98"/>
      <c r="F1347" s="100">
        <v>1343</v>
      </c>
      <c r="G1347" s="101">
        <f t="shared" si="81"/>
        <v>0</v>
      </c>
      <c r="H1347" s="101">
        <f t="shared" si="82"/>
        <v>0</v>
      </c>
      <c r="I1347" s="101">
        <f t="shared" si="83"/>
        <v>0</v>
      </c>
      <c r="J1347" s="101">
        <f t="shared" si="84"/>
        <v>0</v>
      </c>
    </row>
    <row r="1348" spans="2:10" x14ac:dyDescent="0.2">
      <c r="B1348" s="93"/>
      <c r="C1348" s="97"/>
      <c r="D1348" s="93"/>
      <c r="E1348" s="98"/>
      <c r="F1348" s="100">
        <v>1344</v>
      </c>
      <c r="G1348" s="101">
        <f t="shared" si="81"/>
        <v>0</v>
      </c>
      <c r="H1348" s="101">
        <f t="shared" si="82"/>
        <v>0</v>
      </c>
      <c r="I1348" s="101">
        <f t="shared" si="83"/>
        <v>0</v>
      </c>
      <c r="J1348" s="101">
        <f t="shared" si="84"/>
        <v>0</v>
      </c>
    </row>
    <row r="1349" spans="2:10" x14ac:dyDescent="0.2">
      <c r="B1349" s="93"/>
      <c r="C1349" s="97"/>
      <c r="D1349" s="93"/>
      <c r="E1349" s="98"/>
      <c r="F1349" s="100">
        <v>1345</v>
      </c>
      <c r="G1349" s="101">
        <f t="shared" si="81"/>
        <v>0</v>
      </c>
      <c r="H1349" s="101">
        <f t="shared" si="82"/>
        <v>0</v>
      </c>
      <c r="I1349" s="101">
        <f t="shared" si="83"/>
        <v>0</v>
      </c>
      <c r="J1349" s="101">
        <f t="shared" si="84"/>
        <v>0</v>
      </c>
    </row>
    <row r="1350" spans="2:10" x14ac:dyDescent="0.2">
      <c r="B1350" s="93"/>
      <c r="C1350" s="97"/>
      <c r="D1350" s="93"/>
      <c r="E1350" s="98"/>
      <c r="F1350" s="100">
        <v>1346</v>
      </c>
      <c r="G1350" s="101">
        <f t="shared" ref="G1350:G1413" si="85">B1350</f>
        <v>0</v>
      </c>
      <c r="H1350" s="101">
        <f t="shared" ref="H1350:H1413" si="86">C1350</f>
        <v>0</v>
      </c>
      <c r="I1350" s="101">
        <f t="shared" ref="I1350:I1413" si="87">D1350</f>
        <v>0</v>
      </c>
      <c r="J1350" s="101">
        <f t="shared" ref="J1350:J1413" si="88">E1350</f>
        <v>0</v>
      </c>
    </row>
    <row r="1351" spans="2:10" x14ac:dyDescent="0.2">
      <c r="B1351" s="93"/>
      <c r="C1351" s="97"/>
      <c r="D1351" s="93"/>
      <c r="E1351" s="98"/>
      <c r="F1351" s="100">
        <v>1347</v>
      </c>
      <c r="G1351" s="101">
        <f t="shared" si="85"/>
        <v>0</v>
      </c>
      <c r="H1351" s="101">
        <f t="shared" si="86"/>
        <v>0</v>
      </c>
      <c r="I1351" s="101">
        <f t="shared" si="87"/>
        <v>0</v>
      </c>
      <c r="J1351" s="101">
        <f t="shared" si="88"/>
        <v>0</v>
      </c>
    </row>
    <row r="1352" spans="2:10" x14ac:dyDescent="0.2">
      <c r="B1352" s="93"/>
      <c r="C1352" s="97"/>
      <c r="D1352" s="93"/>
      <c r="E1352" s="98"/>
      <c r="F1352" s="100">
        <v>1348</v>
      </c>
      <c r="G1352" s="101">
        <f t="shared" si="85"/>
        <v>0</v>
      </c>
      <c r="H1352" s="101">
        <f t="shared" si="86"/>
        <v>0</v>
      </c>
      <c r="I1352" s="101">
        <f t="shared" si="87"/>
        <v>0</v>
      </c>
      <c r="J1352" s="101">
        <f t="shared" si="88"/>
        <v>0</v>
      </c>
    </row>
    <row r="1353" spans="2:10" x14ac:dyDescent="0.2">
      <c r="B1353" s="93"/>
      <c r="C1353" s="97"/>
      <c r="D1353" s="93"/>
      <c r="E1353" s="98"/>
      <c r="F1353" s="100">
        <v>1349</v>
      </c>
      <c r="G1353" s="101">
        <f t="shared" si="85"/>
        <v>0</v>
      </c>
      <c r="H1353" s="101">
        <f t="shared" si="86"/>
        <v>0</v>
      </c>
      <c r="I1353" s="101">
        <f t="shared" si="87"/>
        <v>0</v>
      </c>
      <c r="J1353" s="101">
        <f t="shared" si="88"/>
        <v>0</v>
      </c>
    </row>
    <row r="1354" spans="2:10" x14ac:dyDescent="0.2">
      <c r="B1354" s="93"/>
      <c r="C1354" s="97"/>
      <c r="D1354" s="93"/>
      <c r="E1354" s="98"/>
      <c r="F1354" s="100">
        <v>1350</v>
      </c>
      <c r="G1354" s="101">
        <f t="shared" si="85"/>
        <v>0</v>
      </c>
      <c r="H1354" s="101">
        <f t="shared" si="86"/>
        <v>0</v>
      </c>
      <c r="I1354" s="101">
        <f t="shared" si="87"/>
        <v>0</v>
      </c>
      <c r="J1354" s="101">
        <f t="shared" si="88"/>
        <v>0</v>
      </c>
    </row>
    <row r="1355" spans="2:10" x14ac:dyDescent="0.2">
      <c r="B1355" s="93"/>
      <c r="C1355" s="97"/>
      <c r="D1355" s="93"/>
      <c r="E1355" s="98"/>
      <c r="F1355" s="100">
        <v>1351</v>
      </c>
      <c r="G1355" s="101">
        <f t="shared" si="85"/>
        <v>0</v>
      </c>
      <c r="H1355" s="101">
        <f t="shared" si="86"/>
        <v>0</v>
      </c>
      <c r="I1355" s="101">
        <f t="shared" si="87"/>
        <v>0</v>
      </c>
      <c r="J1355" s="101">
        <f t="shared" si="88"/>
        <v>0</v>
      </c>
    </row>
    <row r="1356" spans="2:10" x14ac:dyDescent="0.2">
      <c r="B1356" s="93"/>
      <c r="C1356" s="97"/>
      <c r="D1356" s="93"/>
      <c r="E1356" s="98"/>
      <c r="F1356" s="100">
        <v>1352</v>
      </c>
      <c r="G1356" s="101">
        <f t="shared" si="85"/>
        <v>0</v>
      </c>
      <c r="H1356" s="101">
        <f t="shared" si="86"/>
        <v>0</v>
      </c>
      <c r="I1356" s="101">
        <f t="shared" si="87"/>
        <v>0</v>
      </c>
      <c r="J1356" s="101">
        <f t="shared" si="88"/>
        <v>0</v>
      </c>
    </row>
    <row r="1357" spans="2:10" x14ac:dyDescent="0.2">
      <c r="B1357" s="93"/>
      <c r="C1357" s="97"/>
      <c r="D1357" s="93"/>
      <c r="E1357" s="98"/>
      <c r="F1357" s="100">
        <v>1353</v>
      </c>
      <c r="G1357" s="101">
        <f t="shared" si="85"/>
        <v>0</v>
      </c>
      <c r="H1357" s="101">
        <f t="shared" si="86"/>
        <v>0</v>
      </c>
      <c r="I1357" s="101">
        <f t="shared" si="87"/>
        <v>0</v>
      </c>
      <c r="J1357" s="101">
        <f t="shared" si="88"/>
        <v>0</v>
      </c>
    </row>
    <row r="1358" spans="2:10" x14ac:dyDescent="0.2">
      <c r="B1358" s="93"/>
      <c r="C1358" s="97"/>
      <c r="D1358" s="93"/>
      <c r="E1358" s="98"/>
      <c r="F1358" s="100">
        <v>1354</v>
      </c>
      <c r="G1358" s="101">
        <f t="shared" si="85"/>
        <v>0</v>
      </c>
      <c r="H1358" s="101">
        <f t="shared" si="86"/>
        <v>0</v>
      </c>
      <c r="I1358" s="101">
        <f t="shared" si="87"/>
        <v>0</v>
      </c>
      <c r="J1358" s="101">
        <f t="shared" si="88"/>
        <v>0</v>
      </c>
    </row>
    <row r="1359" spans="2:10" x14ac:dyDescent="0.2">
      <c r="B1359" s="93"/>
      <c r="C1359" s="97"/>
      <c r="D1359" s="93"/>
      <c r="E1359" s="98"/>
      <c r="F1359" s="100">
        <v>1355</v>
      </c>
      <c r="G1359" s="101">
        <f t="shared" si="85"/>
        <v>0</v>
      </c>
      <c r="H1359" s="101">
        <f t="shared" si="86"/>
        <v>0</v>
      </c>
      <c r="I1359" s="101">
        <f t="shared" si="87"/>
        <v>0</v>
      </c>
      <c r="J1359" s="101">
        <f t="shared" si="88"/>
        <v>0</v>
      </c>
    </row>
    <row r="1360" spans="2:10" x14ac:dyDescent="0.2">
      <c r="B1360" s="93"/>
      <c r="C1360" s="97"/>
      <c r="D1360" s="93"/>
      <c r="E1360" s="98"/>
      <c r="F1360" s="100">
        <v>1356</v>
      </c>
      <c r="G1360" s="101">
        <f t="shared" si="85"/>
        <v>0</v>
      </c>
      <c r="H1360" s="101">
        <f t="shared" si="86"/>
        <v>0</v>
      </c>
      <c r="I1360" s="101">
        <f t="shared" si="87"/>
        <v>0</v>
      </c>
      <c r="J1360" s="101">
        <f t="shared" si="88"/>
        <v>0</v>
      </c>
    </row>
    <row r="1361" spans="2:10" x14ac:dyDescent="0.2">
      <c r="B1361" s="93"/>
      <c r="C1361" s="97"/>
      <c r="D1361" s="93"/>
      <c r="E1361" s="98"/>
      <c r="F1361" s="100">
        <v>1357</v>
      </c>
      <c r="G1361" s="101">
        <f t="shared" si="85"/>
        <v>0</v>
      </c>
      <c r="H1361" s="101">
        <f t="shared" si="86"/>
        <v>0</v>
      </c>
      <c r="I1361" s="101">
        <f t="shared" si="87"/>
        <v>0</v>
      </c>
      <c r="J1361" s="101">
        <f t="shared" si="88"/>
        <v>0</v>
      </c>
    </row>
    <row r="1362" spans="2:10" x14ac:dyDescent="0.2">
      <c r="B1362" s="93"/>
      <c r="C1362" s="97"/>
      <c r="D1362" s="93"/>
      <c r="E1362" s="98"/>
      <c r="F1362" s="100">
        <v>1358</v>
      </c>
      <c r="G1362" s="101">
        <f t="shared" si="85"/>
        <v>0</v>
      </c>
      <c r="H1362" s="101">
        <f t="shared" si="86"/>
        <v>0</v>
      </c>
      <c r="I1362" s="101">
        <f t="shared" si="87"/>
        <v>0</v>
      </c>
      <c r="J1362" s="101">
        <f t="shared" si="88"/>
        <v>0</v>
      </c>
    </row>
    <row r="1363" spans="2:10" x14ac:dyDescent="0.2">
      <c r="B1363" s="93"/>
      <c r="C1363" s="97"/>
      <c r="D1363" s="93"/>
      <c r="E1363" s="98"/>
      <c r="F1363" s="100">
        <v>1359</v>
      </c>
      <c r="G1363" s="101">
        <f t="shared" si="85"/>
        <v>0</v>
      </c>
      <c r="H1363" s="101">
        <f t="shared" si="86"/>
        <v>0</v>
      </c>
      <c r="I1363" s="101">
        <f t="shared" si="87"/>
        <v>0</v>
      </c>
      <c r="J1363" s="101">
        <f t="shared" si="88"/>
        <v>0</v>
      </c>
    </row>
    <row r="1364" spans="2:10" x14ac:dyDescent="0.2">
      <c r="B1364" s="93"/>
      <c r="C1364" s="97"/>
      <c r="D1364" s="93"/>
      <c r="E1364" s="98"/>
      <c r="F1364" s="100">
        <v>1360</v>
      </c>
      <c r="G1364" s="101">
        <f t="shared" si="85"/>
        <v>0</v>
      </c>
      <c r="H1364" s="101">
        <f t="shared" si="86"/>
        <v>0</v>
      </c>
      <c r="I1364" s="101">
        <f t="shared" si="87"/>
        <v>0</v>
      </c>
      <c r="J1364" s="101">
        <f t="shared" si="88"/>
        <v>0</v>
      </c>
    </row>
    <row r="1365" spans="2:10" x14ac:dyDescent="0.2">
      <c r="B1365" s="93"/>
      <c r="C1365" s="97"/>
      <c r="D1365" s="93"/>
      <c r="E1365" s="98"/>
      <c r="F1365" s="100">
        <v>1361</v>
      </c>
      <c r="G1365" s="101">
        <f t="shared" si="85"/>
        <v>0</v>
      </c>
      <c r="H1365" s="101">
        <f t="shared" si="86"/>
        <v>0</v>
      </c>
      <c r="I1365" s="101">
        <f t="shared" si="87"/>
        <v>0</v>
      </c>
      <c r="J1365" s="101">
        <f t="shared" si="88"/>
        <v>0</v>
      </c>
    </row>
    <row r="1366" spans="2:10" x14ac:dyDescent="0.2">
      <c r="B1366" s="93"/>
      <c r="C1366" s="97"/>
      <c r="D1366" s="93"/>
      <c r="E1366" s="98"/>
      <c r="F1366" s="100">
        <v>1362</v>
      </c>
      <c r="G1366" s="101">
        <f t="shared" si="85"/>
        <v>0</v>
      </c>
      <c r="H1366" s="101">
        <f t="shared" si="86"/>
        <v>0</v>
      </c>
      <c r="I1366" s="101">
        <f t="shared" si="87"/>
        <v>0</v>
      </c>
      <c r="J1366" s="101">
        <f t="shared" si="88"/>
        <v>0</v>
      </c>
    </row>
    <row r="1367" spans="2:10" x14ac:dyDescent="0.2">
      <c r="B1367" s="93"/>
      <c r="C1367" s="97"/>
      <c r="D1367" s="93"/>
      <c r="E1367" s="98"/>
      <c r="F1367" s="100">
        <v>1363</v>
      </c>
      <c r="G1367" s="101">
        <f t="shared" si="85"/>
        <v>0</v>
      </c>
      <c r="H1367" s="101">
        <f t="shared" si="86"/>
        <v>0</v>
      </c>
      <c r="I1367" s="101">
        <f t="shared" si="87"/>
        <v>0</v>
      </c>
      <c r="J1367" s="101">
        <f t="shared" si="88"/>
        <v>0</v>
      </c>
    </row>
    <row r="1368" spans="2:10" x14ac:dyDescent="0.2">
      <c r="B1368" s="93"/>
      <c r="C1368" s="97"/>
      <c r="D1368" s="93"/>
      <c r="E1368" s="98"/>
      <c r="F1368" s="100">
        <v>1364</v>
      </c>
      <c r="G1368" s="101">
        <f t="shared" si="85"/>
        <v>0</v>
      </c>
      <c r="H1368" s="101">
        <f t="shared" si="86"/>
        <v>0</v>
      </c>
      <c r="I1368" s="101">
        <f t="shared" si="87"/>
        <v>0</v>
      </c>
      <c r="J1368" s="101">
        <f t="shared" si="88"/>
        <v>0</v>
      </c>
    </row>
    <row r="1369" spans="2:10" x14ac:dyDescent="0.2">
      <c r="B1369" s="93"/>
      <c r="C1369" s="97"/>
      <c r="D1369" s="93"/>
      <c r="E1369" s="98"/>
      <c r="F1369" s="100">
        <v>1365</v>
      </c>
      <c r="G1369" s="101">
        <f t="shared" si="85"/>
        <v>0</v>
      </c>
      <c r="H1369" s="101">
        <f t="shared" si="86"/>
        <v>0</v>
      </c>
      <c r="I1369" s="101">
        <f t="shared" si="87"/>
        <v>0</v>
      </c>
      <c r="J1369" s="101">
        <f t="shared" si="88"/>
        <v>0</v>
      </c>
    </row>
    <row r="1370" spans="2:10" x14ac:dyDescent="0.2">
      <c r="B1370" s="93"/>
      <c r="C1370" s="97"/>
      <c r="D1370" s="93"/>
      <c r="E1370" s="98"/>
      <c r="F1370" s="100">
        <v>1366</v>
      </c>
      <c r="G1370" s="101">
        <f t="shared" si="85"/>
        <v>0</v>
      </c>
      <c r="H1370" s="101">
        <f t="shared" si="86"/>
        <v>0</v>
      </c>
      <c r="I1370" s="101">
        <f t="shared" si="87"/>
        <v>0</v>
      </c>
      <c r="J1370" s="101">
        <f t="shared" si="88"/>
        <v>0</v>
      </c>
    </row>
    <row r="1371" spans="2:10" x14ac:dyDescent="0.2">
      <c r="B1371" s="93"/>
      <c r="C1371" s="97"/>
      <c r="D1371" s="93"/>
      <c r="E1371" s="98"/>
      <c r="F1371" s="100">
        <v>1367</v>
      </c>
      <c r="G1371" s="101">
        <f t="shared" si="85"/>
        <v>0</v>
      </c>
      <c r="H1371" s="101">
        <f t="shared" si="86"/>
        <v>0</v>
      </c>
      <c r="I1371" s="101">
        <f t="shared" si="87"/>
        <v>0</v>
      </c>
      <c r="J1371" s="101">
        <f t="shared" si="88"/>
        <v>0</v>
      </c>
    </row>
    <row r="1372" spans="2:10" x14ac:dyDescent="0.2">
      <c r="B1372" s="93"/>
      <c r="C1372" s="97"/>
      <c r="D1372" s="93"/>
      <c r="E1372" s="98"/>
      <c r="F1372" s="100">
        <v>1368</v>
      </c>
      <c r="G1372" s="101">
        <f t="shared" si="85"/>
        <v>0</v>
      </c>
      <c r="H1372" s="101">
        <f t="shared" si="86"/>
        <v>0</v>
      </c>
      <c r="I1372" s="101">
        <f t="shared" si="87"/>
        <v>0</v>
      </c>
      <c r="J1372" s="101">
        <f t="shared" si="88"/>
        <v>0</v>
      </c>
    </row>
    <row r="1373" spans="2:10" x14ac:dyDescent="0.2">
      <c r="B1373" s="93"/>
      <c r="C1373" s="97"/>
      <c r="D1373" s="93"/>
      <c r="E1373" s="98"/>
      <c r="F1373" s="100">
        <v>1369</v>
      </c>
      <c r="G1373" s="101">
        <f t="shared" si="85"/>
        <v>0</v>
      </c>
      <c r="H1373" s="101">
        <f t="shared" si="86"/>
        <v>0</v>
      </c>
      <c r="I1373" s="101">
        <f t="shared" si="87"/>
        <v>0</v>
      </c>
      <c r="J1373" s="101">
        <f t="shared" si="88"/>
        <v>0</v>
      </c>
    </row>
    <row r="1374" spans="2:10" x14ac:dyDescent="0.2">
      <c r="B1374" s="93"/>
      <c r="C1374" s="97"/>
      <c r="D1374" s="93"/>
      <c r="E1374" s="98"/>
      <c r="F1374" s="100">
        <v>1370</v>
      </c>
      <c r="G1374" s="101">
        <f t="shared" si="85"/>
        <v>0</v>
      </c>
      <c r="H1374" s="101">
        <f t="shared" si="86"/>
        <v>0</v>
      </c>
      <c r="I1374" s="101">
        <f t="shared" si="87"/>
        <v>0</v>
      </c>
      <c r="J1374" s="101">
        <f t="shared" si="88"/>
        <v>0</v>
      </c>
    </row>
    <row r="1375" spans="2:10" x14ac:dyDescent="0.2">
      <c r="B1375" s="93"/>
      <c r="C1375" s="97"/>
      <c r="D1375" s="93"/>
      <c r="E1375" s="98"/>
      <c r="F1375" s="100">
        <v>1371</v>
      </c>
      <c r="G1375" s="101">
        <f t="shared" si="85"/>
        <v>0</v>
      </c>
      <c r="H1375" s="101">
        <f t="shared" si="86"/>
        <v>0</v>
      </c>
      <c r="I1375" s="101">
        <f t="shared" si="87"/>
        <v>0</v>
      </c>
      <c r="J1375" s="101">
        <f t="shared" si="88"/>
        <v>0</v>
      </c>
    </row>
    <row r="1376" spans="2:10" x14ac:dyDescent="0.2">
      <c r="B1376" s="93"/>
      <c r="C1376" s="97"/>
      <c r="D1376" s="93"/>
      <c r="E1376" s="98"/>
      <c r="F1376" s="100">
        <v>1372</v>
      </c>
      <c r="G1376" s="101">
        <f t="shared" si="85"/>
        <v>0</v>
      </c>
      <c r="H1376" s="101">
        <f t="shared" si="86"/>
        <v>0</v>
      </c>
      <c r="I1376" s="101">
        <f t="shared" si="87"/>
        <v>0</v>
      </c>
      <c r="J1376" s="101">
        <f t="shared" si="88"/>
        <v>0</v>
      </c>
    </row>
    <row r="1377" spans="2:10" x14ac:dyDescent="0.2">
      <c r="B1377" s="93"/>
      <c r="C1377" s="97"/>
      <c r="D1377" s="93"/>
      <c r="E1377" s="98"/>
      <c r="F1377" s="100">
        <v>1373</v>
      </c>
      <c r="G1377" s="101">
        <f t="shared" si="85"/>
        <v>0</v>
      </c>
      <c r="H1377" s="101">
        <f t="shared" si="86"/>
        <v>0</v>
      </c>
      <c r="I1377" s="101">
        <f t="shared" si="87"/>
        <v>0</v>
      </c>
      <c r="J1377" s="101">
        <f t="shared" si="88"/>
        <v>0</v>
      </c>
    </row>
    <row r="1378" spans="2:10" x14ac:dyDescent="0.2">
      <c r="B1378" s="93"/>
      <c r="C1378" s="97"/>
      <c r="D1378" s="93"/>
      <c r="E1378" s="98"/>
      <c r="F1378" s="100">
        <v>1374</v>
      </c>
      <c r="G1378" s="101">
        <f t="shared" si="85"/>
        <v>0</v>
      </c>
      <c r="H1378" s="101">
        <f t="shared" si="86"/>
        <v>0</v>
      </c>
      <c r="I1378" s="101">
        <f t="shared" si="87"/>
        <v>0</v>
      </c>
      <c r="J1378" s="101">
        <f t="shared" si="88"/>
        <v>0</v>
      </c>
    </row>
    <row r="1379" spans="2:10" x14ac:dyDescent="0.2">
      <c r="B1379" s="93"/>
      <c r="C1379" s="97"/>
      <c r="D1379" s="93"/>
      <c r="E1379" s="98"/>
      <c r="F1379" s="100">
        <v>1375</v>
      </c>
      <c r="G1379" s="101">
        <f t="shared" si="85"/>
        <v>0</v>
      </c>
      <c r="H1379" s="101">
        <f t="shared" si="86"/>
        <v>0</v>
      </c>
      <c r="I1379" s="101">
        <f t="shared" si="87"/>
        <v>0</v>
      </c>
      <c r="J1379" s="101">
        <f t="shared" si="88"/>
        <v>0</v>
      </c>
    </row>
    <row r="1380" spans="2:10" x14ac:dyDescent="0.2">
      <c r="B1380" s="93"/>
      <c r="C1380" s="97"/>
      <c r="D1380" s="93"/>
      <c r="E1380" s="98"/>
      <c r="F1380" s="100">
        <v>1376</v>
      </c>
      <c r="G1380" s="101">
        <f t="shared" si="85"/>
        <v>0</v>
      </c>
      <c r="H1380" s="101">
        <f t="shared" si="86"/>
        <v>0</v>
      </c>
      <c r="I1380" s="101">
        <f t="shared" si="87"/>
        <v>0</v>
      </c>
      <c r="J1380" s="101">
        <f t="shared" si="88"/>
        <v>0</v>
      </c>
    </row>
    <row r="1381" spans="2:10" x14ac:dyDescent="0.2">
      <c r="B1381" s="93"/>
      <c r="C1381" s="97"/>
      <c r="D1381" s="93"/>
      <c r="E1381" s="98"/>
      <c r="F1381" s="100">
        <v>1377</v>
      </c>
      <c r="G1381" s="101">
        <f t="shared" si="85"/>
        <v>0</v>
      </c>
      <c r="H1381" s="101">
        <f t="shared" si="86"/>
        <v>0</v>
      </c>
      <c r="I1381" s="101">
        <f t="shared" si="87"/>
        <v>0</v>
      </c>
      <c r="J1381" s="101">
        <f t="shared" si="88"/>
        <v>0</v>
      </c>
    </row>
    <row r="1382" spans="2:10" x14ac:dyDescent="0.2">
      <c r="B1382" s="93"/>
      <c r="C1382" s="97"/>
      <c r="D1382" s="93"/>
      <c r="E1382" s="98"/>
      <c r="F1382" s="100">
        <v>1378</v>
      </c>
      <c r="G1382" s="101">
        <f t="shared" si="85"/>
        <v>0</v>
      </c>
      <c r="H1382" s="101">
        <f t="shared" si="86"/>
        <v>0</v>
      </c>
      <c r="I1382" s="101">
        <f t="shared" si="87"/>
        <v>0</v>
      </c>
      <c r="J1382" s="101">
        <f t="shared" si="88"/>
        <v>0</v>
      </c>
    </row>
    <row r="1383" spans="2:10" x14ac:dyDescent="0.2">
      <c r="B1383" s="93"/>
      <c r="C1383" s="97"/>
      <c r="D1383" s="93"/>
      <c r="E1383" s="98"/>
      <c r="F1383" s="100">
        <v>1379</v>
      </c>
      <c r="G1383" s="101">
        <f t="shared" si="85"/>
        <v>0</v>
      </c>
      <c r="H1383" s="101">
        <f t="shared" si="86"/>
        <v>0</v>
      </c>
      <c r="I1383" s="101">
        <f t="shared" si="87"/>
        <v>0</v>
      </c>
      <c r="J1383" s="101">
        <f t="shared" si="88"/>
        <v>0</v>
      </c>
    </row>
    <row r="1384" spans="2:10" x14ac:dyDescent="0.2">
      <c r="B1384" s="93"/>
      <c r="C1384" s="97"/>
      <c r="D1384" s="93"/>
      <c r="E1384" s="98"/>
      <c r="F1384" s="100">
        <v>1380</v>
      </c>
      <c r="G1384" s="101">
        <f t="shared" si="85"/>
        <v>0</v>
      </c>
      <c r="H1384" s="101">
        <f t="shared" si="86"/>
        <v>0</v>
      </c>
      <c r="I1384" s="101">
        <f t="shared" si="87"/>
        <v>0</v>
      </c>
      <c r="J1384" s="101">
        <f t="shared" si="88"/>
        <v>0</v>
      </c>
    </row>
    <row r="1385" spans="2:10" x14ac:dyDescent="0.2">
      <c r="B1385" s="93"/>
      <c r="C1385" s="97"/>
      <c r="D1385" s="93"/>
      <c r="E1385" s="98"/>
      <c r="F1385" s="100">
        <v>1381</v>
      </c>
      <c r="G1385" s="101">
        <f t="shared" si="85"/>
        <v>0</v>
      </c>
      <c r="H1385" s="101">
        <f t="shared" si="86"/>
        <v>0</v>
      </c>
      <c r="I1385" s="101">
        <f t="shared" si="87"/>
        <v>0</v>
      </c>
      <c r="J1385" s="101">
        <f t="shared" si="88"/>
        <v>0</v>
      </c>
    </row>
    <row r="1386" spans="2:10" x14ac:dyDescent="0.2">
      <c r="B1386" s="93"/>
      <c r="C1386" s="97"/>
      <c r="D1386" s="93"/>
      <c r="E1386" s="98"/>
      <c r="F1386" s="100">
        <v>1382</v>
      </c>
      <c r="G1386" s="101">
        <f t="shared" si="85"/>
        <v>0</v>
      </c>
      <c r="H1386" s="101">
        <f t="shared" si="86"/>
        <v>0</v>
      </c>
      <c r="I1386" s="101">
        <f t="shared" si="87"/>
        <v>0</v>
      </c>
      <c r="J1386" s="101">
        <f t="shared" si="88"/>
        <v>0</v>
      </c>
    </row>
    <row r="1387" spans="2:10" x14ac:dyDescent="0.2">
      <c r="B1387" s="93"/>
      <c r="C1387" s="97"/>
      <c r="D1387" s="93"/>
      <c r="E1387" s="98"/>
      <c r="F1387" s="100">
        <v>1383</v>
      </c>
      <c r="G1387" s="101">
        <f t="shared" si="85"/>
        <v>0</v>
      </c>
      <c r="H1387" s="101">
        <f t="shared" si="86"/>
        <v>0</v>
      </c>
      <c r="I1387" s="101">
        <f t="shared" si="87"/>
        <v>0</v>
      </c>
      <c r="J1387" s="101">
        <f t="shared" si="88"/>
        <v>0</v>
      </c>
    </row>
    <row r="1388" spans="2:10" x14ac:dyDescent="0.2">
      <c r="B1388" s="93"/>
      <c r="C1388" s="97"/>
      <c r="D1388" s="93"/>
      <c r="E1388" s="98"/>
      <c r="F1388" s="100">
        <v>1384</v>
      </c>
      <c r="G1388" s="101">
        <f t="shared" si="85"/>
        <v>0</v>
      </c>
      <c r="H1388" s="101">
        <f t="shared" si="86"/>
        <v>0</v>
      </c>
      <c r="I1388" s="101">
        <f t="shared" si="87"/>
        <v>0</v>
      </c>
      <c r="J1388" s="101">
        <f t="shared" si="88"/>
        <v>0</v>
      </c>
    </row>
    <row r="1389" spans="2:10" x14ac:dyDescent="0.2">
      <c r="B1389" s="93"/>
      <c r="C1389" s="97"/>
      <c r="D1389" s="93"/>
      <c r="E1389" s="98"/>
      <c r="F1389" s="100">
        <v>1385</v>
      </c>
      <c r="G1389" s="101">
        <f t="shared" si="85"/>
        <v>0</v>
      </c>
      <c r="H1389" s="101">
        <f t="shared" si="86"/>
        <v>0</v>
      </c>
      <c r="I1389" s="101">
        <f t="shared" si="87"/>
        <v>0</v>
      </c>
      <c r="J1389" s="101">
        <f t="shared" si="88"/>
        <v>0</v>
      </c>
    </row>
    <row r="1390" spans="2:10" x14ac:dyDescent="0.2">
      <c r="B1390" s="93"/>
      <c r="C1390" s="97"/>
      <c r="D1390" s="93"/>
      <c r="E1390" s="98"/>
      <c r="F1390" s="100">
        <v>1386</v>
      </c>
      <c r="G1390" s="101">
        <f t="shared" si="85"/>
        <v>0</v>
      </c>
      <c r="H1390" s="101">
        <f t="shared" si="86"/>
        <v>0</v>
      </c>
      <c r="I1390" s="101">
        <f t="shared" si="87"/>
        <v>0</v>
      </c>
      <c r="J1390" s="101">
        <f t="shared" si="88"/>
        <v>0</v>
      </c>
    </row>
    <row r="1391" spans="2:10" x14ac:dyDescent="0.2">
      <c r="B1391" s="93"/>
      <c r="C1391" s="97"/>
      <c r="D1391" s="93"/>
      <c r="E1391" s="98"/>
      <c r="F1391" s="100">
        <v>1387</v>
      </c>
      <c r="G1391" s="101">
        <f t="shared" si="85"/>
        <v>0</v>
      </c>
      <c r="H1391" s="101">
        <f t="shared" si="86"/>
        <v>0</v>
      </c>
      <c r="I1391" s="101">
        <f t="shared" si="87"/>
        <v>0</v>
      </c>
      <c r="J1391" s="101">
        <f t="shared" si="88"/>
        <v>0</v>
      </c>
    </row>
    <row r="1392" spans="2:10" x14ac:dyDescent="0.2">
      <c r="B1392" s="93"/>
      <c r="C1392" s="97"/>
      <c r="D1392" s="93"/>
      <c r="E1392" s="98"/>
      <c r="F1392" s="100">
        <v>1388</v>
      </c>
      <c r="G1392" s="101">
        <f t="shared" si="85"/>
        <v>0</v>
      </c>
      <c r="H1392" s="101">
        <f t="shared" si="86"/>
        <v>0</v>
      </c>
      <c r="I1392" s="101">
        <f t="shared" si="87"/>
        <v>0</v>
      </c>
      <c r="J1392" s="101">
        <f t="shared" si="88"/>
        <v>0</v>
      </c>
    </row>
    <row r="1393" spans="2:10" x14ac:dyDescent="0.2">
      <c r="B1393" s="93"/>
      <c r="C1393" s="97"/>
      <c r="D1393" s="93"/>
      <c r="E1393" s="98"/>
      <c r="F1393" s="100">
        <v>1389</v>
      </c>
      <c r="G1393" s="101">
        <f t="shared" si="85"/>
        <v>0</v>
      </c>
      <c r="H1393" s="101">
        <f t="shared" si="86"/>
        <v>0</v>
      </c>
      <c r="I1393" s="101">
        <f t="shared" si="87"/>
        <v>0</v>
      </c>
      <c r="J1393" s="101">
        <f t="shared" si="88"/>
        <v>0</v>
      </c>
    </row>
    <row r="1394" spans="2:10" x14ac:dyDescent="0.2">
      <c r="B1394" s="93"/>
      <c r="C1394" s="97"/>
      <c r="D1394" s="93"/>
      <c r="E1394" s="98"/>
      <c r="F1394" s="100">
        <v>1390</v>
      </c>
      <c r="G1394" s="101">
        <f t="shared" si="85"/>
        <v>0</v>
      </c>
      <c r="H1394" s="101">
        <f t="shared" si="86"/>
        <v>0</v>
      </c>
      <c r="I1394" s="101">
        <f t="shared" si="87"/>
        <v>0</v>
      </c>
      <c r="J1394" s="101">
        <f t="shared" si="88"/>
        <v>0</v>
      </c>
    </row>
    <row r="1395" spans="2:10" x14ac:dyDescent="0.2">
      <c r="B1395" s="93"/>
      <c r="C1395" s="97"/>
      <c r="D1395" s="93"/>
      <c r="E1395" s="98"/>
      <c r="F1395" s="100">
        <v>1391</v>
      </c>
      <c r="G1395" s="101">
        <f t="shared" si="85"/>
        <v>0</v>
      </c>
      <c r="H1395" s="101">
        <f t="shared" si="86"/>
        <v>0</v>
      </c>
      <c r="I1395" s="101">
        <f t="shared" si="87"/>
        <v>0</v>
      </c>
      <c r="J1395" s="101">
        <f t="shared" si="88"/>
        <v>0</v>
      </c>
    </row>
    <row r="1396" spans="2:10" x14ac:dyDescent="0.2">
      <c r="B1396" s="93"/>
      <c r="C1396" s="97"/>
      <c r="D1396" s="93"/>
      <c r="E1396" s="98"/>
      <c r="F1396" s="100">
        <v>1392</v>
      </c>
      <c r="G1396" s="101">
        <f t="shared" si="85"/>
        <v>0</v>
      </c>
      <c r="H1396" s="101">
        <f t="shared" si="86"/>
        <v>0</v>
      </c>
      <c r="I1396" s="101">
        <f t="shared" si="87"/>
        <v>0</v>
      </c>
      <c r="J1396" s="101">
        <f t="shared" si="88"/>
        <v>0</v>
      </c>
    </row>
    <row r="1397" spans="2:10" x14ac:dyDescent="0.2">
      <c r="B1397" s="93"/>
      <c r="C1397" s="97"/>
      <c r="D1397" s="93"/>
      <c r="E1397" s="98"/>
      <c r="F1397" s="100">
        <v>1393</v>
      </c>
      <c r="G1397" s="101">
        <f t="shared" si="85"/>
        <v>0</v>
      </c>
      <c r="H1397" s="101">
        <f t="shared" si="86"/>
        <v>0</v>
      </c>
      <c r="I1397" s="101">
        <f t="shared" si="87"/>
        <v>0</v>
      </c>
      <c r="J1397" s="101">
        <f t="shared" si="88"/>
        <v>0</v>
      </c>
    </row>
    <row r="1398" spans="2:10" x14ac:dyDescent="0.2">
      <c r="B1398" s="93"/>
      <c r="C1398" s="97"/>
      <c r="D1398" s="93"/>
      <c r="E1398" s="98"/>
      <c r="F1398" s="100">
        <v>1394</v>
      </c>
      <c r="G1398" s="101">
        <f t="shared" si="85"/>
        <v>0</v>
      </c>
      <c r="H1398" s="101">
        <f t="shared" si="86"/>
        <v>0</v>
      </c>
      <c r="I1398" s="101">
        <f t="shared" si="87"/>
        <v>0</v>
      </c>
      <c r="J1398" s="101">
        <f t="shared" si="88"/>
        <v>0</v>
      </c>
    </row>
    <row r="1399" spans="2:10" x14ac:dyDescent="0.2">
      <c r="B1399" s="93"/>
      <c r="C1399" s="97"/>
      <c r="D1399" s="93"/>
      <c r="E1399" s="98"/>
      <c r="F1399" s="100">
        <v>1395</v>
      </c>
      <c r="G1399" s="101">
        <f t="shared" si="85"/>
        <v>0</v>
      </c>
      <c r="H1399" s="101">
        <f t="shared" si="86"/>
        <v>0</v>
      </c>
      <c r="I1399" s="101">
        <f t="shared" si="87"/>
        <v>0</v>
      </c>
      <c r="J1399" s="101">
        <f t="shared" si="88"/>
        <v>0</v>
      </c>
    </row>
    <row r="1400" spans="2:10" x14ac:dyDescent="0.2">
      <c r="B1400" s="93"/>
      <c r="C1400" s="97"/>
      <c r="D1400" s="93"/>
      <c r="E1400" s="98"/>
      <c r="F1400" s="100">
        <v>1396</v>
      </c>
      <c r="G1400" s="101">
        <f t="shared" si="85"/>
        <v>0</v>
      </c>
      <c r="H1400" s="101">
        <f t="shared" si="86"/>
        <v>0</v>
      </c>
      <c r="I1400" s="101">
        <f t="shared" si="87"/>
        <v>0</v>
      </c>
      <c r="J1400" s="101">
        <f t="shared" si="88"/>
        <v>0</v>
      </c>
    </row>
    <row r="1401" spans="2:10" x14ac:dyDescent="0.2">
      <c r="B1401" s="93"/>
      <c r="C1401" s="97"/>
      <c r="D1401" s="93"/>
      <c r="E1401" s="98"/>
      <c r="F1401" s="100">
        <v>1397</v>
      </c>
      <c r="G1401" s="101">
        <f t="shared" si="85"/>
        <v>0</v>
      </c>
      <c r="H1401" s="101">
        <f t="shared" si="86"/>
        <v>0</v>
      </c>
      <c r="I1401" s="101">
        <f t="shared" si="87"/>
        <v>0</v>
      </c>
      <c r="J1401" s="101">
        <f t="shared" si="88"/>
        <v>0</v>
      </c>
    </row>
    <row r="1402" spans="2:10" x14ac:dyDescent="0.2">
      <c r="B1402" s="93"/>
      <c r="C1402" s="97"/>
      <c r="D1402" s="93"/>
      <c r="E1402" s="98"/>
      <c r="F1402" s="100">
        <v>1398</v>
      </c>
      <c r="G1402" s="101">
        <f t="shared" si="85"/>
        <v>0</v>
      </c>
      <c r="H1402" s="101">
        <f t="shared" si="86"/>
        <v>0</v>
      </c>
      <c r="I1402" s="101">
        <f t="shared" si="87"/>
        <v>0</v>
      </c>
      <c r="J1402" s="101">
        <f t="shared" si="88"/>
        <v>0</v>
      </c>
    </row>
    <row r="1403" spans="2:10" x14ac:dyDescent="0.2">
      <c r="B1403" s="93"/>
      <c r="C1403" s="97"/>
      <c r="D1403" s="93"/>
      <c r="E1403" s="98"/>
      <c r="F1403" s="100">
        <v>1399</v>
      </c>
      <c r="G1403" s="101">
        <f t="shared" si="85"/>
        <v>0</v>
      </c>
      <c r="H1403" s="101">
        <f t="shared" si="86"/>
        <v>0</v>
      </c>
      <c r="I1403" s="101">
        <f t="shared" si="87"/>
        <v>0</v>
      </c>
      <c r="J1403" s="101">
        <f t="shared" si="88"/>
        <v>0</v>
      </c>
    </row>
    <row r="1404" spans="2:10" x14ac:dyDescent="0.2">
      <c r="B1404" s="93"/>
      <c r="C1404" s="97"/>
      <c r="D1404" s="93"/>
      <c r="E1404" s="98"/>
      <c r="F1404" s="100">
        <v>1400</v>
      </c>
      <c r="G1404" s="101">
        <f t="shared" si="85"/>
        <v>0</v>
      </c>
      <c r="H1404" s="101">
        <f t="shared" si="86"/>
        <v>0</v>
      </c>
      <c r="I1404" s="101">
        <f t="shared" si="87"/>
        <v>0</v>
      </c>
      <c r="J1404" s="101">
        <f t="shared" si="88"/>
        <v>0</v>
      </c>
    </row>
    <row r="1405" spans="2:10" x14ac:dyDescent="0.2">
      <c r="B1405" s="93"/>
      <c r="C1405" s="97"/>
      <c r="D1405" s="93"/>
      <c r="E1405" s="98"/>
      <c r="F1405" s="100">
        <v>1401</v>
      </c>
      <c r="G1405" s="101">
        <f t="shared" si="85"/>
        <v>0</v>
      </c>
      <c r="H1405" s="101">
        <f t="shared" si="86"/>
        <v>0</v>
      </c>
      <c r="I1405" s="101">
        <f t="shared" si="87"/>
        <v>0</v>
      </c>
      <c r="J1405" s="101">
        <f t="shared" si="88"/>
        <v>0</v>
      </c>
    </row>
    <row r="1406" spans="2:10" x14ac:dyDescent="0.2">
      <c r="B1406" s="93"/>
      <c r="C1406" s="97"/>
      <c r="D1406" s="93"/>
      <c r="E1406" s="98"/>
      <c r="F1406" s="100">
        <v>1402</v>
      </c>
      <c r="G1406" s="101">
        <f t="shared" si="85"/>
        <v>0</v>
      </c>
      <c r="H1406" s="101">
        <f t="shared" si="86"/>
        <v>0</v>
      </c>
      <c r="I1406" s="101">
        <f t="shared" si="87"/>
        <v>0</v>
      </c>
      <c r="J1406" s="101">
        <f t="shared" si="88"/>
        <v>0</v>
      </c>
    </row>
    <row r="1407" spans="2:10" x14ac:dyDescent="0.2">
      <c r="B1407" s="93"/>
      <c r="C1407" s="97"/>
      <c r="D1407" s="93"/>
      <c r="E1407" s="98"/>
      <c r="F1407" s="100">
        <v>1403</v>
      </c>
      <c r="G1407" s="101">
        <f t="shared" si="85"/>
        <v>0</v>
      </c>
      <c r="H1407" s="101">
        <f t="shared" si="86"/>
        <v>0</v>
      </c>
      <c r="I1407" s="101">
        <f t="shared" si="87"/>
        <v>0</v>
      </c>
      <c r="J1407" s="101">
        <f t="shared" si="88"/>
        <v>0</v>
      </c>
    </row>
    <row r="1408" spans="2:10" x14ac:dyDescent="0.2">
      <c r="B1408" s="93"/>
      <c r="C1408" s="97"/>
      <c r="D1408" s="93"/>
      <c r="E1408" s="98"/>
      <c r="F1408" s="100">
        <v>1404</v>
      </c>
      <c r="G1408" s="101">
        <f t="shared" si="85"/>
        <v>0</v>
      </c>
      <c r="H1408" s="101">
        <f t="shared" si="86"/>
        <v>0</v>
      </c>
      <c r="I1408" s="101">
        <f t="shared" si="87"/>
        <v>0</v>
      </c>
      <c r="J1408" s="101">
        <f t="shared" si="88"/>
        <v>0</v>
      </c>
    </row>
    <row r="1409" spans="2:10" x14ac:dyDescent="0.2">
      <c r="B1409" s="93"/>
      <c r="C1409" s="97"/>
      <c r="D1409" s="93"/>
      <c r="E1409" s="98"/>
      <c r="F1409" s="100">
        <v>1405</v>
      </c>
      <c r="G1409" s="101">
        <f t="shared" si="85"/>
        <v>0</v>
      </c>
      <c r="H1409" s="101">
        <f t="shared" si="86"/>
        <v>0</v>
      </c>
      <c r="I1409" s="101">
        <f t="shared" si="87"/>
        <v>0</v>
      </c>
      <c r="J1409" s="101">
        <f t="shared" si="88"/>
        <v>0</v>
      </c>
    </row>
    <row r="1410" spans="2:10" x14ac:dyDescent="0.2">
      <c r="B1410" s="93"/>
      <c r="C1410" s="97"/>
      <c r="D1410" s="93"/>
      <c r="E1410" s="98"/>
      <c r="F1410" s="100">
        <v>1406</v>
      </c>
      <c r="G1410" s="101">
        <f t="shared" si="85"/>
        <v>0</v>
      </c>
      <c r="H1410" s="101">
        <f t="shared" si="86"/>
        <v>0</v>
      </c>
      <c r="I1410" s="101">
        <f t="shared" si="87"/>
        <v>0</v>
      </c>
      <c r="J1410" s="101">
        <f t="shared" si="88"/>
        <v>0</v>
      </c>
    </row>
    <row r="1411" spans="2:10" x14ac:dyDescent="0.2">
      <c r="B1411" s="93"/>
      <c r="C1411" s="97"/>
      <c r="D1411" s="93"/>
      <c r="E1411" s="98"/>
      <c r="F1411" s="100">
        <v>1407</v>
      </c>
      <c r="G1411" s="101">
        <f t="shared" si="85"/>
        <v>0</v>
      </c>
      <c r="H1411" s="101">
        <f t="shared" si="86"/>
        <v>0</v>
      </c>
      <c r="I1411" s="101">
        <f t="shared" si="87"/>
        <v>0</v>
      </c>
      <c r="J1411" s="101">
        <f t="shared" si="88"/>
        <v>0</v>
      </c>
    </row>
    <row r="1412" spans="2:10" x14ac:dyDescent="0.2">
      <c r="B1412" s="93"/>
      <c r="C1412" s="97"/>
      <c r="D1412" s="93"/>
      <c r="E1412" s="98"/>
      <c r="F1412" s="100">
        <v>1408</v>
      </c>
      <c r="G1412" s="101">
        <f t="shared" si="85"/>
        <v>0</v>
      </c>
      <c r="H1412" s="101">
        <f t="shared" si="86"/>
        <v>0</v>
      </c>
      <c r="I1412" s="101">
        <f t="shared" si="87"/>
        <v>0</v>
      </c>
      <c r="J1412" s="101">
        <f t="shared" si="88"/>
        <v>0</v>
      </c>
    </row>
    <row r="1413" spans="2:10" x14ac:dyDescent="0.2">
      <c r="B1413" s="93"/>
      <c r="C1413" s="97"/>
      <c r="D1413" s="93"/>
      <c r="E1413" s="98"/>
      <c r="F1413" s="100">
        <v>1409</v>
      </c>
      <c r="G1413" s="101">
        <f t="shared" si="85"/>
        <v>0</v>
      </c>
      <c r="H1413" s="101">
        <f t="shared" si="86"/>
        <v>0</v>
      </c>
      <c r="I1413" s="101">
        <f t="shared" si="87"/>
        <v>0</v>
      </c>
      <c r="J1413" s="101">
        <f t="shared" si="88"/>
        <v>0</v>
      </c>
    </row>
    <row r="1414" spans="2:10" x14ac:dyDescent="0.2">
      <c r="B1414" s="93"/>
      <c r="C1414" s="97"/>
      <c r="D1414" s="93"/>
      <c r="E1414" s="98"/>
      <c r="F1414" s="100">
        <v>1410</v>
      </c>
      <c r="G1414" s="101">
        <f t="shared" ref="G1414:G1477" si="89">B1414</f>
        <v>0</v>
      </c>
      <c r="H1414" s="101">
        <f t="shared" ref="H1414:H1477" si="90">C1414</f>
        <v>0</v>
      </c>
      <c r="I1414" s="101">
        <f t="shared" ref="I1414:I1477" si="91">D1414</f>
        <v>0</v>
      </c>
      <c r="J1414" s="101">
        <f t="shared" ref="J1414:J1477" si="92">E1414</f>
        <v>0</v>
      </c>
    </row>
    <row r="1415" spans="2:10" x14ac:dyDescent="0.2">
      <c r="B1415" s="93"/>
      <c r="C1415" s="97"/>
      <c r="D1415" s="93"/>
      <c r="E1415" s="98"/>
      <c r="F1415" s="100">
        <v>1411</v>
      </c>
      <c r="G1415" s="101">
        <f t="shared" si="89"/>
        <v>0</v>
      </c>
      <c r="H1415" s="101">
        <f t="shared" si="90"/>
        <v>0</v>
      </c>
      <c r="I1415" s="101">
        <f t="shared" si="91"/>
        <v>0</v>
      </c>
      <c r="J1415" s="101">
        <f t="shared" si="92"/>
        <v>0</v>
      </c>
    </row>
    <row r="1416" spans="2:10" x14ac:dyDescent="0.2">
      <c r="B1416" s="93"/>
      <c r="C1416" s="97"/>
      <c r="D1416" s="93"/>
      <c r="E1416" s="98"/>
      <c r="F1416" s="100">
        <v>1412</v>
      </c>
      <c r="G1416" s="101">
        <f t="shared" si="89"/>
        <v>0</v>
      </c>
      <c r="H1416" s="101">
        <f t="shared" si="90"/>
        <v>0</v>
      </c>
      <c r="I1416" s="101">
        <f t="shared" si="91"/>
        <v>0</v>
      </c>
      <c r="J1416" s="101">
        <f t="shared" si="92"/>
        <v>0</v>
      </c>
    </row>
    <row r="1417" spans="2:10" x14ac:dyDescent="0.2">
      <c r="B1417" s="93"/>
      <c r="C1417" s="97"/>
      <c r="D1417" s="93"/>
      <c r="E1417" s="98"/>
      <c r="F1417" s="100">
        <v>1413</v>
      </c>
      <c r="G1417" s="101">
        <f t="shared" si="89"/>
        <v>0</v>
      </c>
      <c r="H1417" s="101">
        <f t="shared" si="90"/>
        <v>0</v>
      </c>
      <c r="I1417" s="101">
        <f t="shared" si="91"/>
        <v>0</v>
      </c>
      <c r="J1417" s="101">
        <f t="shared" si="92"/>
        <v>0</v>
      </c>
    </row>
    <row r="1418" spans="2:10" x14ac:dyDescent="0.2">
      <c r="B1418" s="93"/>
      <c r="C1418" s="97"/>
      <c r="D1418" s="93"/>
      <c r="E1418" s="98"/>
      <c r="F1418" s="100">
        <v>1414</v>
      </c>
      <c r="G1418" s="101">
        <f t="shared" si="89"/>
        <v>0</v>
      </c>
      <c r="H1418" s="101">
        <f t="shared" si="90"/>
        <v>0</v>
      </c>
      <c r="I1418" s="101">
        <f t="shared" si="91"/>
        <v>0</v>
      </c>
      <c r="J1418" s="101">
        <f t="shared" si="92"/>
        <v>0</v>
      </c>
    </row>
    <row r="1419" spans="2:10" x14ac:dyDescent="0.2">
      <c r="B1419" s="93"/>
      <c r="C1419" s="97"/>
      <c r="D1419" s="93"/>
      <c r="E1419" s="98"/>
      <c r="F1419" s="100">
        <v>1415</v>
      </c>
      <c r="G1419" s="101">
        <f t="shared" si="89"/>
        <v>0</v>
      </c>
      <c r="H1419" s="101">
        <f t="shared" si="90"/>
        <v>0</v>
      </c>
      <c r="I1419" s="101">
        <f t="shared" si="91"/>
        <v>0</v>
      </c>
      <c r="J1419" s="101">
        <f t="shared" si="92"/>
        <v>0</v>
      </c>
    </row>
    <row r="1420" spans="2:10" x14ac:dyDescent="0.2">
      <c r="B1420" s="93"/>
      <c r="C1420" s="97"/>
      <c r="D1420" s="93"/>
      <c r="E1420" s="98"/>
      <c r="F1420" s="100">
        <v>1416</v>
      </c>
      <c r="G1420" s="101">
        <f t="shared" si="89"/>
        <v>0</v>
      </c>
      <c r="H1420" s="101">
        <f t="shared" si="90"/>
        <v>0</v>
      </c>
      <c r="I1420" s="101">
        <f t="shared" si="91"/>
        <v>0</v>
      </c>
      <c r="J1420" s="101">
        <f t="shared" si="92"/>
        <v>0</v>
      </c>
    </row>
    <row r="1421" spans="2:10" x14ac:dyDescent="0.2">
      <c r="B1421" s="93"/>
      <c r="C1421" s="97"/>
      <c r="D1421" s="93"/>
      <c r="E1421" s="98"/>
      <c r="F1421" s="100">
        <v>1417</v>
      </c>
      <c r="G1421" s="101">
        <f t="shared" si="89"/>
        <v>0</v>
      </c>
      <c r="H1421" s="101">
        <f t="shared" si="90"/>
        <v>0</v>
      </c>
      <c r="I1421" s="101">
        <f t="shared" si="91"/>
        <v>0</v>
      </c>
      <c r="J1421" s="101">
        <f t="shared" si="92"/>
        <v>0</v>
      </c>
    </row>
    <row r="1422" spans="2:10" x14ac:dyDescent="0.2">
      <c r="B1422" s="93"/>
      <c r="C1422" s="97"/>
      <c r="D1422" s="93"/>
      <c r="E1422" s="98"/>
      <c r="F1422" s="100">
        <v>1418</v>
      </c>
      <c r="G1422" s="101">
        <f t="shared" si="89"/>
        <v>0</v>
      </c>
      <c r="H1422" s="101">
        <f t="shared" si="90"/>
        <v>0</v>
      </c>
      <c r="I1422" s="101">
        <f t="shared" si="91"/>
        <v>0</v>
      </c>
      <c r="J1422" s="101">
        <f t="shared" si="92"/>
        <v>0</v>
      </c>
    </row>
    <row r="1423" spans="2:10" x14ac:dyDescent="0.2">
      <c r="B1423" s="93"/>
      <c r="C1423" s="97"/>
      <c r="D1423" s="93"/>
      <c r="E1423" s="98"/>
      <c r="F1423" s="100">
        <v>1419</v>
      </c>
      <c r="G1423" s="101">
        <f t="shared" si="89"/>
        <v>0</v>
      </c>
      <c r="H1423" s="101">
        <f t="shared" si="90"/>
        <v>0</v>
      </c>
      <c r="I1423" s="101">
        <f t="shared" si="91"/>
        <v>0</v>
      </c>
      <c r="J1423" s="101">
        <f t="shared" si="92"/>
        <v>0</v>
      </c>
    </row>
    <row r="1424" spans="2:10" x14ac:dyDescent="0.2">
      <c r="B1424" s="93"/>
      <c r="C1424" s="97"/>
      <c r="D1424" s="93"/>
      <c r="E1424" s="98"/>
      <c r="F1424" s="100">
        <v>1420</v>
      </c>
      <c r="G1424" s="101">
        <f t="shared" si="89"/>
        <v>0</v>
      </c>
      <c r="H1424" s="101">
        <f t="shared" si="90"/>
        <v>0</v>
      </c>
      <c r="I1424" s="101">
        <f t="shared" si="91"/>
        <v>0</v>
      </c>
      <c r="J1424" s="101">
        <f t="shared" si="92"/>
        <v>0</v>
      </c>
    </row>
    <row r="1425" spans="2:10" x14ac:dyDescent="0.2">
      <c r="B1425" s="93"/>
      <c r="C1425" s="97"/>
      <c r="D1425" s="93"/>
      <c r="E1425" s="98"/>
      <c r="F1425" s="100">
        <v>1421</v>
      </c>
      <c r="G1425" s="101">
        <f t="shared" si="89"/>
        <v>0</v>
      </c>
      <c r="H1425" s="101">
        <f t="shared" si="90"/>
        <v>0</v>
      </c>
      <c r="I1425" s="101">
        <f t="shared" si="91"/>
        <v>0</v>
      </c>
      <c r="J1425" s="101">
        <f t="shared" si="92"/>
        <v>0</v>
      </c>
    </row>
    <row r="1426" spans="2:10" x14ac:dyDescent="0.2">
      <c r="B1426" s="93"/>
      <c r="C1426" s="97"/>
      <c r="D1426" s="93"/>
      <c r="E1426" s="98"/>
      <c r="F1426" s="100">
        <v>1422</v>
      </c>
      <c r="G1426" s="101">
        <f t="shared" si="89"/>
        <v>0</v>
      </c>
      <c r="H1426" s="101">
        <f t="shared" si="90"/>
        <v>0</v>
      </c>
      <c r="I1426" s="101">
        <f t="shared" si="91"/>
        <v>0</v>
      </c>
      <c r="J1426" s="101">
        <f t="shared" si="92"/>
        <v>0</v>
      </c>
    </row>
    <row r="1427" spans="2:10" x14ac:dyDescent="0.2">
      <c r="B1427" s="93"/>
      <c r="C1427" s="97"/>
      <c r="D1427" s="93"/>
      <c r="E1427" s="98"/>
      <c r="F1427" s="100">
        <v>1423</v>
      </c>
      <c r="G1427" s="101">
        <f t="shared" si="89"/>
        <v>0</v>
      </c>
      <c r="H1427" s="101">
        <f t="shared" si="90"/>
        <v>0</v>
      </c>
      <c r="I1427" s="101">
        <f t="shared" si="91"/>
        <v>0</v>
      </c>
      <c r="J1427" s="101">
        <f t="shared" si="92"/>
        <v>0</v>
      </c>
    </row>
    <row r="1428" spans="2:10" x14ac:dyDescent="0.2">
      <c r="B1428" s="93"/>
      <c r="C1428" s="97"/>
      <c r="D1428" s="93"/>
      <c r="E1428" s="98"/>
      <c r="F1428" s="100">
        <v>1424</v>
      </c>
      <c r="G1428" s="101">
        <f t="shared" si="89"/>
        <v>0</v>
      </c>
      <c r="H1428" s="101">
        <f t="shared" si="90"/>
        <v>0</v>
      </c>
      <c r="I1428" s="101">
        <f t="shared" si="91"/>
        <v>0</v>
      </c>
      <c r="J1428" s="101">
        <f t="shared" si="92"/>
        <v>0</v>
      </c>
    </row>
    <row r="1429" spans="2:10" x14ac:dyDescent="0.2">
      <c r="B1429" s="93"/>
      <c r="C1429" s="97"/>
      <c r="D1429" s="93"/>
      <c r="E1429" s="98"/>
      <c r="F1429" s="100">
        <v>1425</v>
      </c>
      <c r="G1429" s="101">
        <f t="shared" si="89"/>
        <v>0</v>
      </c>
      <c r="H1429" s="101">
        <f t="shared" si="90"/>
        <v>0</v>
      </c>
      <c r="I1429" s="101">
        <f t="shared" si="91"/>
        <v>0</v>
      </c>
      <c r="J1429" s="101">
        <f t="shared" si="92"/>
        <v>0</v>
      </c>
    </row>
    <row r="1430" spans="2:10" x14ac:dyDescent="0.2">
      <c r="B1430" s="93"/>
      <c r="C1430" s="97"/>
      <c r="D1430" s="93"/>
      <c r="E1430" s="98"/>
      <c r="F1430" s="100">
        <v>1426</v>
      </c>
      <c r="G1430" s="101">
        <f t="shared" si="89"/>
        <v>0</v>
      </c>
      <c r="H1430" s="101">
        <f t="shared" si="90"/>
        <v>0</v>
      </c>
      <c r="I1430" s="101">
        <f t="shared" si="91"/>
        <v>0</v>
      </c>
      <c r="J1430" s="101">
        <f t="shared" si="92"/>
        <v>0</v>
      </c>
    </row>
    <row r="1431" spans="2:10" x14ac:dyDescent="0.2">
      <c r="B1431" s="93"/>
      <c r="C1431" s="97"/>
      <c r="D1431" s="93"/>
      <c r="E1431" s="98"/>
      <c r="F1431" s="100">
        <v>1427</v>
      </c>
      <c r="G1431" s="101">
        <f t="shared" si="89"/>
        <v>0</v>
      </c>
      <c r="H1431" s="101">
        <f t="shared" si="90"/>
        <v>0</v>
      </c>
      <c r="I1431" s="101">
        <f t="shared" si="91"/>
        <v>0</v>
      </c>
      <c r="J1431" s="101">
        <f t="shared" si="92"/>
        <v>0</v>
      </c>
    </row>
    <row r="1432" spans="2:10" x14ac:dyDescent="0.2">
      <c r="B1432" s="93"/>
      <c r="C1432" s="97"/>
      <c r="D1432" s="93"/>
      <c r="E1432" s="98"/>
      <c r="F1432" s="100">
        <v>1428</v>
      </c>
      <c r="G1432" s="101">
        <f t="shared" si="89"/>
        <v>0</v>
      </c>
      <c r="H1432" s="101">
        <f t="shared" si="90"/>
        <v>0</v>
      </c>
      <c r="I1432" s="101">
        <f t="shared" si="91"/>
        <v>0</v>
      </c>
      <c r="J1432" s="101">
        <f t="shared" si="92"/>
        <v>0</v>
      </c>
    </row>
    <row r="1433" spans="2:10" x14ac:dyDescent="0.2">
      <c r="B1433" s="93"/>
      <c r="C1433" s="97"/>
      <c r="D1433" s="93"/>
      <c r="E1433" s="98"/>
      <c r="F1433" s="100">
        <v>1429</v>
      </c>
      <c r="G1433" s="101">
        <f t="shared" si="89"/>
        <v>0</v>
      </c>
      <c r="H1433" s="101">
        <f t="shared" si="90"/>
        <v>0</v>
      </c>
      <c r="I1433" s="101">
        <f t="shared" si="91"/>
        <v>0</v>
      </c>
      <c r="J1433" s="101">
        <f t="shared" si="92"/>
        <v>0</v>
      </c>
    </row>
    <row r="1434" spans="2:10" x14ac:dyDescent="0.2">
      <c r="B1434" s="93"/>
      <c r="C1434" s="97"/>
      <c r="D1434" s="93"/>
      <c r="E1434" s="98"/>
      <c r="F1434" s="100">
        <v>1430</v>
      </c>
      <c r="G1434" s="101">
        <f t="shared" si="89"/>
        <v>0</v>
      </c>
      <c r="H1434" s="101">
        <f t="shared" si="90"/>
        <v>0</v>
      </c>
      <c r="I1434" s="101">
        <f t="shared" si="91"/>
        <v>0</v>
      </c>
      <c r="J1434" s="101">
        <f t="shared" si="92"/>
        <v>0</v>
      </c>
    </row>
    <row r="1435" spans="2:10" x14ac:dyDescent="0.2">
      <c r="B1435" s="93"/>
      <c r="C1435" s="97"/>
      <c r="D1435" s="93"/>
      <c r="E1435" s="98"/>
      <c r="F1435" s="100">
        <v>1431</v>
      </c>
      <c r="G1435" s="101">
        <f t="shared" si="89"/>
        <v>0</v>
      </c>
      <c r="H1435" s="101">
        <f t="shared" si="90"/>
        <v>0</v>
      </c>
      <c r="I1435" s="101">
        <f t="shared" si="91"/>
        <v>0</v>
      </c>
      <c r="J1435" s="101">
        <f t="shared" si="92"/>
        <v>0</v>
      </c>
    </row>
    <row r="1436" spans="2:10" x14ac:dyDescent="0.2">
      <c r="B1436" s="93"/>
      <c r="C1436" s="97"/>
      <c r="D1436" s="93"/>
      <c r="E1436" s="98"/>
      <c r="F1436" s="100">
        <v>1432</v>
      </c>
      <c r="G1436" s="101">
        <f t="shared" si="89"/>
        <v>0</v>
      </c>
      <c r="H1436" s="101">
        <f t="shared" si="90"/>
        <v>0</v>
      </c>
      <c r="I1436" s="101">
        <f t="shared" si="91"/>
        <v>0</v>
      </c>
      <c r="J1436" s="101">
        <f t="shared" si="92"/>
        <v>0</v>
      </c>
    </row>
    <row r="1437" spans="2:10" x14ac:dyDescent="0.2">
      <c r="B1437" s="93"/>
      <c r="C1437" s="97"/>
      <c r="D1437" s="93"/>
      <c r="E1437" s="98"/>
      <c r="F1437" s="100">
        <v>1433</v>
      </c>
      <c r="G1437" s="101">
        <f t="shared" si="89"/>
        <v>0</v>
      </c>
      <c r="H1437" s="101">
        <f t="shared" si="90"/>
        <v>0</v>
      </c>
      <c r="I1437" s="101">
        <f t="shared" si="91"/>
        <v>0</v>
      </c>
      <c r="J1437" s="101">
        <f t="shared" si="92"/>
        <v>0</v>
      </c>
    </row>
    <row r="1438" spans="2:10" x14ac:dyDescent="0.2">
      <c r="B1438" s="93"/>
      <c r="C1438" s="97"/>
      <c r="D1438" s="93"/>
      <c r="E1438" s="98"/>
      <c r="F1438" s="100">
        <v>1434</v>
      </c>
      <c r="G1438" s="101">
        <f t="shared" si="89"/>
        <v>0</v>
      </c>
      <c r="H1438" s="101">
        <f t="shared" si="90"/>
        <v>0</v>
      </c>
      <c r="I1438" s="101">
        <f t="shared" si="91"/>
        <v>0</v>
      </c>
      <c r="J1438" s="101">
        <f t="shared" si="92"/>
        <v>0</v>
      </c>
    </row>
    <row r="1439" spans="2:10" x14ac:dyDescent="0.2">
      <c r="B1439" s="93"/>
      <c r="C1439" s="97"/>
      <c r="D1439" s="93"/>
      <c r="E1439" s="98"/>
      <c r="F1439" s="100">
        <v>1435</v>
      </c>
      <c r="G1439" s="101">
        <f t="shared" si="89"/>
        <v>0</v>
      </c>
      <c r="H1439" s="101">
        <f t="shared" si="90"/>
        <v>0</v>
      </c>
      <c r="I1439" s="101">
        <f t="shared" si="91"/>
        <v>0</v>
      </c>
      <c r="J1439" s="101">
        <f t="shared" si="92"/>
        <v>0</v>
      </c>
    </row>
    <row r="1440" spans="2:10" x14ac:dyDescent="0.2">
      <c r="B1440" s="93"/>
      <c r="C1440" s="97"/>
      <c r="D1440" s="93"/>
      <c r="E1440" s="98"/>
      <c r="F1440" s="100">
        <v>1436</v>
      </c>
      <c r="G1440" s="101">
        <f t="shared" si="89"/>
        <v>0</v>
      </c>
      <c r="H1440" s="101">
        <f t="shared" si="90"/>
        <v>0</v>
      </c>
      <c r="I1440" s="101">
        <f t="shared" si="91"/>
        <v>0</v>
      </c>
      <c r="J1440" s="101">
        <f t="shared" si="92"/>
        <v>0</v>
      </c>
    </row>
    <row r="1441" spans="2:10" x14ac:dyDescent="0.2">
      <c r="B1441" s="93"/>
      <c r="C1441" s="97"/>
      <c r="D1441" s="93"/>
      <c r="E1441" s="98"/>
      <c r="F1441" s="100">
        <v>1437</v>
      </c>
      <c r="G1441" s="101">
        <f t="shared" si="89"/>
        <v>0</v>
      </c>
      <c r="H1441" s="101">
        <f t="shared" si="90"/>
        <v>0</v>
      </c>
      <c r="I1441" s="101">
        <f t="shared" si="91"/>
        <v>0</v>
      </c>
      <c r="J1441" s="101">
        <f t="shared" si="92"/>
        <v>0</v>
      </c>
    </row>
    <row r="1442" spans="2:10" x14ac:dyDescent="0.2">
      <c r="B1442" s="93"/>
      <c r="C1442" s="97"/>
      <c r="D1442" s="93"/>
      <c r="E1442" s="98"/>
      <c r="F1442" s="100">
        <v>1438</v>
      </c>
      <c r="G1442" s="101">
        <f t="shared" si="89"/>
        <v>0</v>
      </c>
      <c r="H1442" s="101">
        <f t="shared" si="90"/>
        <v>0</v>
      </c>
      <c r="I1442" s="101">
        <f t="shared" si="91"/>
        <v>0</v>
      </c>
      <c r="J1442" s="101">
        <f t="shared" si="92"/>
        <v>0</v>
      </c>
    </row>
    <row r="1443" spans="2:10" x14ac:dyDescent="0.2">
      <c r="B1443" s="93"/>
      <c r="C1443" s="97"/>
      <c r="D1443" s="93"/>
      <c r="E1443" s="98"/>
      <c r="F1443" s="100">
        <v>1439</v>
      </c>
      <c r="G1443" s="101">
        <f t="shared" si="89"/>
        <v>0</v>
      </c>
      <c r="H1443" s="101">
        <f t="shared" si="90"/>
        <v>0</v>
      </c>
      <c r="I1443" s="101">
        <f t="shared" si="91"/>
        <v>0</v>
      </c>
      <c r="J1443" s="101">
        <f t="shared" si="92"/>
        <v>0</v>
      </c>
    </row>
    <row r="1444" spans="2:10" x14ac:dyDescent="0.2">
      <c r="B1444" s="93"/>
      <c r="C1444" s="97"/>
      <c r="D1444" s="93"/>
      <c r="E1444" s="98"/>
      <c r="F1444" s="100">
        <v>1440</v>
      </c>
      <c r="G1444" s="101">
        <f t="shared" si="89"/>
        <v>0</v>
      </c>
      <c r="H1444" s="101">
        <f t="shared" si="90"/>
        <v>0</v>
      </c>
      <c r="I1444" s="101">
        <f t="shared" si="91"/>
        <v>0</v>
      </c>
      <c r="J1444" s="101">
        <f t="shared" si="92"/>
        <v>0</v>
      </c>
    </row>
    <row r="1445" spans="2:10" x14ac:dyDescent="0.2">
      <c r="B1445" s="93"/>
      <c r="C1445" s="97"/>
      <c r="D1445" s="93"/>
      <c r="E1445" s="98"/>
      <c r="F1445" s="100">
        <v>1441</v>
      </c>
      <c r="G1445" s="101">
        <f t="shared" si="89"/>
        <v>0</v>
      </c>
      <c r="H1445" s="101">
        <f t="shared" si="90"/>
        <v>0</v>
      </c>
      <c r="I1445" s="101">
        <f t="shared" si="91"/>
        <v>0</v>
      </c>
      <c r="J1445" s="101">
        <f t="shared" si="92"/>
        <v>0</v>
      </c>
    </row>
    <row r="1446" spans="2:10" x14ac:dyDescent="0.2">
      <c r="B1446" s="93"/>
      <c r="C1446" s="97"/>
      <c r="D1446" s="93"/>
      <c r="E1446" s="98"/>
      <c r="F1446" s="100">
        <v>1442</v>
      </c>
      <c r="G1446" s="101">
        <f t="shared" si="89"/>
        <v>0</v>
      </c>
      <c r="H1446" s="101">
        <f t="shared" si="90"/>
        <v>0</v>
      </c>
      <c r="I1446" s="101">
        <f t="shared" si="91"/>
        <v>0</v>
      </c>
      <c r="J1446" s="101">
        <f t="shared" si="92"/>
        <v>0</v>
      </c>
    </row>
    <row r="1447" spans="2:10" x14ac:dyDescent="0.2">
      <c r="B1447" s="93"/>
      <c r="C1447" s="97"/>
      <c r="D1447" s="93"/>
      <c r="E1447" s="98"/>
      <c r="F1447" s="100">
        <v>1443</v>
      </c>
      <c r="G1447" s="101">
        <f t="shared" si="89"/>
        <v>0</v>
      </c>
      <c r="H1447" s="101">
        <f t="shared" si="90"/>
        <v>0</v>
      </c>
      <c r="I1447" s="101">
        <f t="shared" si="91"/>
        <v>0</v>
      </c>
      <c r="J1447" s="101">
        <f t="shared" si="92"/>
        <v>0</v>
      </c>
    </row>
    <row r="1448" spans="2:10" x14ac:dyDescent="0.2">
      <c r="B1448" s="93"/>
      <c r="C1448" s="97"/>
      <c r="D1448" s="93"/>
      <c r="E1448" s="98"/>
      <c r="F1448" s="100">
        <v>1444</v>
      </c>
      <c r="G1448" s="101">
        <f t="shared" si="89"/>
        <v>0</v>
      </c>
      <c r="H1448" s="101">
        <f t="shared" si="90"/>
        <v>0</v>
      </c>
      <c r="I1448" s="101">
        <f t="shared" si="91"/>
        <v>0</v>
      </c>
      <c r="J1448" s="101">
        <f t="shared" si="92"/>
        <v>0</v>
      </c>
    </row>
    <row r="1449" spans="2:10" x14ac:dyDescent="0.2">
      <c r="B1449" s="93"/>
      <c r="C1449" s="97"/>
      <c r="D1449" s="93"/>
      <c r="E1449" s="98"/>
      <c r="F1449" s="100">
        <v>1445</v>
      </c>
      <c r="G1449" s="101">
        <f t="shared" si="89"/>
        <v>0</v>
      </c>
      <c r="H1449" s="101">
        <f t="shared" si="90"/>
        <v>0</v>
      </c>
      <c r="I1449" s="101">
        <f t="shared" si="91"/>
        <v>0</v>
      </c>
      <c r="J1449" s="101">
        <f t="shared" si="92"/>
        <v>0</v>
      </c>
    </row>
    <row r="1450" spans="2:10" x14ac:dyDescent="0.2">
      <c r="B1450" s="93"/>
      <c r="C1450" s="97"/>
      <c r="D1450" s="93"/>
      <c r="E1450" s="98"/>
      <c r="F1450" s="100">
        <v>1446</v>
      </c>
      <c r="G1450" s="101">
        <f t="shared" si="89"/>
        <v>0</v>
      </c>
      <c r="H1450" s="101">
        <f t="shared" si="90"/>
        <v>0</v>
      </c>
      <c r="I1450" s="101">
        <f t="shared" si="91"/>
        <v>0</v>
      </c>
      <c r="J1450" s="101">
        <f t="shared" si="92"/>
        <v>0</v>
      </c>
    </row>
    <row r="1451" spans="2:10" x14ac:dyDescent="0.2">
      <c r="B1451" s="93"/>
      <c r="C1451" s="97"/>
      <c r="D1451" s="93"/>
      <c r="E1451" s="98"/>
      <c r="F1451" s="100">
        <v>1447</v>
      </c>
      <c r="G1451" s="101">
        <f t="shared" si="89"/>
        <v>0</v>
      </c>
      <c r="H1451" s="101">
        <f t="shared" si="90"/>
        <v>0</v>
      </c>
      <c r="I1451" s="101">
        <f t="shared" si="91"/>
        <v>0</v>
      </c>
      <c r="J1451" s="101">
        <f t="shared" si="92"/>
        <v>0</v>
      </c>
    </row>
    <row r="1452" spans="2:10" x14ac:dyDescent="0.2">
      <c r="B1452" s="93"/>
      <c r="C1452" s="97"/>
      <c r="D1452" s="93"/>
      <c r="E1452" s="98"/>
      <c r="F1452" s="100">
        <v>1448</v>
      </c>
      <c r="G1452" s="101">
        <f t="shared" si="89"/>
        <v>0</v>
      </c>
      <c r="H1452" s="101">
        <f t="shared" si="90"/>
        <v>0</v>
      </c>
      <c r="I1452" s="101">
        <f t="shared" si="91"/>
        <v>0</v>
      </c>
      <c r="J1452" s="101">
        <f t="shared" si="92"/>
        <v>0</v>
      </c>
    </row>
    <row r="1453" spans="2:10" x14ac:dyDescent="0.2">
      <c r="B1453" s="93"/>
      <c r="C1453" s="97"/>
      <c r="D1453" s="93"/>
      <c r="E1453" s="98"/>
      <c r="F1453" s="100">
        <v>1449</v>
      </c>
      <c r="G1453" s="101">
        <f t="shared" si="89"/>
        <v>0</v>
      </c>
      <c r="H1453" s="101">
        <f t="shared" si="90"/>
        <v>0</v>
      </c>
      <c r="I1453" s="101">
        <f t="shared" si="91"/>
        <v>0</v>
      </c>
      <c r="J1453" s="101">
        <f t="shared" si="92"/>
        <v>0</v>
      </c>
    </row>
    <row r="1454" spans="2:10" x14ac:dyDescent="0.2">
      <c r="B1454" s="93"/>
      <c r="C1454" s="97"/>
      <c r="D1454" s="93"/>
      <c r="E1454" s="98"/>
      <c r="F1454" s="100">
        <v>1450</v>
      </c>
      <c r="G1454" s="101">
        <f t="shared" si="89"/>
        <v>0</v>
      </c>
      <c r="H1454" s="101">
        <f t="shared" si="90"/>
        <v>0</v>
      </c>
      <c r="I1454" s="101">
        <f t="shared" si="91"/>
        <v>0</v>
      </c>
      <c r="J1454" s="101">
        <f t="shared" si="92"/>
        <v>0</v>
      </c>
    </row>
    <row r="1455" spans="2:10" x14ac:dyDescent="0.2">
      <c r="B1455" s="93"/>
      <c r="C1455" s="97"/>
      <c r="D1455" s="93"/>
      <c r="E1455" s="98"/>
      <c r="F1455" s="100">
        <v>1451</v>
      </c>
      <c r="G1455" s="101">
        <f t="shared" si="89"/>
        <v>0</v>
      </c>
      <c r="H1455" s="101">
        <f t="shared" si="90"/>
        <v>0</v>
      </c>
      <c r="I1455" s="101">
        <f t="shared" si="91"/>
        <v>0</v>
      </c>
      <c r="J1455" s="101">
        <f t="shared" si="92"/>
        <v>0</v>
      </c>
    </row>
    <row r="1456" spans="2:10" x14ac:dyDescent="0.2">
      <c r="B1456" s="93"/>
      <c r="C1456" s="97"/>
      <c r="D1456" s="93"/>
      <c r="E1456" s="98"/>
      <c r="F1456" s="100">
        <v>1452</v>
      </c>
      <c r="G1456" s="101">
        <f t="shared" si="89"/>
        <v>0</v>
      </c>
      <c r="H1456" s="101">
        <f t="shared" si="90"/>
        <v>0</v>
      </c>
      <c r="I1456" s="101">
        <f t="shared" si="91"/>
        <v>0</v>
      </c>
      <c r="J1456" s="101">
        <f t="shared" si="92"/>
        <v>0</v>
      </c>
    </row>
    <row r="1457" spans="2:10" x14ac:dyDescent="0.2">
      <c r="B1457" s="93"/>
      <c r="C1457" s="97"/>
      <c r="D1457" s="93"/>
      <c r="E1457" s="98"/>
      <c r="F1457" s="100">
        <v>1453</v>
      </c>
      <c r="G1457" s="101">
        <f t="shared" si="89"/>
        <v>0</v>
      </c>
      <c r="H1457" s="101">
        <f t="shared" si="90"/>
        <v>0</v>
      </c>
      <c r="I1457" s="101">
        <f t="shared" si="91"/>
        <v>0</v>
      </c>
      <c r="J1457" s="101">
        <f t="shared" si="92"/>
        <v>0</v>
      </c>
    </row>
    <row r="1458" spans="2:10" x14ac:dyDescent="0.2">
      <c r="B1458" s="93"/>
      <c r="C1458" s="97"/>
      <c r="D1458" s="93"/>
      <c r="E1458" s="98"/>
      <c r="F1458" s="100">
        <v>1454</v>
      </c>
      <c r="G1458" s="101">
        <f t="shared" si="89"/>
        <v>0</v>
      </c>
      <c r="H1458" s="101">
        <f t="shared" si="90"/>
        <v>0</v>
      </c>
      <c r="I1458" s="101">
        <f t="shared" si="91"/>
        <v>0</v>
      </c>
      <c r="J1458" s="101">
        <f t="shared" si="92"/>
        <v>0</v>
      </c>
    </row>
    <row r="1459" spans="2:10" x14ac:dyDescent="0.2">
      <c r="B1459" s="93"/>
      <c r="C1459" s="97"/>
      <c r="D1459" s="93"/>
      <c r="E1459" s="98"/>
      <c r="F1459" s="100">
        <v>1455</v>
      </c>
      <c r="G1459" s="101">
        <f t="shared" si="89"/>
        <v>0</v>
      </c>
      <c r="H1459" s="101">
        <f t="shared" si="90"/>
        <v>0</v>
      </c>
      <c r="I1459" s="101">
        <f t="shared" si="91"/>
        <v>0</v>
      </c>
      <c r="J1459" s="101">
        <f t="shared" si="92"/>
        <v>0</v>
      </c>
    </row>
    <row r="1460" spans="2:10" x14ac:dyDescent="0.2">
      <c r="B1460" s="93"/>
      <c r="C1460" s="97"/>
      <c r="D1460" s="93"/>
      <c r="E1460" s="98"/>
      <c r="F1460" s="100">
        <v>1456</v>
      </c>
      <c r="G1460" s="101">
        <f t="shared" si="89"/>
        <v>0</v>
      </c>
      <c r="H1460" s="101">
        <f t="shared" si="90"/>
        <v>0</v>
      </c>
      <c r="I1460" s="101">
        <f t="shared" si="91"/>
        <v>0</v>
      </c>
      <c r="J1460" s="101">
        <f t="shared" si="92"/>
        <v>0</v>
      </c>
    </row>
    <row r="1461" spans="2:10" x14ac:dyDescent="0.2">
      <c r="B1461" s="93"/>
      <c r="C1461" s="97"/>
      <c r="D1461" s="93"/>
      <c r="E1461" s="98"/>
      <c r="F1461" s="100">
        <v>1457</v>
      </c>
      <c r="G1461" s="101">
        <f t="shared" si="89"/>
        <v>0</v>
      </c>
      <c r="H1461" s="101">
        <f t="shared" si="90"/>
        <v>0</v>
      </c>
      <c r="I1461" s="101">
        <f t="shared" si="91"/>
        <v>0</v>
      </c>
      <c r="J1461" s="101">
        <f t="shared" si="92"/>
        <v>0</v>
      </c>
    </row>
    <row r="1462" spans="2:10" x14ac:dyDescent="0.2">
      <c r="B1462" s="93"/>
      <c r="C1462" s="97"/>
      <c r="D1462" s="93"/>
      <c r="E1462" s="98"/>
      <c r="F1462" s="100">
        <v>1458</v>
      </c>
      <c r="G1462" s="101">
        <f t="shared" si="89"/>
        <v>0</v>
      </c>
      <c r="H1462" s="101">
        <f t="shared" si="90"/>
        <v>0</v>
      </c>
      <c r="I1462" s="101">
        <f t="shared" si="91"/>
        <v>0</v>
      </c>
      <c r="J1462" s="101">
        <f t="shared" si="92"/>
        <v>0</v>
      </c>
    </row>
    <row r="1463" spans="2:10" x14ac:dyDescent="0.2">
      <c r="B1463" s="93"/>
      <c r="C1463" s="97"/>
      <c r="D1463" s="93"/>
      <c r="E1463" s="98"/>
      <c r="F1463" s="100">
        <v>1459</v>
      </c>
      <c r="G1463" s="101">
        <f t="shared" si="89"/>
        <v>0</v>
      </c>
      <c r="H1463" s="101">
        <f t="shared" si="90"/>
        <v>0</v>
      </c>
      <c r="I1463" s="101">
        <f t="shared" si="91"/>
        <v>0</v>
      </c>
      <c r="J1463" s="101">
        <f t="shared" si="92"/>
        <v>0</v>
      </c>
    </row>
    <row r="1464" spans="2:10" x14ac:dyDescent="0.2">
      <c r="B1464" s="93"/>
      <c r="C1464" s="97"/>
      <c r="D1464" s="93"/>
      <c r="E1464" s="98"/>
      <c r="F1464" s="100">
        <v>1460</v>
      </c>
      <c r="G1464" s="101">
        <f t="shared" si="89"/>
        <v>0</v>
      </c>
      <c r="H1464" s="101">
        <f t="shared" si="90"/>
        <v>0</v>
      </c>
      <c r="I1464" s="101">
        <f t="shared" si="91"/>
        <v>0</v>
      </c>
      <c r="J1464" s="101">
        <f t="shared" si="92"/>
        <v>0</v>
      </c>
    </row>
    <row r="1465" spans="2:10" x14ac:dyDescent="0.2">
      <c r="B1465" s="93"/>
      <c r="C1465" s="97"/>
      <c r="D1465" s="93"/>
      <c r="E1465" s="98"/>
      <c r="F1465" s="100">
        <v>1461</v>
      </c>
      <c r="G1465" s="101">
        <f t="shared" si="89"/>
        <v>0</v>
      </c>
      <c r="H1465" s="101">
        <f t="shared" si="90"/>
        <v>0</v>
      </c>
      <c r="I1465" s="101">
        <f t="shared" si="91"/>
        <v>0</v>
      </c>
      <c r="J1465" s="101">
        <f t="shared" si="92"/>
        <v>0</v>
      </c>
    </row>
    <row r="1466" spans="2:10" x14ac:dyDescent="0.2">
      <c r="B1466" s="93"/>
      <c r="C1466" s="97"/>
      <c r="D1466" s="93"/>
      <c r="E1466" s="98"/>
      <c r="F1466" s="100">
        <v>1462</v>
      </c>
      <c r="G1466" s="101">
        <f t="shared" si="89"/>
        <v>0</v>
      </c>
      <c r="H1466" s="101">
        <f t="shared" si="90"/>
        <v>0</v>
      </c>
      <c r="I1466" s="101">
        <f t="shared" si="91"/>
        <v>0</v>
      </c>
      <c r="J1466" s="101">
        <f t="shared" si="92"/>
        <v>0</v>
      </c>
    </row>
    <row r="1467" spans="2:10" x14ac:dyDescent="0.2">
      <c r="B1467" s="93"/>
      <c r="C1467" s="97"/>
      <c r="D1467" s="93"/>
      <c r="E1467" s="98"/>
      <c r="F1467" s="100">
        <v>1463</v>
      </c>
      <c r="G1467" s="101">
        <f t="shared" si="89"/>
        <v>0</v>
      </c>
      <c r="H1467" s="101">
        <f t="shared" si="90"/>
        <v>0</v>
      </c>
      <c r="I1467" s="101">
        <f t="shared" si="91"/>
        <v>0</v>
      </c>
      <c r="J1467" s="101">
        <f t="shared" si="92"/>
        <v>0</v>
      </c>
    </row>
    <row r="1468" spans="2:10" x14ac:dyDescent="0.2">
      <c r="B1468" s="93"/>
      <c r="C1468" s="97"/>
      <c r="D1468" s="93"/>
      <c r="E1468" s="98"/>
      <c r="F1468" s="100">
        <v>1464</v>
      </c>
      <c r="G1468" s="101">
        <f t="shared" si="89"/>
        <v>0</v>
      </c>
      <c r="H1468" s="101">
        <f t="shared" si="90"/>
        <v>0</v>
      </c>
      <c r="I1468" s="101">
        <f t="shared" si="91"/>
        <v>0</v>
      </c>
      <c r="J1468" s="101">
        <f t="shared" si="92"/>
        <v>0</v>
      </c>
    </row>
    <row r="1469" spans="2:10" x14ac:dyDescent="0.2">
      <c r="B1469" s="93"/>
      <c r="C1469" s="97"/>
      <c r="D1469" s="93"/>
      <c r="E1469" s="98"/>
      <c r="F1469" s="100">
        <v>1465</v>
      </c>
      <c r="G1469" s="101">
        <f t="shared" si="89"/>
        <v>0</v>
      </c>
      <c r="H1469" s="101">
        <f t="shared" si="90"/>
        <v>0</v>
      </c>
      <c r="I1469" s="101">
        <f t="shared" si="91"/>
        <v>0</v>
      </c>
      <c r="J1469" s="101">
        <f t="shared" si="92"/>
        <v>0</v>
      </c>
    </row>
    <row r="1470" spans="2:10" x14ac:dyDescent="0.2">
      <c r="B1470" s="93"/>
      <c r="C1470" s="97"/>
      <c r="D1470" s="93"/>
      <c r="E1470" s="98"/>
      <c r="F1470" s="100">
        <v>1466</v>
      </c>
      <c r="G1470" s="101">
        <f t="shared" si="89"/>
        <v>0</v>
      </c>
      <c r="H1470" s="101">
        <f t="shared" si="90"/>
        <v>0</v>
      </c>
      <c r="I1470" s="101">
        <f t="shared" si="91"/>
        <v>0</v>
      </c>
      <c r="J1470" s="101">
        <f t="shared" si="92"/>
        <v>0</v>
      </c>
    </row>
    <row r="1471" spans="2:10" x14ac:dyDescent="0.2">
      <c r="B1471" s="93"/>
      <c r="C1471" s="97"/>
      <c r="D1471" s="93"/>
      <c r="E1471" s="98"/>
      <c r="F1471" s="100">
        <v>1467</v>
      </c>
      <c r="G1471" s="101">
        <f t="shared" si="89"/>
        <v>0</v>
      </c>
      <c r="H1471" s="101">
        <f t="shared" si="90"/>
        <v>0</v>
      </c>
      <c r="I1471" s="101">
        <f t="shared" si="91"/>
        <v>0</v>
      </c>
      <c r="J1471" s="101">
        <f t="shared" si="92"/>
        <v>0</v>
      </c>
    </row>
    <row r="1472" spans="2:10" x14ac:dyDescent="0.2">
      <c r="B1472" s="93"/>
      <c r="C1472" s="97"/>
      <c r="D1472" s="93"/>
      <c r="E1472" s="98"/>
      <c r="F1472" s="100">
        <v>1468</v>
      </c>
      <c r="G1472" s="101">
        <f t="shared" si="89"/>
        <v>0</v>
      </c>
      <c r="H1472" s="101">
        <f t="shared" si="90"/>
        <v>0</v>
      </c>
      <c r="I1472" s="101">
        <f t="shared" si="91"/>
        <v>0</v>
      </c>
      <c r="J1472" s="101">
        <f t="shared" si="92"/>
        <v>0</v>
      </c>
    </row>
    <row r="1473" spans="2:10" x14ac:dyDescent="0.2">
      <c r="B1473" s="93"/>
      <c r="C1473" s="97"/>
      <c r="D1473" s="93"/>
      <c r="E1473" s="98"/>
      <c r="F1473" s="100">
        <v>1469</v>
      </c>
      <c r="G1473" s="101">
        <f t="shared" si="89"/>
        <v>0</v>
      </c>
      <c r="H1473" s="101">
        <f t="shared" si="90"/>
        <v>0</v>
      </c>
      <c r="I1473" s="101">
        <f t="shared" si="91"/>
        <v>0</v>
      </c>
      <c r="J1473" s="101">
        <f t="shared" si="92"/>
        <v>0</v>
      </c>
    </row>
    <row r="1474" spans="2:10" x14ac:dyDescent="0.2">
      <c r="B1474" s="93"/>
      <c r="C1474" s="97"/>
      <c r="D1474" s="93"/>
      <c r="E1474" s="98"/>
      <c r="F1474" s="100">
        <v>1470</v>
      </c>
      <c r="G1474" s="101">
        <f t="shared" si="89"/>
        <v>0</v>
      </c>
      <c r="H1474" s="101">
        <f t="shared" si="90"/>
        <v>0</v>
      </c>
      <c r="I1474" s="101">
        <f t="shared" si="91"/>
        <v>0</v>
      </c>
      <c r="J1474" s="101">
        <f t="shared" si="92"/>
        <v>0</v>
      </c>
    </row>
    <row r="1475" spans="2:10" x14ac:dyDescent="0.2">
      <c r="B1475" s="93"/>
      <c r="C1475" s="97"/>
      <c r="D1475" s="93"/>
      <c r="E1475" s="98"/>
      <c r="F1475" s="100">
        <v>1471</v>
      </c>
      <c r="G1475" s="101">
        <f t="shared" si="89"/>
        <v>0</v>
      </c>
      <c r="H1475" s="101">
        <f t="shared" si="90"/>
        <v>0</v>
      </c>
      <c r="I1475" s="101">
        <f t="shared" si="91"/>
        <v>0</v>
      </c>
      <c r="J1475" s="101">
        <f t="shared" si="92"/>
        <v>0</v>
      </c>
    </row>
    <row r="1476" spans="2:10" x14ac:dyDescent="0.2">
      <c r="B1476" s="93"/>
      <c r="C1476" s="97"/>
      <c r="D1476" s="93"/>
      <c r="E1476" s="98"/>
      <c r="F1476" s="100">
        <v>1472</v>
      </c>
      <c r="G1476" s="101">
        <f t="shared" si="89"/>
        <v>0</v>
      </c>
      <c r="H1476" s="101">
        <f t="shared" si="90"/>
        <v>0</v>
      </c>
      <c r="I1476" s="101">
        <f t="shared" si="91"/>
        <v>0</v>
      </c>
      <c r="J1476" s="101">
        <f t="shared" si="92"/>
        <v>0</v>
      </c>
    </row>
    <row r="1477" spans="2:10" x14ac:dyDescent="0.2">
      <c r="B1477" s="93"/>
      <c r="C1477" s="97"/>
      <c r="D1477" s="93"/>
      <c r="E1477" s="98"/>
      <c r="F1477" s="100">
        <v>1473</v>
      </c>
      <c r="G1477" s="101">
        <f t="shared" si="89"/>
        <v>0</v>
      </c>
      <c r="H1477" s="101">
        <f t="shared" si="90"/>
        <v>0</v>
      </c>
      <c r="I1477" s="101">
        <f t="shared" si="91"/>
        <v>0</v>
      </c>
      <c r="J1477" s="101">
        <f t="shared" si="92"/>
        <v>0</v>
      </c>
    </row>
    <row r="1478" spans="2:10" x14ac:dyDescent="0.2">
      <c r="B1478" s="93"/>
      <c r="C1478" s="97"/>
      <c r="D1478" s="93"/>
      <c r="E1478" s="98"/>
      <c r="F1478" s="100">
        <v>1474</v>
      </c>
      <c r="G1478" s="101">
        <f t="shared" ref="G1478:G1541" si="93">B1478</f>
        <v>0</v>
      </c>
      <c r="H1478" s="101">
        <f t="shared" ref="H1478:H1541" si="94">C1478</f>
        <v>0</v>
      </c>
      <c r="I1478" s="101">
        <f t="shared" ref="I1478:I1541" si="95">D1478</f>
        <v>0</v>
      </c>
      <c r="J1478" s="101">
        <f t="shared" ref="J1478:J1541" si="96">E1478</f>
        <v>0</v>
      </c>
    </row>
    <row r="1479" spans="2:10" x14ac:dyDescent="0.2">
      <c r="B1479" s="93"/>
      <c r="C1479" s="97"/>
      <c r="D1479" s="93"/>
      <c r="E1479" s="98"/>
      <c r="F1479" s="100">
        <v>1475</v>
      </c>
      <c r="G1479" s="101">
        <f t="shared" si="93"/>
        <v>0</v>
      </c>
      <c r="H1479" s="101">
        <f t="shared" si="94"/>
        <v>0</v>
      </c>
      <c r="I1479" s="101">
        <f t="shared" si="95"/>
        <v>0</v>
      </c>
      <c r="J1479" s="101">
        <f t="shared" si="96"/>
        <v>0</v>
      </c>
    </row>
    <row r="1480" spans="2:10" x14ac:dyDescent="0.2">
      <c r="B1480" s="93"/>
      <c r="C1480" s="97"/>
      <c r="D1480" s="93"/>
      <c r="E1480" s="98"/>
      <c r="F1480" s="100">
        <v>1476</v>
      </c>
      <c r="G1480" s="101">
        <f t="shared" si="93"/>
        <v>0</v>
      </c>
      <c r="H1480" s="101">
        <f t="shared" si="94"/>
        <v>0</v>
      </c>
      <c r="I1480" s="101">
        <f t="shared" si="95"/>
        <v>0</v>
      </c>
      <c r="J1480" s="101">
        <f t="shared" si="96"/>
        <v>0</v>
      </c>
    </row>
    <row r="1481" spans="2:10" x14ac:dyDescent="0.2">
      <c r="B1481" s="93"/>
      <c r="C1481" s="97"/>
      <c r="D1481" s="93"/>
      <c r="E1481" s="98"/>
      <c r="F1481" s="100">
        <v>1477</v>
      </c>
      <c r="G1481" s="101">
        <f t="shared" si="93"/>
        <v>0</v>
      </c>
      <c r="H1481" s="101">
        <f t="shared" si="94"/>
        <v>0</v>
      </c>
      <c r="I1481" s="101">
        <f t="shared" si="95"/>
        <v>0</v>
      </c>
      <c r="J1481" s="101">
        <f t="shared" si="96"/>
        <v>0</v>
      </c>
    </row>
    <row r="1482" spans="2:10" x14ac:dyDescent="0.2">
      <c r="B1482" s="93"/>
      <c r="C1482" s="97"/>
      <c r="D1482" s="93"/>
      <c r="E1482" s="98"/>
      <c r="F1482" s="100">
        <v>1478</v>
      </c>
      <c r="G1482" s="101">
        <f t="shared" si="93"/>
        <v>0</v>
      </c>
      <c r="H1482" s="101">
        <f t="shared" si="94"/>
        <v>0</v>
      </c>
      <c r="I1482" s="101">
        <f t="shared" si="95"/>
        <v>0</v>
      </c>
      <c r="J1482" s="101">
        <f t="shared" si="96"/>
        <v>0</v>
      </c>
    </row>
    <row r="1483" spans="2:10" x14ac:dyDescent="0.2">
      <c r="B1483" s="93"/>
      <c r="C1483" s="97"/>
      <c r="D1483" s="93"/>
      <c r="E1483" s="98"/>
      <c r="F1483" s="100">
        <v>1479</v>
      </c>
      <c r="G1483" s="101">
        <f t="shared" si="93"/>
        <v>0</v>
      </c>
      <c r="H1483" s="101">
        <f t="shared" si="94"/>
        <v>0</v>
      </c>
      <c r="I1483" s="101">
        <f t="shared" si="95"/>
        <v>0</v>
      </c>
      <c r="J1483" s="101">
        <f t="shared" si="96"/>
        <v>0</v>
      </c>
    </row>
    <row r="1484" spans="2:10" x14ac:dyDescent="0.2">
      <c r="B1484" s="93"/>
      <c r="C1484" s="97"/>
      <c r="D1484" s="93"/>
      <c r="E1484" s="98"/>
      <c r="F1484" s="100">
        <v>1480</v>
      </c>
      <c r="G1484" s="101">
        <f t="shared" si="93"/>
        <v>0</v>
      </c>
      <c r="H1484" s="101">
        <f t="shared" si="94"/>
        <v>0</v>
      </c>
      <c r="I1484" s="101">
        <f t="shared" si="95"/>
        <v>0</v>
      </c>
      <c r="J1484" s="101">
        <f t="shared" si="96"/>
        <v>0</v>
      </c>
    </row>
    <row r="1485" spans="2:10" x14ac:dyDescent="0.2">
      <c r="B1485" s="93"/>
      <c r="C1485" s="97"/>
      <c r="D1485" s="93"/>
      <c r="E1485" s="98"/>
      <c r="F1485" s="100">
        <v>1481</v>
      </c>
      <c r="G1485" s="101">
        <f t="shared" si="93"/>
        <v>0</v>
      </c>
      <c r="H1485" s="101">
        <f t="shared" si="94"/>
        <v>0</v>
      </c>
      <c r="I1485" s="101">
        <f t="shared" si="95"/>
        <v>0</v>
      </c>
      <c r="J1485" s="101">
        <f t="shared" si="96"/>
        <v>0</v>
      </c>
    </row>
    <row r="1486" spans="2:10" x14ac:dyDescent="0.2">
      <c r="B1486" s="93"/>
      <c r="C1486" s="97"/>
      <c r="D1486" s="93"/>
      <c r="E1486" s="98"/>
      <c r="F1486" s="100">
        <v>1482</v>
      </c>
      <c r="G1486" s="101">
        <f t="shared" si="93"/>
        <v>0</v>
      </c>
      <c r="H1486" s="101">
        <f t="shared" si="94"/>
        <v>0</v>
      </c>
      <c r="I1486" s="101">
        <f t="shared" si="95"/>
        <v>0</v>
      </c>
      <c r="J1486" s="101">
        <f t="shared" si="96"/>
        <v>0</v>
      </c>
    </row>
    <row r="1487" spans="2:10" x14ac:dyDescent="0.2">
      <c r="B1487" s="93"/>
      <c r="C1487" s="97"/>
      <c r="D1487" s="93"/>
      <c r="E1487" s="98"/>
      <c r="F1487" s="100">
        <v>1483</v>
      </c>
      <c r="G1487" s="101">
        <f t="shared" si="93"/>
        <v>0</v>
      </c>
      <c r="H1487" s="101">
        <f t="shared" si="94"/>
        <v>0</v>
      </c>
      <c r="I1487" s="101">
        <f t="shared" si="95"/>
        <v>0</v>
      </c>
      <c r="J1487" s="101">
        <f t="shared" si="96"/>
        <v>0</v>
      </c>
    </row>
    <row r="1488" spans="2:10" x14ac:dyDescent="0.2">
      <c r="B1488" s="93"/>
      <c r="C1488" s="97"/>
      <c r="D1488" s="93"/>
      <c r="E1488" s="98"/>
      <c r="F1488" s="100">
        <v>1484</v>
      </c>
      <c r="G1488" s="101">
        <f t="shared" si="93"/>
        <v>0</v>
      </c>
      <c r="H1488" s="101">
        <f t="shared" si="94"/>
        <v>0</v>
      </c>
      <c r="I1488" s="101">
        <f t="shared" si="95"/>
        <v>0</v>
      </c>
      <c r="J1488" s="101">
        <f t="shared" si="96"/>
        <v>0</v>
      </c>
    </row>
    <row r="1489" spans="2:10" x14ac:dyDescent="0.2">
      <c r="B1489" s="93"/>
      <c r="C1489" s="97"/>
      <c r="D1489" s="93"/>
      <c r="E1489" s="98"/>
      <c r="F1489" s="100">
        <v>1485</v>
      </c>
      <c r="G1489" s="101">
        <f t="shared" si="93"/>
        <v>0</v>
      </c>
      <c r="H1489" s="101">
        <f t="shared" si="94"/>
        <v>0</v>
      </c>
      <c r="I1489" s="101">
        <f t="shared" si="95"/>
        <v>0</v>
      </c>
      <c r="J1489" s="101">
        <f t="shared" si="96"/>
        <v>0</v>
      </c>
    </row>
    <row r="1490" spans="2:10" x14ac:dyDescent="0.2">
      <c r="B1490" s="93"/>
      <c r="C1490" s="97"/>
      <c r="D1490" s="93"/>
      <c r="E1490" s="98"/>
      <c r="F1490" s="100">
        <v>1486</v>
      </c>
      <c r="G1490" s="101">
        <f t="shared" si="93"/>
        <v>0</v>
      </c>
      <c r="H1490" s="101">
        <f t="shared" si="94"/>
        <v>0</v>
      </c>
      <c r="I1490" s="101">
        <f t="shared" si="95"/>
        <v>0</v>
      </c>
      <c r="J1490" s="101">
        <f t="shared" si="96"/>
        <v>0</v>
      </c>
    </row>
    <row r="1491" spans="2:10" x14ac:dyDescent="0.2">
      <c r="B1491" s="93"/>
      <c r="C1491" s="97"/>
      <c r="D1491" s="93"/>
      <c r="E1491" s="98"/>
      <c r="F1491" s="100">
        <v>1487</v>
      </c>
      <c r="G1491" s="101">
        <f t="shared" si="93"/>
        <v>0</v>
      </c>
      <c r="H1491" s="101">
        <f t="shared" si="94"/>
        <v>0</v>
      </c>
      <c r="I1491" s="101">
        <f t="shared" si="95"/>
        <v>0</v>
      </c>
      <c r="J1491" s="101">
        <f t="shared" si="96"/>
        <v>0</v>
      </c>
    </row>
    <row r="1492" spans="2:10" x14ac:dyDescent="0.2">
      <c r="B1492" s="93"/>
      <c r="C1492" s="97"/>
      <c r="D1492" s="93"/>
      <c r="E1492" s="98"/>
      <c r="F1492" s="100">
        <v>1488</v>
      </c>
      <c r="G1492" s="101">
        <f t="shared" si="93"/>
        <v>0</v>
      </c>
      <c r="H1492" s="101">
        <f t="shared" si="94"/>
        <v>0</v>
      </c>
      <c r="I1492" s="101">
        <f t="shared" si="95"/>
        <v>0</v>
      </c>
      <c r="J1492" s="101">
        <f t="shared" si="96"/>
        <v>0</v>
      </c>
    </row>
    <row r="1493" spans="2:10" x14ac:dyDescent="0.2">
      <c r="B1493" s="93"/>
      <c r="C1493" s="97"/>
      <c r="D1493" s="93"/>
      <c r="E1493" s="98"/>
      <c r="F1493" s="100">
        <v>1489</v>
      </c>
      <c r="G1493" s="101">
        <f t="shared" si="93"/>
        <v>0</v>
      </c>
      <c r="H1493" s="101">
        <f t="shared" si="94"/>
        <v>0</v>
      </c>
      <c r="I1493" s="101">
        <f t="shared" si="95"/>
        <v>0</v>
      </c>
      <c r="J1493" s="101">
        <f t="shared" si="96"/>
        <v>0</v>
      </c>
    </row>
    <row r="1494" spans="2:10" x14ac:dyDescent="0.2">
      <c r="B1494" s="93"/>
      <c r="C1494" s="97"/>
      <c r="D1494" s="93"/>
      <c r="E1494" s="98"/>
      <c r="F1494" s="100">
        <v>1490</v>
      </c>
      <c r="G1494" s="101">
        <f t="shared" si="93"/>
        <v>0</v>
      </c>
      <c r="H1494" s="101">
        <f t="shared" si="94"/>
        <v>0</v>
      </c>
      <c r="I1494" s="101">
        <f t="shared" si="95"/>
        <v>0</v>
      </c>
      <c r="J1494" s="101">
        <f t="shared" si="96"/>
        <v>0</v>
      </c>
    </row>
    <row r="1495" spans="2:10" x14ac:dyDescent="0.2">
      <c r="B1495" s="93"/>
      <c r="C1495" s="97"/>
      <c r="D1495" s="93"/>
      <c r="E1495" s="98"/>
      <c r="F1495" s="100">
        <v>1491</v>
      </c>
      <c r="G1495" s="101">
        <f t="shared" si="93"/>
        <v>0</v>
      </c>
      <c r="H1495" s="101">
        <f t="shared" si="94"/>
        <v>0</v>
      </c>
      <c r="I1495" s="101">
        <f t="shared" si="95"/>
        <v>0</v>
      </c>
      <c r="J1495" s="101">
        <f t="shared" si="96"/>
        <v>0</v>
      </c>
    </row>
    <row r="1496" spans="2:10" x14ac:dyDescent="0.2">
      <c r="B1496" s="93"/>
      <c r="C1496" s="97"/>
      <c r="D1496" s="93"/>
      <c r="E1496" s="98"/>
      <c r="F1496" s="100">
        <v>1492</v>
      </c>
      <c r="G1496" s="101">
        <f t="shared" si="93"/>
        <v>0</v>
      </c>
      <c r="H1496" s="101">
        <f t="shared" si="94"/>
        <v>0</v>
      </c>
      <c r="I1496" s="101">
        <f t="shared" si="95"/>
        <v>0</v>
      </c>
      <c r="J1496" s="101">
        <f t="shared" si="96"/>
        <v>0</v>
      </c>
    </row>
    <row r="1497" spans="2:10" x14ac:dyDescent="0.2">
      <c r="B1497" s="93"/>
      <c r="C1497" s="97"/>
      <c r="D1497" s="93"/>
      <c r="E1497" s="98"/>
      <c r="F1497" s="100">
        <v>1493</v>
      </c>
      <c r="G1497" s="101">
        <f t="shared" si="93"/>
        <v>0</v>
      </c>
      <c r="H1497" s="101">
        <f t="shared" si="94"/>
        <v>0</v>
      </c>
      <c r="I1497" s="101">
        <f t="shared" si="95"/>
        <v>0</v>
      </c>
      <c r="J1497" s="101">
        <f t="shared" si="96"/>
        <v>0</v>
      </c>
    </row>
    <row r="1498" spans="2:10" x14ac:dyDescent="0.2">
      <c r="B1498" s="93"/>
      <c r="C1498" s="97"/>
      <c r="D1498" s="93"/>
      <c r="E1498" s="98"/>
      <c r="F1498" s="100">
        <v>1494</v>
      </c>
      <c r="G1498" s="101">
        <f t="shared" si="93"/>
        <v>0</v>
      </c>
      <c r="H1498" s="101">
        <f t="shared" si="94"/>
        <v>0</v>
      </c>
      <c r="I1498" s="101">
        <f t="shared" si="95"/>
        <v>0</v>
      </c>
      <c r="J1498" s="101">
        <f t="shared" si="96"/>
        <v>0</v>
      </c>
    </row>
    <row r="1499" spans="2:10" x14ac:dyDescent="0.2">
      <c r="B1499" s="93"/>
      <c r="C1499" s="97"/>
      <c r="D1499" s="93"/>
      <c r="E1499" s="98"/>
      <c r="F1499" s="100">
        <v>1495</v>
      </c>
      <c r="G1499" s="101">
        <f t="shared" si="93"/>
        <v>0</v>
      </c>
      <c r="H1499" s="101">
        <f t="shared" si="94"/>
        <v>0</v>
      </c>
      <c r="I1499" s="101">
        <f t="shared" si="95"/>
        <v>0</v>
      </c>
      <c r="J1499" s="101">
        <f t="shared" si="96"/>
        <v>0</v>
      </c>
    </row>
    <row r="1500" spans="2:10" x14ac:dyDescent="0.2">
      <c r="B1500" s="93"/>
      <c r="C1500" s="97"/>
      <c r="D1500" s="93"/>
      <c r="E1500" s="98"/>
      <c r="F1500" s="100">
        <v>1496</v>
      </c>
      <c r="G1500" s="101">
        <f t="shared" si="93"/>
        <v>0</v>
      </c>
      <c r="H1500" s="101">
        <f t="shared" si="94"/>
        <v>0</v>
      </c>
      <c r="I1500" s="101">
        <f t="shared" si="95"/>
        <v>0</v>
      </c>
      <c r="J1500" s="101">
        <f t="shared" si="96"/>
        <v>0</v>
      </c>
    </row>
    <row r="1501" spans="2:10" x14ac:dyDescent="0.2">
      <c r="B1501" s="93"/>
      <c r="C1501" s="97"/>
      <c r="D1501" s="93"/>
      <c r="E1501" s="98"/>
      <c r="F1501" s="100">
        <v>1497</v>
      </c>
      <c r="G1501" s="101">
        <f t="shared" si="93"/>
        <v>0</v>
      </c>
      <c r="H1501" s="101">
        <f t="shared" si="94"/>
        <v>0</v>
      </c>
      <c r="I1501" s="101">
        <f t="shared" si="95"/>
        <v>0</v>
      </c>
      <c r="J1501" s="101">
        <f t="shared" si="96"/>
        <v>0</v>
      </c>
    </row>
    <row r="1502" spans="2:10" x14ac:dyDescent="0.2">
      <c r="B1502" s="93"/>
      <c r="C1502" s="97"/>
      <c r="D1502" s="93"/>
      <c r="E1502" s="98"/>
      <c r="F1502" s="100">
        <v>1498</v>
      </c>
      <c r="G1502" s="101">
        <f t="shared" si="93"/>
        <v>0</v>
      </c>
      <c r="H1502" s="101">
        <f t="shared" si="94"/>
        <v>0</v>
      </c>
      <c r="I1502" s="101">
        <f t="shared" si="95"/>
        <v>0</v>
      </c>
      <c r="J1502" s="101">
        <f t="shared" si="96"/>
        <v>0</v>
      </c>
    </row>
    <row r="1503" spans="2:10" x14ac:dyDescent="0.2">
      <c r="B1503" s="93"/>
      <c r="C1503" s="97"/>
      <c r="D1503" s="93"/>
      <c r="E1503" s="98"/>
      <c r="F1503" s="100">
        <v>1499</v>
      </c>
      <c r="G1503" s="101">
        <f t="shared" si="93"/>
        <v>0</v>
      </c>
      <c r="H1503" s="101">
        <f t="shared" si="94"/>
        <v>0</v>
      </c>
      <c r="I1503" s="101">
        <f t="shared" si="95"/>
        <v>0</v>
      </c>
      <c r="J1503" s="101">
        <f t="shared" si="96"/>
        <v>0</v>
      </c>
    </row>
    <row r="1504" spans="2:10" x14ac:dyDescent="0.2">
      <c r="B1504" s="93"/>
      <c r="C1504" s="97"/>
      <c r="D1504" s="93"/>
      <c r="E1504" s="98"/>
      <c r="F1504" s="100">
        <v>1500</v>
      </c>
      <c r="G1504" s="101">
        <f t="shared" si="93"/>
        <v>0</v>
      </c>
      <c r="H1504" s="101">
        <f t="shared" si="94"/>
        <v>0</v>
      </c>
      <c r="I1504" s="101">
        <f t="shared" si="95"/>
        <v>0</v>
      </c>
      <c r="J1504" s="101">
        <f t="shared" si="96"/>
        <v>0</v>
      </c>
    </row>
    <row r="1505" spans="2:10" x14ac:dyDescent="0.2">
      <c r="B1505" s="93"/>
      <c r="C1505" s="97"/>
      <c r="D1505" s="93"/>
      <c r="E1505" s="98"/>
      <c r="F1505" s="100">
        <v>1501</v>
      </c>
      <c r="G1505" s="101">
        <f t="shared" si="93"/>
        <v>0</v>
      </c>
      <c r="H1505" s="101">
        <f t="shared" si="94"/>
        <v>0</v>
      </c>
      <c r="I1505" s="101">
        <f t="shared" si="95"/>
        <v>0</v>
      </c>
      <c r="J1505" s="101">
        <f t="shared" si="96"/>
        <v>0</v>
      </c>
    </row>
    <row r="1506" spans="2:10" x14ac:dyDescent="0.2">
      <c r="B1506" s="93"/>
      <c r="C1506" s="97"/>
      <c r="D1506" s="93"/>
      <c r="E1506" s="98"/>
      <c r="F1506" s="100">
        <v>1502</v>
      </c>
      <c r="G1506" s="101">
        <f t="shared" si="93"/>
        <v>0</v>
      </c>
      <c r="H1506" s="101">
        <f t="shared" si="94"/>
        <v>0</v>
      </c>
      <c r="I1506" s="101">
        <f t="shared" si="95"/>
        <v>0</v>
      </c>
      <c r="J1506" s="101">
        <f t="shared" si="96"/>
        <v>0</v>
      </c>
    </row>
    <row r="1507" spans="2:10" x14ac:dyDescent="0.2">
      <c r="B1507" s="93"/>
      <c r="C1507" s="97"/>
      <c r="D1507" s="93"/>
      <c r="E1507" s="98"/>
      <c r="F1507" s="100">
        <v>1503</v>
      </c>
      <c r="G1507" s="101">
        <f t="shared" si="93"/>
        <v>0</v>
      </c>
      <c r="H1507" s="101">
        <f t="shared" si="94"/>
        <v>0</v>
      </c>
      <c r="I1507" s="101">
        <f t="shared" si="95"/>
        <v>0</v>
      </c>
      <c r="J1507" s="101">
        <f t="shared" si="96"/>
        <v>0</v>
      </c>
    </row>
    <row r="1508" spans="2:10" x14ac:dyDescent="0.2">
      <c r="B1508" s="93"/>
      <c r="C1508" s="97"/>
      <c r="D1508" s="93"/>
      <c r="E1508" s="98"/>
      <c r="F1508" s="100">
        <v>1504</v>
      </c>
      <c r="G1508" s="101">
        <f t="shared" si="93"/>
        <v>0</v>
      </c>
      <c r="H1508" s="101">
        <f t="shared" si="94"/>
        <v>0</v>
      </c>
      <c r="I1508" s="101">
        <f t="shared" si="95"/>
        <v>0</v>
      </c>
      <c r="J1508" s="101">
        <f t="shared" si="96"/>
        <v>0</v>
      </c>
    </row>
    <row r="1509" spans="2:10" x14ac:dyDescent="0.2">
      <c r="B1509" s="93"/>
      <c r="C1509" s="97"/>
      <c r="D1509" s="93"/>
      <c r="E1509" s="98"/>
      <c r="F1509" s="100">
        <v>1505</v>
      </c>
      <c r="G1509" s="101">
        <f t="shared" si="93"/>
        <v>0</v>
      </c>
      <c r="H1509" s="101">
        <f t="shared" si="94"/>
        <v>0</v>
      </c>
      <c r="I1509" s="101">
        <f t="shared" si="95"/>
        <v>0</v>
      </c>
      <c r="J1509" s="101">
        <f t="shared" si="96"/>
        <v>0</v>
      </c>
    </row>
    <row r="1510" spans="2:10" x14ac:dyDescent="0.2">
      <c r="B1510" s="93"/>
      <c r="C1510" s="97"/>
      <c r="D1510" s="93"/>
      <c r="E1510" s="98"/>
      <c r="F1510" s="100">
        <v>1506</v>
      </c>
      <c r="G1510" s="101">
        <f t="shared" si="93"/>
        <v>0</v>
      </c>
      <c r="H1510" s="101">
        <f t="shared" si="94"/>
        <v>0</v>
      </c>
      <c r="I1510" s="101">
        <f t="shared" si="95"/>
        <v>0</v>
      </c>
      <c r="J1510" s="101">
        <f t="shared" si="96"/>
        <v>0</v>
      </c>
    </row>
    <row r="1511" spans="2:10" x14ac:dyDescent="0.2">
      <c r="B1511" s="93"/>
      <c r="C1511" s="97"/>
      <c r="D1511" s="93"/>
      <c r="E1511" s="98"/>
      <c r="F1511" s="100">
        <v>1507</v>
      </c>
      <c r="G1511" s="101">
        <f t="shared" si="93"/>
        <v>0</v>
      </c>
      <c r="H1511" s="101">
        <f t="shared" si="94"/>
        <v>0</v>
      </c>
      <c r="I1511" s="101">
        <f t="shared" si="95"/>
        <v>0</v>
      </c>
      <c r="J1511" s="101">
        <f t="shared" si="96"/>
        <v>0</v>
      </c>
    </row>
    <row r="1512" spans="2:10" x14ac:dyDescent="0.2">
      <c r="B1512" s="93"/>
      <c r="C1512" s="97"/>
      <c r="D1512" s="93"/>
      <c r="E1512" s="98"/>
      <c r="F1512" s="100">
        <v>1508</v>
      </c>
      <c r="G1512" s="101">
        <f t="shared" si="93"/>
        <v>0</v>
      </c>
      <c r="H1512" s="101">
        <f t="shared" si="94"/>
        <v>0</v>
      </c>
      <c r="I1512" s="101">
        <f t="shared" si="95"/>
        <v>0</v>
      </c>
      <c r="J1512" s="101">
        <f t="shared" si="96"/>
        <v>0</v>
      </c>
    </row>
    <row r="1513" spans="2:10" x14ac:dyDescent="0.2">
      <c r="B1513" s="93"/>
      <c r="C1513" s="97"/>
      <c r="D1513" s="93"/>
      <c r="E1513" s="98"/>
      <c r="F1513" s="100">
        <v>1509</v>
      </c>
      <c r="G1513" s="101">
        <f t="shared" si="93"/>
        <v>0</v>
      </c>
      <c r="H1513" s="101">
        <f t="shared" si="94"/>
        <v>0</v>
      </c>
      <c r="I1513" s="101">
        <f t="shared" si="95"/>
        <v>0</v>
      </c>
      <c r="J1513" s="101">
        <f t="shared" si="96"/>
        <v>0</v>
      </c>
    </row>
    <row r="1514" spans="2:10" x14ac:dyDescent="0.2">
      <c r="B1514" s="93"/>
      <c r="C1514" s="97"/>
      <c r="D1514" s="93"/>
      <c r="E1514" s="98"/>
      <c r="F1514" s="100">
        <v>1510</v>
      </c>
      <c r="G1514" s="101">
        <f t="shared" si="93"/>
        <v>0</v>
      </c>
      <c r="H1514" s="101">
        <f t="shared" si="94"/>
        <v>0</v>
      </c>
      <c r="I1514" s="101">
        <f t="shared" si="95"/>
        <v>0</v>
      </c>
      <c r="J1514" s="101">
        <f t="shared" si="96"/>
        <v>0</v>
      </c>
    </row>
    <row r="1515" spans="2:10" x14ac:dyDescent="0.2">
      <c r="B1515" s="93"/>
      <c r="C1515" s="97"/>
      <c r="D1515" s="93"/>
      <c r="E1515" s="98"/>
      <c r="F1515" s="100">
        <v>1511</v>
      </c>
      <c r="G1515" s="101">
        <f t="shared" si="93"/>
        <v>0</v>
      </c>
      <c r="H1515" s="101">
        <f t="shared" si="94"/>
        <v>0</v>
      </c>
      <c r="I1515" s="101">
        <f t="shared" si="95"/>
        <v>0</v>
      </c>
      <c r="J1515" s="101">
        <f t="shared" si="96"/>
        <v>0</v>
      </c>
    </row>
    <row r="1516" spans="2:10" x14ac:dyDescent="0.2">
      <c r="B1516" s="93"/>
      <c r="C1516" s="97"/>
      <c r="D1516" s="93"/>
      <c r="E1516" s="98"/>
      <c r="F1516" s="100">
        <v>1512</v>
      </c>
      <c r="G1516" s="101">
        <f t="shared" si="93"/>
        <v>0</v>
      </c>
      <c r="H1516" s="101">
        <f t="shared" si="94"/>
        <v>0</v>
      </c>
      <c r="I1516" s="101">
        <f t="shared" si="95"/>
        <v>0</v>
      </c>
      <c r="J1516" s="101">
        <f t="shared" si="96"/>
        <v>0</v>
      </c>
    </row>
    <row r="1517" spans="2:10" x14ac:dyDescent="0.2">
      <c r="B1517" s="93"/>
      <c r="C1517" s="97"/>
      <c r="D1517" s="93"/>
      <c r="E1517" s="98"/>
      <c r="F1517" s="100">
        <v>1513</v>
      </c>
      <c r="G1517" s="101">
        <f t="shared" si="93"/>
        <v>0</v>
      </c>
      <c r="H1517" s="101">
        <f t="shared" si="94"/>
        <v>0</v>
      </c>
      <c r="I1517" s="101">
        <f t="shared" si="95"/>
        <v>0</v>
      </c>
      <c r="J1517" s="101">
        <f t="shared" si="96"/>
        <v>0</v>
      </c>
    </row>
    <row r="1518" spans="2:10" x14ac:dyDescent="0.2">
      <c r="B1518" s="93"/>
      <c r="C1518" s="97"/>
      <c r="D1518" s="93"/>
      <c r="E1518" s="98"/>
      <c r="F1518" s="100">
        <v>1514</v>
      </c>
      <c r="G1518" s="101">
        <f t="shared" si="93"/>
        <v>0</v>
      </c>
      <c r="H1518" s="101">
        <f t="shared" si="94"/>
        <v>0</v>
      </c>
      <c r="I1518" s="101">
        <f t="shared" si="95"/>
        <v>0</v>
      </c>
      <c r="J1518" s="101">
        <f t="shared" si="96"/>
        <v>0</v>
      </c>
    </row>
    <row r="1519" spans="2:10" x14ac:dyDescent="0.2">
      <c r="B1519" s="93"/>
      <c r="C1519" s="97"/>
      <c r="D1519" s="93"/>
      <c r="E1519" s="98"/>
      <c r="F1519" s="100">
        <v>1515</v>
      </c>
      <c r="G1519" s="101">
        <f t="shared" si="93"/>
        <v>0</v>
      </c>
      <c r="H1519" s="101">
        <f t="shared" si="94"/>
        <v>0</v>
      </c>
      <c r="I1519" s="101">
        <f t="shared" si="95"/>
        <v>0</v>
      </c>
      <c r="J1519" s="101">
        <f t="shared" si="96"/>
        <v>0</v>
      </c>
    </row>
    <row r="1520" spans="2:10" x14ac:dyDescent="0.2">
      <c r="B1520" s="93"/>
      <c r="C1520" s="97"/>
      <c r="D1520" s="93"/>
      <c r="E1520" s="98"/>
      <c r="F1520" s="100">
        <v>1516</v>
      </c>
      <c r="G1520" s="101">
        <f t="shared" si="93"/>
        <v>0</v>
      </c>
      <c r="H1520" s="101">
        <f t="shared" si="94"/>
        <v>0</v>
      </c>
      <c r="I1520" s="101">
        <f t="shared" si="95"/>
        <v>0</v>
      </c>
      <c r="J1520" s="101">
        <f t="shared" si="96"/>
        <v>0</v>
      </c>
    </row>
    <row r="1521" spans="2:10" x14ac:dyDescent="0.2">
      <c r="B1521" s="93"/>
      <c r="C1521" s="97"/>
      <c r="D1521" s="93"/>
      <c r="E1521" s="98"/>
      <c r="F1521" s="100">
        <v>1517</v>
      </c>
      <c r="G1521" s="101">
        <f t="shared" si="93"/>
        <v>0</v>
      </c>
      <c r="H1521" s="101">
        <f t="shared" si="94"/>
        <v>0</v>
      </c>
      <c r="I1521" s="101">
        <f t="shared" si="95"/>
        <v>0</v>
      </c>
      <c r="J1521" s="101">
        <f t="shared" si="96"/>
        <v>0</v>
      </c>
    </row>
    <row r="1522" spans="2:10" x14ac:dyDescent="0.2">
      <c r="B1522" s="93"/>
      <c r="C1522" s="97"/>
      <c r="D1522" s="93"/>
      <c r="E1522" s="98"/>
      <c r="F1522" s="100">
        <v>1518</v>
      </c>
      <c r="G1522" s="101">
        <f t="shared" si="93"/>
        <v>0</v>
      </c>
      <c r="H1522" s="101">
        <f t="shared" si="94"/>
        <v>0</v>
      </c>
      <c r="I1522" s="101">
        <f t="shared" si="95"/>
        <v>0</v>
      </c>
      <c r="J1522" s="101">
        <f t="shared" si="96"/>
        <v>0</v>
      </c>
    </row>
    <row r="1523" spans="2:10" x14ac:dyDescent="0.2">
      <c r="B1523" s="93"/>
      <c r="C1523" s="97"/>
      <c r="D1523" s="93"/>
      <c r="E1523" s="98"/>
      <c r="F1523" s="100">
        <v>1519</v>
      </c>
      <c r="G1523" s="101">
        <f t="shared" si="93"/>
        <v>0</v>
      </c>
      <c r="H1523" s="101">
        <f t="shared" si="94"/>
        <v>0</v>
      </c>
      <c r="I1523" s="101">
        <f t="shared" si="95"/>
        <v>0</v>
      </c>
      <c r="J1523" s="101">
        <f t="shared" si="96"/>
        <v>0</v>
      </c>
    </row>
    <row r="1524" spans="2:10" x14ac:dyDescent="0.2">
      <c r="B1524" s="93"/>
      <c r="C1524" s="97"/>
      <c r="D1524" s="93"/>
      <c r="E1524" s="98"/>
      <c r="F1524" s="100">
        <v>1520</v>
      </c>
      <c r="G1524" s="101">
        <f t="shared" si="93"/>
        <v>0</v>
      </c>
      <c r="H1524" s="101">
        <f t="shared" si="94"/>
        <v>0</v>
      </c>
      <c r="I1524" s="101">
        <f t="shared" si="95"/>
        <v>0</v>
      </c>
      <c r="J1524" s="101">
        <f t="shared" si="96"/>
        <v>0</v>
      </c>
    </row>
    <row r="1525" spans="2:10" x14ac:dyDescent="0.2">
      <c r="B1525" s="93"/>
      <c r="C1525" s="97"/>
      <c r="D1525" s="93"/>
      <c r="E1525" s="98"/>
      <c r="F1525" s="100">
        <v>1521</v>
      </c>
      <c r="G1525" s="101">
        <f t="shared" si="93"/>
        <v>0</v>
      </c>
      <c r="H1525" s="101">
        <f t="shared" si="94"/>
        <v>0</v>
      </c>
      <c r="I1525" s="101">
        <f t="shared" si="95"/>
        <v>0</v>
      </c>
      <c r="J1525" s="101">
        <f t="shared" si="96"/>
        <v>0</v>
      </c>
    </row>
    <row r="1526" spans="2:10" x14ac:dyDescent="0.2">
      <c r="B1526" s="93"/>
      <c r="C1526" s="97"/>
      <c r="D1526" s="93"/>
      <c r="E1526" s="98"/>
      <c r="F1526" s="100">
        <v>1522</v>
      </c>
      <c r="G1526" s="101">
        <f t="shared" si="93"/>
        <v>0</v>
      </c>
      <c r="H1526" s="101">
        <f t="shared" si="94"/>
        <v>0</v>
      </c>
      <c r="I1526" s="101">
        <f t="shared" si="95"/>
        <v>0</v>
      </c>
      <c r="J1526" s="101">
        <f t="shared" si="96"/>
        <v>0</v>
      </c>
    </row>
    <row r="1527" spans="2:10" x14ac:dyDescent="0.2">
      <c r="B1527" s="93"/>
      <c r="C1527" s="97"/>
      <c r="D1527" s="93"/>
      <c r="E1527" s="98"/>
      <c r="F1527" s="100">
        <v>1523</v>
      </c>
      <c r="G1527" s="101">
        <f t="shared" si="93"/>
        <v>0</v>
      </c>
      <c r="H1527" s="101">
        <f t="shared" si="94"/>
        <v>0</v>
      </c>
      <c r="I1527" s="101">
        <f t="shared" si="95"/>
        <v>0</v>
      </c>
      <c r="J1527" s="101">
        <f t="shared" si="96"/>
        <v>0</v>
      </c>
    </row>
    <row r="1528" spans="2:10" x14ac:dyDescent="0.2">
      <c r="B1528" s="93"/>
      <c r="C1528" s="97"/>
      <c r="D1528" s="93"/>
      <c r="E1528" s="98"/>
      <c r="F1528" s="100">
        <v>1524</v>
      </c>
      <c r="G1528" s="101">
        <f t="shared" si="93"/>
        <v>0</v>
      </c>
      <c r="H1528" s="101">
        <f t="shared" si="94"/>
        <v>0</v>
      </c>
      <c r="I1528" s="101">
        <f t="shared" si="95"/>
        <v>0</v>
      </c>
      <c r="J1528" s="101">
        <f t="shared" si="96"/>
        <v>0</v>
      </c>
    </row>
    <row r="1529" spans="2:10" x14ac:dyDescent="0.2">
      <c r="B1529" s="93"/>
      <c r="C1529" s="97"/>
      <c r="D1529" s="93"/>
      <c r="E1529" s="98"/>
      <c r="F1529" s="100">
        <v>1525</v>
      </c>
      <c r="G1529" s="101">
        <f t="shared" si="93"/>
        <v>0</v>
      </c>
      <c r="H1529" s="101">
        <f t="shared" si="94"/>
        <v>0</v>
      </c>
      <c r="I1529" s="101">
        <f t="shared" si="95"/>
        <v>0</v>
      </c>
      <c r="J1529" s="101">
        <f t="shared" si="96"/>
        <v>0</v>
      </c>
    </row>
    <row r="1530" spans="2:10" x14ac:dyDescent="0.2">
      <c r="B1530" s="93"/>
      <c r="C1530" s="97"/>
      <c r="D1530" s="93"/>
      <c r="E1530" s="98"/>
      <c r="F1530" s="100">
        <v>1526</v>
      </c>
      <c r="G1530" s="101">
        <f t="shared" si="93"/>
        <v>0</v>
      </c>
      <c r="H1530" s="101">
        <f t="shared" si="94"/>
        <v>0</v>
      </c>
      <c r="I1530" s="101">
        <f t="shared" si="95"/>
        <v>0</v>
      </c>
      <c r="J1530" s="101">
        <f t="shared" si="96"/>
        <v>0</v>
      </c>
    </row>
    <row r="1531" spans="2:10" x14ac:dyDescent="0.2">
      <c r="B1531" s="93"/>
      <c r="C1531" s="97"/>
      <c r="D1531" s="93"/>
      <c r="E1531" s="98"/>
      <c r="F1531" s="100">
        <v>1527</v>
      </c>
      <c r="G1531" s="101">
        <f t="shared" si="93"/>
        <v>0</v>
      </c>
      <c r="H1531" s="101">
        <f t="shared" si="94"/>
        <v>0</v>
      </c>
      <c r="I1531" s="101">
        <f t="shared" si="95"/>
        <v>0</v>
      </c>
      <c r="J1531" s="101">
        <f t="shared" si="96"/>
        <v>0</v>
      </c>
    </row>
    <row r="1532" spans="2:10" x14ac:dyDescent="0.2">
      <c r="B1532" s="93"/>
      <c r="C1532" s="97"/>
      <c r="D1532" s="93"/>
      <c r="E1532" s="98"/>
      <c r="F1532" s="100">
        <v>1528</v>
      </c>
      <c r="G1532" s="101">
        <f t="shared" si="93"/>
        <v>0</v>
      </c>
      <c r="H1532" s="101">
        <f t="shared" si="94"/>
        <v>0</v>
      </c>
      <c r="I1532" s="101">
        <f t="shared" si="95"/>
        <v>0</v>
      </c>
      <c r="J1532" s="101">
        <f t="shared" si="96"/>
        <v>0</v>
      </c>
    </row>
    <row r="1533" spans="2:10" x14ac:dyDescent="0.2">
      <c r="B1533" s="93"/>
      <c r="C1533" s="97"/>
      <c r="D1533" s="93"/>
      <c r="E1533" s="98"/>
      <c r="F1533" s="100">
        <v>1529</v>
      </c>
      <c r="G1533" s="101">
        <f t="shared" si="93"/>
        <v>0</v>
      </c>
      <c r="H1533" s="101">
        <f t="shared" si="94"/>
        <v>0</v>
      </c>
      <c r="I1533" s="101">
        <f t="shared" si="95"/>
        <v>0</v>
      </c>
      <c r="J1533" s="101">
        <f t="shared" si="96"/>
        <v>0</v>
      </c>
    </row>
    <row r="1534" spans="2:10" x14ac:dyDescent="0.2">
      <c r="B1534" s="93"/>
      <c r="C1534" s="97"/>
      <c r="D1534" s="93"/>
      <c r="E1534" s="98"/>
      <c r="F1534" s="100">
        <v>1530</v>
      </c>
      <c r="G1534" s="101">
        <f t="shared" si="93"/>
        <v>0</v>
      </c>
      <c r="H1534" s="101">
        <f t="shared" si="94"/>
        <v>0</v>
      </c>
      <c r="I1534" s="101">
        <f t="shared" si="95"/>
        <v>0</v>
      </c>
      <c r="J1534" s="101">
        <f t="shared" si="96"/>
        <v>0</v>
      </c>
    </row>
    <row r="1535" spans="2:10" x14ac:dyDescent="0.2">
      <c r="B1535" s="93"/>
      <c r="C1535" s="97"/>
      <c r="D1535" s="93"/>
      <c r="E1535" s="98"/>
      <c r="F1535" s="100">
        <v>1531</v>
      </c>
      <c r="G1535" s="101">
        <f t="shared" si="93"/>
        <v>0</v>
      </c>
      <c r="H1535" s="101">
        <f t="shared" si="94"/>
        <v>0</v>
      </c>
      <c r="I1535" s="101">
        <f t="shared" si="95"/>
        <v>0</v>
      </c>
      <c r="J1535" s="101">
        <f t="shared" si="96"/>
        <v>0</v>
      </c>
    </row>
    <row r="1536" spans="2:10" x14ac:dyDescent="0.2">
      <c r="B1536" s="93"/>
      <c r="C1536" s="97"/>
      <c r="D1536" s="93"/>
      <c r="E1536" s="98"/>
      <c r="F1536" s="100">
        <v>1532</v>
      </c>
      <c r="G1536" s="101">
        <f t="shared" si="93"/>
        <v>0</v>
      </c>
      <c r="H1536" s="101">
        <f t="shared" si="94"/>
        <v>0</v>
      </c>
      <c r="I1536" s="101">
        <f t="shared" si="95"/>
        <v>0</v>
      </c>
      <c r="J1536" s="101">
        <f t="shared" si="96"/>
        <v>0</v>
      </c>
    </row>
    <row r="1537" spans="2:10" x14ac:dyDescent="0.2">
      <c r="B1537" s="93"/>
      <c r="C1537" s="97"/>
      <c r="D1537" s="93"/>
      <c r="E1537" s="98"/>
      <c r="F1537" s="100">
        <v>1533</v>
      </c>
      <c r="G1537" s="101">
        <f t="shared" si="93"/>
        <v>0</v>
      </c>
      <c r="H1537" s="101">
        <f t="shared" si="94"/>
        <v>0</v>
      </c>
      <c r="I1537" s="101">
        <f t="shared" si="95"/>
        <v>0</v>
      </c>
      <c r="J1537" s="101">
        <f t="shared" si="96"/>
        <v>0</v>
      </c>
    </row>
    <row r="1538" spans="2:10" x14ac:dyDescent="0.2">
      <c r="B1538" s="93"/>
      <c r="C1538" s="97"/>
      <c r="D1538" s="93"/>
      <c r="E1538" s="98"/>
      <c r="F1538" s="100">
        <v>1534</v>
      </c>
      <c r="G1538" s="101">
        <f t="shared" si="93"/>
        <v>0</v>
      </c>
      <c r="H1538" s="101">
        <f t="shared" si="94"/>
        <v>0</v>
      </c>
      <c r="I1538" s="101">
        <f t="shared" si="95"/>
        <v>0</v>
      </c>
      <c r="J1538" s="101">
        <f t="shared" si="96"/>
        <v>0</v>
      </c>
    </row>
    <row r="1539" spans="2:10" x14ac:dyDescent="0.2">
      <c r="B1539" s="93"/>
      <c r="C1539" s="97"/>
      <c r="D1539" s="93"/>
      <c r="E1539" s="98"/>
      <c r="F1539" s="100">
        <v>1535</v>
      </c>
      <c r="G1539" s="101">
        <f t="shared" si="93"/>
        <v>0</v>
      </c>
      <c r="H1539" s="101">
        <f t="shared" si="94"/>
        <v>0</v>
      </c>
      <c r="I1539" s="101">
        <f t="shared" si="95"/>
        <v>0</v>
      </c>
      <c r="J1539" s="101">
        <f t="shared" si="96"/>
        <v>0</v>
      </c>
    </row>
    <row r="1540" spans="2:10" x14ac:dyDescent="0.2">
      <c r="B1540" s="93"/>
      <c r="C1540" s="97"/>
      <c r="D1540" s="93"/>
      <c r="E1540" s="98"/>
      <c r="F1540" s="100">
        <v>1536</v>
      </c>
      <c r="G1540" s="101">
        <f t="shared" si="93"/>
        <v>0</v>
      </c>
      <c r="H1540" s="101">
        <f t="shared" si="94"/>
        <v>0</v>
      </c>
      <c r="I1540" s="101">
        <f t="shared" si="95"/>
        <v>0</v>
      </c>
      <c r="J1540" s="101">
        <f t="shared" si="96"/>
        <v>0</v>
      </c>
    </row>
    <row r="1541" spans="2:10" x14ac:dyDescent="0.2">
      <c r="B1541" s="93"/>
      <c r="C1541" s="97"/>
      <c r="D1541" s="93"/>
      <c r="E1541" s="98"/>
      <c r="F1541" s="100">
        <v>1537</v>
      </c>
      <c r="G1541" s="101">
        <f t="shared" si="93"/>
        <v>0</v>
      </c>
      <c r="H1541" s="101">
        <f t="shared" si="94"/>
        <v>0</v>
      </c>
      <c r="I1541" s="101">
        <f t="shared" si="95"/>
        <v>0</v>
      </c>
      <c r="J1541" s="101">
        <f t="shared" si="96"/>
        <v>0</v>
      </c>
    </row>
    <row r="1542" spans="2:10" x14ac:dyDescent="0.2">
      <c r="B1542" s="93"/>
      <c r="C1542" s="97"/>
      <c r="D1542" s="93"/>
      <c r="E1542" s="98"/>
      <c r="F1542" s="100">
        <v>1538</v>
      </c>
      <c r="G1542" s="101">
        <f t="shared" ref="G1542:G1605" si="97">B1542</f>
        <v>0</v>
      </c>
      <c r="H1542" s="101">
        <f t="shared" ref="H1542:H1605" si="98">C1542</f>
        <v>0</v>
      </c>
      <c r="I1542" s="101">
        <f t="shared" ref="I1542:I1605" si="99">D1542</f>
        <v>0</v>
      </c>
      <c r="J1542" s="101">
        <f t="shared" ref="J1542:J1605" si="100">E1542</f>
        <v>0</v>
      </c>
    </row>
    <row r="1543" spans="2:10" x14ac:dyDescent="0.2">
      <c r="B1543" s="93"/>
      <c r="C1543" s="97"/>
      <c r="D1543" s="93"/>
      <c r="E1543" s="98"/>
      <c r="F1543" s="100">
        <v>1539</v>
      </c>
      <c r="G1543" s="101">
        <f t="shared" si="97"/>
        <v>0</v>
      </c>
      <c r="H1543" s="101">
        <f t="shared" si="98"/>
        <v>0</v>
      </c>
      <c r="I1543" s="101">
        <f t="shared" si="99"/>
        <v>0</v>
      </c>
      <c r="J1543" s="101">
        <f t="shared" si="100"/>
        <v>0</v>
      </c>
    </row>
    <row r="1544" spans="2:10" x14ac:dyDescent="0.2">
      <c r="B1544" s="93"/>
      <c r="C1544" s="97"/>
      <c r="D1544" s="93"/>
      <c r="E1544" s="98"/>
      <c r="F1544" s="100">
        <v>1540</v>
      </c>
      <c r="G1544" s="101">
        <f t="shared" si="97"/>
        <v>0</v>
      </c>
      <c r="H1544" s="101">
        <f t="shared" si="98"/>
        <v>0</v>
      </c>
      <c r="I1544" s="101">
        <f t="shared" si="99"/>
        <v>0</v>
      </c>
      <c r="J1544" s="101">
        <f t="shared" si="100"/>
        <v>0</v>
      </c>
    </row>
    <row r="1545" spans="2:10" x14ac:dyDescent="0.2">
      <c r="B1545" s="93"/>
      <c r="C1545" s="97"/>
      <c r="D1545" s="93"/>
      <c r="E1545" s="98"/>
      <c r="F1545" s="100">
        <v>1541</v>
      </c>
      <c r="G1545" s="101">
        <f t="shared" si="97"/>
        <v>0</v>
      </c>
      <c r="H1545" s="101">
        <f t="shared" si="98"/>
        <v>0</v>
      </c>
      <c r="I1545" s="101">
        <f t="shared" si="99"/>
        <v>0</v>
      </c>
      <c r="J1545" s="101">
        <f t="shared" si="100"/>
        <v>0</v>
      </c>
    </row>
    <row r="1546" spans="2:10" x14ac:dyDescent="0.2">
      <c r="B1546" s="93"/>
      <c r="C1546" s="97"/>
      <c r="D1546" s="93"/>
      <c r="E1546" s="98"/>
      <c r="F1546" s="100">
        <v>1542</v>
      </c>
      <c r="G1546" s="101">
        <f t="shared" si="97"/>
        <v>0</v>
      </c>
      <c r="H1546" s="101">
        <f t="shared" si="98"/>
        <v>0</v>
      </c>
      <c r="I1546" s="101">
        <f t="shared" si="99"/>
        <v>0</v>
      </c>
      <c r="J1546" s="101">
        <f t="shared" si="100"/>
        <v>0</v>
      </c>
    </row>
    <row r="1547" spans="2:10" x14ac:dyDescent="0.2">
      <c r="B1547" s="93"/>
      <c r="C1547" s="97"/>
      <c r="D1547" s="93"/>
      <c r="E1547" s="98"/>
      <c r="F1547" s="100">
        <v>1543</v>
      </c>
      <c r="G1547" s="101">
        <f t="shared" si="97"/>
        <v>0</v>
      </c>
      <c r="H1547" s="101">
        <f t="shared" si="98"/>
        <v>0</v>
      </c>
      <c r="I1547" s="101">
        <f t="shared" si="99"/>
        <v>0</v>
      </c>
      <c r="J1547" s="101">
        <f t="shared" si="100"/>
        <v>0</v>
      </c>
    </row>
    <row r="1548" spans="2:10" x14ac:dyDescent="0.2">
      <c r="B1548" s="93"/>
      <c r="C1548" s="97"/>
      <c r="D1548" s="93"/>
      <c r="E1548" s="98"/>
      <c r="F1548" s="100">
        <v>1544</v>
      </c>
      <c r="G1548" s="101">
        <f t="shared" si="97"/>
        <v>0</v>
      </c>
      <c r="H1548" s="101">
        <f t="shared" si="98"/>
        <v>0</v>
      </c>
      <c r="I1548" s="101">
        <f t="shared" si="99"/>
        <v>0</v>
      </c>
      <c r="J1548" s="101">
        <f t="shared" si="100"/>
        <v>0</v>
      </c>
    </row>
    <row r="1549" spans="2:10" x14ac:dyDescent="0.2">
      <c r="B1549" s="93"/>
      <c r="C1549" s="97"/>
      <c r="D1549" s="93"/>
      <c r="E1549" s="98"/>
      <c r="F1549" s="100">
        <v>1545</v>
      </c>
      <c r="G1549" s="101">
        <f t="shared" si="97"/>
        <v>0</v>
      </c>
      <c r="H1549" s="101">
        <f t="shared" si="98"/>
        <v>0</v>
      </c>
      <c r="I1549" s="101">
        <f t="shared" si="99"/>
        <v>0</v>
      </c>
      <c r="J1549" s="101">
        <f t="shared" si="100"/>
        <v>0</v>
      </c>
    </row>
    <row r="1550" spans="2:10" x14ac:dyDescent="0.2">
      <c r="B1550" s="93"/>
      <c r="C1550" s="97"/>
      <c r="D1550" s="93"/>
      <c r="E1550" s="98"/>
      <c r="F1550" s="100">
        <v>1546</v>
      </c>
      <c r="G1550" s="101">
        <f t="shared" si="97"/>
        <v>0</v>
      </c>
      <c r="H1550" s="101">
        <f t="shared" si="98"/>
        <v>0</v>
      </c>
      <c r="I1550" s="101">
        <f t="shared" si="99"/>
        <v>0</v>
      </c>
      <c r="J1550" s="101">
        <f t="shared" si="100"/>
        <v>0</v>
      </c>
    </row>
    <row r="1551" spans="2:10" x14ac:dyDescent="0.2">
      <c r="B1551" s="93"/>
      <c r="C1551" s="97"/>
      <c r="D1551" s="93"/>
      <c r="E1551" s="98"/>
      <c r="F1551" s="100">
        <v>1547</v>
      </c>
      <c r="G1551" s="101">
        <f t="shared" si="97"/>
        <v>0</v>
      </c>
      <c r="H1551" s="101">
        <f t="shared" si="98"/>
        <v>0</v>
      </c>
      <c r="I1551" s="101">
        <f t="shared" si="99"/>
        <v>0</v>
      </c>
      <c r="J1551" s="101">
        <f t="shared" si="100"/>
        <v>0</v>
      </c>
    </row>
    <row r="1552" spans="2:10" x14ac:dyDescent="0.2">
      <c r="B1552" s="93"/>
      <c r="C1552" s="97"/>
      <c r="D1552" s="93"/>
      <c r="E1552" s="98"/>
      <c r="F1552" s="100">
        <v>1548</v>
      </c>
      <c r="G1552" s="101">
        <f t="shared" si="97"/>
        <v>0</v>
      </c>
      <c r="H1552" s="101">
        <f t="shared" si="98"/>
        <v>0</v>
      </c>
      <c r="I1552" s="101">
        <f t="shared" si="99"/>
        <v>0</v>
      </c>
      <c r="J1552" s="101">
        <f t="shared" si="100"/>
        <v>0</v>
      </c>
    </row>
    <row r="1553" spans="2:10" x14ac:dyDescent="0.2">
      <c r="B1553" s="93"/>
      <c r="C1553" s="97"/>
      <c r="D1553" s="93"/>
      <c r="E1553" s="98"/>
      <c r="F1553" s="100">
        <v>1549</v>
      </c>
      <c r="G1553" s="101">
        <f t="shared" si="97"/>
        <v>0</v>
      </c>
      <c r="H1553" s="101">
        <f t="shared" si="98"/>
        <v>0</v>
      </c>
      <c r="I1553" s="101">
        <f t="shared" si="99"/>
        <v>0</v>
      </c>
      <c r="J1553" s="101">
        <f t="shared" si="100"/>
        <v>0</v>
      </c>
    </row>
    <row r="1554" spans="2:10" x14ac:dyDescent="0.2">
      <c r="B1554" s="93"/>
      <c r="C1554" s="97"/>
      <c r="D1554" s="93"/>
      <c r="E1554" s="98"/>
      <c r="F1554" s="100">
        <v>1550</v>
      </c>
      <c r="G1554" s="101">
        <f t="shared" si="97"/>
        <v>0</v>
      </c>
      <c r="H1554" s="101">
        <f t="shared" si="98"/>
        <v>0</v>
      </c>
      <c r="I1554" s="101">
        <f t="shared" si="99"/>
        <v>0</v>
      </c>
      <c r="J1554" s="101">
        <f t="shared" si="100"/>
        <v>0</v>
      </c>
    </row>
    <row r="1555" spans="2:10" x14ac:dyDescent="0.2">
      <c r="B1555" s="93"/>
      <c r="C1555" s="97"/>
      <c r="D1555" s="93"/>
      <c r="E1555" s="98"/>
      <c r="F1555" s="100">
        <v>1551</v>
      </c>
      <c r="G1555" s="101">
        <f t="shared" si="97"/>
        <v>0</v>
      </c>
      <c r="H1555" s="101">
        <f t="shared" si="98"/>
        <v>0</v>
      </c>
      <c r="I1555" s="101">
        <f t="shared" si="99"/>
        <v>0</v>
      </c>
      <c r="J1555" s="101">
        <f t="shared" si="100"/>
        <v>0</v>
      </c>
    </row>
    <row r="1556" spans="2:10" x14ac:dyDescent="0.2">
      <c r="B1556" s="93"/>
      <c r="C1556" s="97"/>
      <c r="D1556" s="93"/>
      <c r="E1556" s="98"/>
      <c r="F1556" s="100">
        <v>1552</v>
      </c>
      <c r="G1556" s="101">
        <f t="shared" si="97"/>
        <v>0</v>
      </c>
      <c r="H1556" s="101">
        <f t="shared" si="98"/>
        <v>0</v>
      </c>
      <c r="I1556" s="101">
        <f t="shared" si="99"/>
        <v>0</v>
      </c>
      <c r="J1556" s="101">
        <f t="shared" si="100"/>
        <v>0</v>
      </c>
    </row>
    <row r="1557" spans="2:10" x14ac:dyDescent="0.2">
      <c r="B1557" s="93"/>
      <c r="C1557" s="97"/>
      <c r="D1557" s="93"/>
      <c r="E1557" s="98"/>
      <c r="F1557" s="100">
        <v>1553</v>
      </c>
      <c r="G1557" s="101">
        <f t="shared" si="97"/>
        <v>0</v>
      </c>
      <c r="H1557" s="101">
        <f t="shared" si="98"/>
        <v>0</v>
      </c>
      <c r="I1557" s="101">
        <f t="shared" si="99"/>
        <v>0</v>
      </c>
      <c r="J1557" s="101">
        <f t="shared" si="100"/>
        <v>0</v>
      </c>
    </row>
    <row r="1558" spans="2:10" x14ac:dyDescent="0.2">
      <c r="B1558" s="93"/>
      <c r="C1558" s="97"/>
      <c r="D1558" s="93"/>
      <c r="E1558" s="98"/>
      <c r="F1558" s="100">
        <v>1554</v>
      </c>
      <c r="G1558" s="101">
        <f t="shared" si="97"/>
        <v>0</v>
      </c>
      <c r="H1558" s="101">
        <f t="shared" si="98"/>
        <v>0</v>
      </c>
      <c r="I1558" s="101">
        <f t="shared" si="99"/>
        <v>0</v>
      </c>
      <c r="J1558" s="101">
        <f t="shared" si="100"/>
        <v>0</v>
      </c>
    </row>
    <row r="1559" spans="2:10" x14ac:dyDescent="0.2">
      <c r="B1559" s="93"/>
      <c r="C1559" s="97"/>
      <c r="D1559" s="93"/>
      <c r="E1559" s="98"/>
      <c r="F1559" s="100">
        <v>1555</v>
      </c>
      <c r="G1559" s="101">
        <f t="shared" si="97"/>
        <v>0</v>
      </c>
      <c r="H1559" s="101">
        <f t="shared" si="98"/>
        <v>0</v>
      </c>
      <c r="I1559" s="101">
        <f t="shared" si="99"/>
        <v>0</v>
      </c>
      <c r="J1559" s="101">
        <f t="shared" si="100"/>
        <v>0</v>
      </c>
    </row>
    <row r="1560" spans="2:10" x14ac:dyDescent="0.2">
      <c r="B1560" s="93"/>
      <c r="C1560" s="97"/>
      <c r="D1560" s="93"/>
      <c r="E1560" s="98"/>
      <c r="F1560" s="100">
        <v>1556</v>
      </c>
      <c r="G1560" s="101">
        <f t="shared" si="97"/>
        <v>0</v>
      </c>
      <c r="H1560" s="101">
        <f t="shared" si="98"/>
        <v>0</v>
      </c>
      <c r="I1560" s="101">
        <f t="shared" si="99"/>
        <v>0</v>
      </c>
      <c r="J1560" s="101">
        <f t="shared" si="100"/>
        <v>0</v>
      </c>
    </row>
    <row r="1561" spans="2:10" x14ac:dyDescent="0.2">
      <c r="B1561" s="93"/>
      <c r="C1561" s="97"/>
      <c r="D1561" s="93"/>
      <c r="E1561" s="98"/>
      <c r="F1561" s="100">
        <v>1557</v>
      </c>
      <c r="G1561" s="101">
        <f t="shared" si="97"/>
        <v>0</v>
      </c>
      <c r="H1561" s="101">
        <f t="shared" si="98"/>
        <v>0</v>
      </c>
      <c r="I1561" s="101">
        <f t="shared" si="99"/>
        <v>0</v>
      </c>
      <c r="J1561" s="101">
        <f t="shared" si="100"/>
        <v>0</v>
      </c>
    </row>
    <row r="1562" spans="2:10" x14ac:dyDescent="0.2">
      <c r="B1562" s="93"/>
      <c r="C1562" s="97"/>
      <c r="D1562" s="93"/>
      <c r="E1562" s="98"/>
      <c r="F1562" s="100">
        <v>1558</v>
      </c>
      <c r="G1562" s="101">
        <f t="shared" si="97"/>
        <v>0</v>
      </c>
      <c r="H1562" s="101">
        <f t="shared" si="98"/>
        <v>0</v>
      </c>
      <c r="I1562" s="101">
        <f t="shared" si="99"/>
        <v>0</v>
      </c>
      <c r="J1562" s="101">
        <f t="shared" si="100"/>
        <v>0</v>
      </c>
    </row>
    <row r="1563" spans="2:10" x14ac:dyDescent="0.2">
      <c r="B1563" s="93"/>
      <c r="C1563" s="97"/>
      <c r="D1563" s="93"/>
      <c r="E1563" s="98"/>
      <c r="F1563" s="100">
        <v>1559</v>
      </c>
      <c r="G1563" s="101">
        <f t="shared" si="97"/>
        <v>0</v>
      </c>
      <c r="H1563" s="101">
        <f t="shared" si="98"/>
        <v>0</v>
      </c>
      <c r="I1563" s="101">
        <f t="shared" si="99"/>
        <v>0</v>
      </c>
      <c r="J1563" s="101">
        <f t="shared" si="100"/>
        <v>0</v>
      </c>
    </row>
    <row r="1564" spans="2:10" x14ac:dyDescent="0.2">
      <c r="B1564" s="93"/>
      <c r="C1564" s="97"/>
      <c r="D1564" s="93"/>
      <c r="E1564" s="98"/>
      <c r="F1564" s="100">
        <v>1560</v>
      </c>
      <c r="G1564" s="101">
        <f t="shared" si="97"/>
        <v>0</v>
      </c>
      <c r="H1564" s="101">
        <f t="shared" si="98"/>
        <v>0</v>
      </c>
      <c r="I1564" s="101">
        <f t="shared" si="99"/>
        <v>0</v>
      </c>
      <c r="J1564" s="101">
        <f t="shared" si="100"/>
        <v>0</v>
      </c>
    </row>
    <row r="1565" spans="2:10" x14ac:dyDescent="0.2">
      <c r="B1565" s="93"/>
      <c r="C1565" s="97"/>
      <c r="D1565" s="93"/>
      <c r="E1565" s="98"/>
      <c r="F1565" s="100">
        <v>1561</v>
      </c>
      <c r="G1565" s="101">
        <f t="shared" si="97"/>
        <v>0</v>
      </c>
      <c r="H1565" s="101">
        <f t="shared" si="98"/>
        <v>0</v>
      </c>
      <c r="I1565" s="101">
        <f t="shared" si="99"/>
        <v>0</v>
      </c>
      <c r="J1565" s="101">
        <f t="shared" si="100"/>
        <v>0</v>
      </c>
    </row>
    <row r="1566" spans="2:10" x14ac:dyDescent="0.2">
      <c r="B1566" s="93"/>
      <c r="C1566" s="97"/>
      <c r="D1566" s="93"/>
      <c r="E1566" s="98"/>
      <c r="F1566" s="100">
        <v>1562</v>
      </c>
      <c r="G1566" s="101">
        <f t="shared" si="97"/>
        <v>0</v>
      </c>
      <c r="H1566" s="101">
        <f t="shared" si="98"/>
        <v>0</v>
      </c>
      <c r="I1566" s="101">
        <f t="shared" si="99"/>
        <v>0</v>
      </c>
      <c r="J1566" s="101">
        <f t="shared" si="100"/>
        <v>0</v>
      </c>
    </row>
    <row r="1567" spans="2:10" x14ac:dyDescent="0.2">
      <c r="B1567" s="93"/>
      <c r="C1567" s="97"/>
      <c r="D1567" s="93"/>
      <c r="E1567" s="98"/>
      <c r="F1567" s="100">
        <v>1563</v>
      </c>
      <c r="G1567" s="101">
        <f t="shared" si="97"/>
        <v>0</v>
      </c>
      <c r="H1567" s="101">
        <f t="shared" si="98"/>
        <v>0</v>
      </c>
      <c r="I1567" s="101">
        <f t="shared" si="99"/>
        <v>0</v>
      </c>
      <c r="J1567" s="101">
        <f t="shared" si="100"/>
        <v>0</v>
      </c>
    </row>
    <row r="1568" spans="2:10" x14ac:dyDescent="0.2">
      <c r="B1568" s="93"/>
      <c r="C1568" s="97"/>
      <c r="D1568" s="93"/>
      <c r="E1568" s="98"/>
      <c r="F1568" s="100">
        <v>1564</v>
      </c>
      <c r="G1568" s="101">
        <f t="shared" si="97"/>
        <v>0</v>
      </c>
      <c r="H1568" s="101">
        <f t="shared" si="98"/>
        <v>0</v>
      </c>
      <c r="I1568" s="101">
        <f t="shared" si="99"/>
        <v>0</v>
      </c>
      <c r="J1568" s="101">
        <f t="shared" si="100"/>
        <v>0</v>
      </c>
    </row>
    <row r="1569" spans="2:10" x14ac:dyDescent="0.2">
      <c r="B1569" s="93"/>
      <c r="C1569" s="97"/>
      <c r="D1569" s="93"/>
      <c r="E1569" s="98"/>
      <c r="F1569" s="100">
        <v>1565</v>
      </c>
      <c r="G1569" s="101">
        <f t="shared" si="97"/>
        <v>0</v>
      </c>
      <c r="H1569" s="101">
        <f t="shared" si="98"/>
        <v>0</v>
      </c>
      <c r="I1569" s="101">
        <f t="shared" si="99"/>
        <v>0</v>
      </c>
      <c r="J1569" s="101">
        <f t="shared" si="100"/>
        <v>0</v>
      </c>
    </row>
    <row r="1570" spans="2:10" x14ac:dyDescent="0.2">
      <c r="B1570" s="93"/>
      <c r="C1570" s="97"/>
      <c r="D1570" s="93"/>
      <c r="E1570" s="98"/>
      <c r="F1570" s="100">
        <v>1566</v>
      </c>
      <c r="G1570" s="101">
        <f t="shared" si="97"/>
        <v>0</v>
      </c>
      <c r="H1570" s="101">
        <f t="shared" si="98"/>
        <v>0</v>
      </c>
      <c r="I1570" s="101">
        <f t="shared" si="99"/>
        <v>0</v>
      </c>
      <c r="J1570" s="101">
        <f t="shared" si="100"/>
        <v>0</v>
      </c>
    </row>
    <row r="1571" spans="2:10" x14ac:dyDescent="0.2">
      <c r="B1571" s="93"/>
      <c r="C1571" s="97"/>
      <c r="D1571" s="93"/>
      <c r="E1571" s="98"/>
      <c r="F1571" s="100">
        <v>1567</v>
      </c>
      <c r="G1571" s="101">
        <f t="shared" si="97"/>
        <v>0</v>
      </c>
      <c r="H1571" s="101">
        <f t="shared" si="98"/>
        <v>0</v>
      </c>
      <c r="I1571" s="101">
        <f t="shared" si="99"/>
        <v>0</v>
      </c>
      <c r="J1571" s="101">
        <f t="shared" si="100"/>
        <v>0</v>
      </c>
    </row>
    <row r="1572" spans="2:10" x14ac:dyDescent="0.2">
      <c r="B1572" s="93"/>
      <c r="C1572" s="97"/>
      <c r="D1572" s="93"/>
      <c r="E1572" s="98"/>
      <c r="F1572" s="100">
        <v>1568</v>
      </c>
      <c r="G1572" s="101">
        <f t="shared" si="97"/>
        <v>0</v>
      </c>
      <c r="H1572" s="101">
        <f t="shared" si="98"/>
        <v>0</v>
      </c>
      <c r="I1572" s="101">
        <f t="shared" si="99"/>
        <v>0</v>
      </c>
      <c r="J1572" s="101">
        <f t="shared" si="100"/>
        <v>0</v>
      </c>
    </row>
    <row r="1573" spans="2:10" x14ac:dyDescent="0.2">
      <c r="B1573" s="93"/>
      <c r="C1573" s="97"/>
      <c r="D1573" s="93"/>
      <c r="E1573" s="98"/>
      <c r="F1573" s="100">
        <v>1569</v>
      </c>
      <c r="G1573" s="101">
        <f t="shared" si="97"/>
        <v>0</v>
      </c>
      <c r="H1573" s="101">
        <f t="shared" si="98"/>
        <v>0</v>
      </c>
      <c r="I1573" s="101">
        <f t="shared" si="99"/>
        <v>0</v>
      </c>
      <c r="J1573" s="101">
        <f t="shared" si="100"/>
        <v>0</v>
      </c>
    </row>
    <row r="1574" spans="2:10" x14ac:dyDescent="0.2">
      <c r="B1574" s="93"/>
      <c r="C1574" s="97"/>
      <c r="D1574" s="93"/>
      <c r="E1574" s="98"/>
      <c r="F1574" s="100">
        <v>1570</v>
      </c>
      <c r="G1574" s="101">
        <f t="shared" si="97"/>
        <v>0</v>
      </c>
      <c r="H1574" s="101">
        <f t="shared" si="98"/>
        <v>0</v>
      </c>
      <c r="I1574" s="101">
        <f t="shared" si="99"/>
        <v>0</v>
      </c>
      <c r="J1574" s="101">
        <f t="shared" si="100"/>
        <v>0</v>
      </c>
    </row>
    <row r="1575" spans="2:10" x14ac:dyDescent="0.2">
      <c r="B1575" s="93"/>
      <c r="C1575" s="97"/>
      <c r="D1575" s="93"/>
      <c r="E1575" s="98"/>
      <c r="F1575" s="100">
        <v>1571</v>
      </c>
      <c r="G1575" s="101">
        <f t="shared" si="97"/>
        <v>0</v>
      </c>
      <c r="H1575" s="101">
        <f t="shared" si="98"/>
        <v>0</v>
      </c>
      <c r="I1575" s="101">
        <f t="shared" si="99"/>
        <v>0</v>
      </c>
      <c r="J1575" s="101">
        <f t="shared" si="100"/>
        <v>0</v>
      </c>
    </row>
    <row r="1576" spans="2:10" x14ac:dyDescent="0.2">
      <c r="B1576" s="93"/>
      <c r="C1576" s="97"/>
      <c r="D1576" s="93"/>
      <c r="E1576" s="98"/>
      <c r="F1576" s="100">
        <v>1572</v>
      </c>
      <c r="G1576" s="101">
        <f t="shared" si="97"/>
        <v>0</v>
      </c>
      <c r="H1576" s="101">
        <f t="shared" si="98"/>
        <v>0</v>
      </c>
      <c r="I1576" s="101">
        <f t="shared" si="99"/>
        <v>0</v>
      </c>
      <c r="J1576" s="101">
        <f t="shared" si="100"/>
        <v>0</v>
      </c>
    </row>
    <row r="1577" spans="2:10" x14ac:dyDescent="0.2">
      <c r="B1577" s="93"/>
      <c r="C1577" s="97"/>
      <c r="D1577" s="93"/>
      <c r="E1577" s="98"/>
      <c r="F1577" s="100">
        <v>1573</v>
      </c>
      <c r="G1577" s="101">
        <f t="shared" si="97"/>
        <v>0</v>
      </c>
      <c r="H1577" s="101">
        <f t="shared" si="98"/>
        <v>0</v>
      </c>
      <c r="I1577" s="101">
        <f t="shared" si="99"/>
        <v>0</v>
      </c>
      <c r="J1577" s="101">
        <f t="shared" si="100"/>
        <v>0</v>
      </c>
    </row>
    <row r="1578" spans="2:10" x14ac:dyDescent="0.2">
      <c r="B1578" s="93"/>
      <c r="C1578" s="97"/>
      <c r="D1578" s="93"/>
      <c r="E1578" s="98"/>
      <c r="F1578" s="100">
        <v>1574</v>
      </c>
      <c r="G1578" s="101">
        <f t="shared" si="97"/>
        <v>0</v>
      </c>
      <c r="H1578" s="101">
        <f t="shared" si="98"/>
        <v>0</v>
      </c>
      <c r="I1578" s="101">
        <f t="shared" si="99"/>
        <v>0</v>
      </c>
      <c r="J1578" s="101">
        <f t="shared" si="100"/>
        <v>0</v>
      </c>
    </row>
    <row r="1579" spans="2:10" x14ac:dyDescent="0.2">
      <c r="B1579" s="93"/>
      <c r="C1579" s="97"/>
      <c r="D1579" s="93"/>
      <c r="E1579" s="98"/>
      <c r="F1579" s="100">
        <v>1575</v>
      </c>
      <c r="G1579" s="101">
        <f t="shared" si="97"/>
        <v>0</v>
      </c>
      <c r="H1579" s="101">
        <f t="shared" si="98"/>
        <v>0</v>
      </c>
      <c r="I1579" s="101">
        <f t="shared" si="99"/>
        <v>0</v>
      </c>
      <c r="J1579" s="101">
        <f t="shared" si="100"/>
        <v>0</v>
      </c>
    </row>
    <row r="1580" spans="2:10" x14ac:dyDescent="0.2">
      <c r="B1580" s="93"/>
      <c r="C1580" s="97"/>
      <c r="D1580" s="93"/>
      <c r="E1580" s="98"/>
      <c r="F1580" s="100">
        <v>1576</v>
      </c>
      <c r="G1580" s="101">
        <f t="shared" si="97"/>
        <v>0</v>
      </c>
      <c r="H1580" s="101">
        <f t="shared" si="98"/>
        <v>0</v>
      </c>
      <c r="I1580" s="101">
        <f t="shared" si="99"/>
        <v>0</v>
      </c>
      <c r="J1580" s="101">
        <f t="shared" si="100"/>
        <v>0</v>
      </c>
    </row>
    <row r="1581" spans="2:10" x14ac:dyDescent="0.2">
      <c r="B1581" s="93"/>
      <c r="C1581" s="97"/>
      <c r="D1581" s="93"/>
      <c r="E1581" s="98"/>
      <c r="F1581" s="100">
        <v>1577</v>
      </c>
      <c r="G1581" s="101">
        <f t="shared" si="97"/>
        <v>0</v>
      </c>
      <c r="H1581" s="101">
        <f t="shared" si="98"/>
        <v>0</v>
      </c>
      <c r="I1581" s="101">
        <f t="shared" si="99"/>
        <v>0</v>
      </c>
      <c r="J1581" s="101">
        <f t="shared" si="100"/>
        <v>0</v>
      </c>
    </row>
    <row r="1582" spans="2:10" x14ac:dyDescent="0.2">
      <c r="B1582" s="93"/>
      <c r="C1582" s="97"/>
      <c r="D1582" s="93"/>
      <c r="E1582" s="98"/>
      <c r="F1582" s="100">
        <v>1578</v>
      </c>
      <c r="G1582" s="101">
        <f t="shared" si="97"/>
        <v>0</v>
      </c>
      <c r="H1582" s="101">
        <f t="shared" si="98"/>
        <v>0</v>
      </c>
      <c r="I1582" s="101">
        <f t="shared" si="99"/>
        <v>0</v>
      </c>
      <c r="J1582" s="101">
        <f t="shared" si="100"/>
        <v>0</v>
      </c>
    </row>
    <row r="1583" spans="2:10" x14ac:dyDescent="0.2">
      <c r="B1583" s="93"/>
      <c r="C1583" s="97"/>
      <c r="D1583" s="93"/>
      <c r="E1583" s="98"/>
      <c r="F1583" s="100">
        <v>1579</v>
      </c>
      <c r="G1583" s="101">
        <f t="shared" si="97"/>
        <v>0</v>
      </c>
      <c r="H1583" s="101">
        <f t="shared" si="98"/>
        <v>0</v>
      </c>
      <c r="I1583" s="101">
        <f t="shared" si="99"/>
        <v>0</v>
      </c>
      <c r="J1583" s="101">
        <f t="shared" si="100"/>
        <v>0</v>
      </c>
    </row>
    <row r="1584" spans="2:10" x14ac:dyDescent="0.2">
      <c r="B1584" s="93"/>
      <c r="C1584" s="97"/>
      <c r="D1584" s="93"/>
      <c r="E1584" s="98"/>
      <c r="F1584" s="100">
        <v>1580</v>
      </c>
      <c r="G1584" s="101">
        <f t="shared" si="97"/>
        <v>0</v>
      </c>
      <c r="H1584" s="101">
        <f t="shared" si="98"/>
        <v>0</v>
      </c>
      <c r="I1584" s="101">
        <f t="shared" si="99"/>
        <v>0</v>
      </c>
      <c r="J1584" s="101">
        <f t="shared" si="100"/>
        <v>0</v>
      </c>
    </row>
    <row r="1585" spans="2:10" x14ac:dyDescent="0.2">
      <c r="B1585" s="93"/>
      <c r="C1585" s="97"/>
      <c r="D1585" s="93"/>
      <c r="E1585" s="98"/>
      <c r="F1585" s="100">
        <v>1581</v>
      </c>
      <c r="G1585" s="101">
        <f t="shared" si="97"/>
        <v>0</v>
      </c>
      <c r="H1585" s="101">
        <f t="shared" si="98"/>
        <v>0</v>
      </c>
      <c r="I1585" s="101">
        <f t="shared" si="99"/>
        <v>0</v>
      </c>
      <c r="J1585" s="101">
        <f t="shared" si="100"/>
        <v>0</v>
      </c>
    </row>
    <row r="1586" spans="2:10" x14ac:dyDescent="0.2">
      <c r="B1586" s="93"/>
      <c r="C1586" s="97"/>
      <c r="D1586" s="93"/>
      <c r="E1586" s="98"/>
      <c r="F1586" s="100">
        <v>1582</v>
      </c>
      <c r="G1586" s="101">
        <f t="shared" si="97"/>
        <v>0</v>
      </c>
      <c r="H1586" s="101">
        <f t="shared" si="98"/>
        <v>0</v>
      </c>
      <c r="I1586" s="101">
        <f t="shared" si="99"/>
        <v>0</v>
      </c>
      <c r="J1586" s="101">
        <f t="shared" si="100"/>
        <v>0</v>
      </c>
    </row>
    <row r="1587" spans="2:10" x14ac:dyDescent="0.2">
      <c r="B1587" s="93"/>
      <c r="C1587" s="97"/>
      <c r="D1587" s="93"/>
      <c r="E1587" s="98"/>
      <c r="F1587" s="100">
        <v>1583</v>
      </c>
      <c r="G1587" s="101">
        <f t="shared" si="97"/>
        <v>0</v>
      </c>
      <c r="H1587" s="101">
        <f t="shared" si="98"/>
        <v>0</v>
      </c>
      <c r="I1587" s="101">
        <f t="shared" si="99"/>
        <v>0</v>
      </c>
      <c r="J1587" s="101">
        <f t="shared" si="100"/>
        <v>0</v>
      </c>
    </row>
    <row r="1588" spans="2:10" x14ac:dyDescent="0.2">
      <c r="B1588" s="93"/>
      <c r="C1588" s="97"/>
      <c r="D1588" s="93"/>
      <c r="E1588" s="98"/>
      <c r="F1588" s="100">
        <v>1584</v>
      </c>
      <c r="G1588" s="101">
        <f t="shared" si="97"/>
        <v>0</v>
      </c>
      <c r="H1588" s="101">
        <f t="shared" si="98"/>
        <v>0</v>
      </c>
      <c r="I1588" s="101">
        <f t="shared" si="99"/>
        <v>0</v>
      </c>
      <c r="J1588" s="101">
        <f t="shared" si="100"/>
        <v>0</v>
      </c>
    </row>
    <row r="1589" spans="2:10" x14ac:dyDescent="0.2">
      <c r="B1589" s="93"/>
      <c r="C1589" s="97"/>
      <c r="D1589" s="93"/>
      <c r="E1589" s="98"/>
      <c r="F1589" s="100">
        <v>1585</v>
      </c>
      <c r="G1589" s="101">
        <f t="shared" si="97"/>
        <v>0</v>
      </c>
      <c r="H1589" s="101">
        <f t="shared" si="98"/>
        <v>0</v>
      </c>
      <c r="I1589" s="101">
        <f t="shared" si="99"/>
        <v>0</v>
      </c>
      <c r="J1589" s="101">
        <f t="shared" si="100"/>
        <v>0</v>
      </c>
    </row>
    <row r="1590" spans="2:10" x14ac:dyDescent="0.2">
      <c r="B1590" s="93"/>
      <c r="C1590" s="97"/>
      <c r="D1590" s="93"/>
      <c r="E1590" s="98"/>
      <c r="F1590" s="100">
        <v>1586</v>
      </c>
      <c r="G1590" s="101">
        <f t="shared" si="97"/>
        <v>0</v>
      </c>
      <c r="H1590" s="101">
        <f t="shared" si="98"/>
        <v>0</v>
      </c>
      <c r="I1590" s="101">
        <f t="shared" si="99"/>
        <v>0</v>
      </c>
      <c r="J1590" s="101">
        <f t="shared" si="100"/>
        <v>0</v>
      </c>
    </row>
    <row r="1591" spans="2:10" x14ac:dyDescent="0.2">
      <c r="B1591" s="93"/>
      <c r="C1591" s="97"/>
      <c r="D1591" s="93"/>
      <c r="E1591" s="98"/>
      <c r="F1591" s="100">
        <v>1587</v>
      </c>
      <c r="G1591" s="101">
        <f t="shared" si="97"/>
        <v>0</v>
      </c>
      <c r="H1591" s="101">
        <f t="shared" si="98"/>
        <v>0</v>
      </c>
      <c r="I1591" s="101">
        <f t="shared" si="99"/>
        <v>0</v>
      </c>
      <c r="J1591" s="101">
        <f t="shared" si="100"/>
        <v>0</v>
      </c>
    </row>
    <row r="1592" spans="2:10" x14ac:dyDescent="0.2">
      <c r="B1592" s="93"/>
      <c r="C1592" s="97"/>
      <c r="D1592" s="93"/>
      <c r="E1592" s="98"/>
      <c r="F1592" s="100">
        <v>1588</v>
      </c>
      <c r="G1592" s="101">
        <f t="shared" si="97"/>
        <v>0</v>
      </c>
      <c r="H1592" s="101">
        <f t="shared" si="98"/>
        <v>0</v>
      </c>
      <c r="I1592" s="101">
        <f t="shared" si="99"/>
        <v>0</v>
      </c>
      <c r="J1592" s="101">
        <f t="shared" si="100"/>
        <v>0</v>
      </c>
    </row>
    <row r="1593" spans="2:10" x14ac:dyDescent="0.2">
      <c r="B1593" s="93"/>
      <c r="C1593" s="97"/>
      <c r="D1593" s="93"/>
      <c r="E1593" s="98"/>
      <c r="F1593" s="100">
        <v>1589</v>
      </c>
      <c r="G1593" s="101">
        <f t="shared" si="97"/>
        <v>0</v>
      </c>
      <c r="H1593" s="101">
        <f t="shared" si="98"/>
        <v>0</v>
      </c>
      <c r="I1593" s="101">
        <f t="shared" si="99"/>
        <v>0</v>
      </c>
      <c r="J1593" s="101">
        <f t="shared" si="100"/>
        <v>0</v>
      </c>
    </row>
    <row r="1594" spans="2:10" x14ac:dyDescent="0.2">
      <c r="B1594" s="93"/>
      <c r="C1594" s="97"/>
      <c r="D1594" s="93"/>
      <c r="E1594" s="98"/>
      <c r="F1594" s="100">
        <v>1590</v>
      </c>
      <c r="G1594" s="101">
        <f t="shared" si="97"/>
        <v>0</v>
      </c>
      <c r="H1594" s="101">
        <f t="shared" si="98"/>
        <v>0</v>
      </c>
      <c r="I1594" s="101">
        <f t="shared" si="99"/>
        <v>0</v>
      </c>
      <c r="J1594" s="101">
        <f t="shared" si="100"/>
        <v>0</v>
      </c>
    </row>
    <row r="1595" spans="2:10" x14ac:dyDescent="0.2">
      <c r="B1595" s="93"/>
      <c r="C1595" s="97"/>
      <c r="D1595" s="93"/>
      <c r="E1595" s="98"/>
      <c r="F1595" s="100">
        <v>1591</v>
      </c>
      <c r="G1595" s="101">
        <f t="shared" si="97"/>
        <v>0</v>
      </c>
      <c r="H1595" s="101">
        <f t="shared" si="98"/>
        <v>0</v>
      </c>
      <c r="I1595" s="101">
        <f t="shared" si="99"/>
        <v>0</v>
      </c>
      <c r="J1595" s="101">
        <f t="shared" si="100"/>
        <v>0</v>
      </c>
    </row>
    <row r="1596" spans="2:10" x14ac:dyDescent="0.2">
      <c r="B1596" s="93"/>
      <c r="C1596" s="97"/>
      <c r="D1596" s="93"/>
      <c r="E1596" s="98"/>
      <c r="F1596" s="100">
        <v>1592</v>
      </c>
      <c r="G1596" s="101">
        <f t="shared" si="97"/>
        <v>0</v>
      </c>
      <c r="H1596" s="101">
        <f t="shared" si="98"/>
        <v>0</v>
      </c>
      <c r="I1596" s="101">
        <f t="shared" si="99"/>
        <v>0</v>
      </c>
      <c r="J1596" s="101">
        <f t="shared" si="100"/>
        <v>0</v>
      </c>
    </row>
    <row r="1597" spans="2:10" x14ac:dyDescent="0.2">
      <c r="B1597" s="93"/>
      <c r="C1597" s="97"/>
      <c r="D1597" s="93"/>
      <c r="E1597" s="98"/>
      <c r="F1597" s="100">
        <v>1593</v>
      </c>
      <c r="G1597" s="101">
        <f t="shared" si="97"/>
        <v>0</v>
      </c>
      <c r="H1597" s="101">
        <f t="shared" si="98"/>
        <v>0</v>
      </c>
      <c r="I1597" s="101">
        <f t="shared" si="99"/>
        <v>0</v>
      </c>
      <c r="J1597" s="101">
        <f t="shared" si="100"/>
        <v>0</v>
      </c>
    </row>
    <row r="1598" spans="2:10" x14ac:dyDescent="0.2">
      <c r="B1598" s="93"/>
      <c r="C1598" s="97"/>
      <c r="D1598" s="93"/>
      <c r="E1598" s="98"/>
      <c r="F1598" s="100">
        <v>1594</v>
      </c>
      <c r="G1598" s="101">
        <f t="shared" si="97"/>
        <v>0</v>
      </c>
      <c r="H1598" s="101">
        <f t="shared" si="98"/>
        <v>0</v>
      </c>
      <c r="I1598" s="101">
        <f t="shared" si="99"/>
        <v>0</v>
      </c>
      <c r="J1598" s="101">
        <f t="shared" si="100"/>
        <v>0</v>
      </c>
    </row>
    <row r="1599" spans="2:10" x14ac:dyDescent="0.2">
      <c r="B1599" s="93"/>
      <c r="C1599" s="97"/>
      <c r="D1599" s="93"/>
      <c r="E1599" s="98"/>
      <c r="F1599" s="100">
        <v>1595</v>
      </c>
      <c r="G1599" s="101">
        <f t="shared" si="97"/>
        <v>0</v>
      </c>
      <c r="H1599" s="101">
        <f t="shared" si="98"/>
        <v>0</v>
      </c>
      <c r="I1599" s="101">
        <f t="shared" si="99"/>
        <v>0</v>
      </c>
      <c r="J1599" s="101">
        <f t="shared" si="100"/>
        <v>0</v>
      </c>
    </row>
    <row r="1600" spans="2:10" x14ac:dyDescent="0.2">
      <c r="B1600" s="93"/>
      <c r="C1600" s="97"/>
      <c r="D1600" s="93"/>
      <c r="E1600" s="98"/>
      <c r="F1600" s="100">
        <v>1596</v>
      </c>
      <c r="G1600" s="101">
        <f t="shared" si="97"/>
        <v>0</v>
      </c>
      <c r="H1600" s="101">
        <f t="shared" si="98"/>
        <v>0</v>
      </c>
      <c r="I1600" s="101">
        <f t="shared" si="99"/>
        <v>0</v>
      </c>
      <c r="J1600" s="101">
        <f t="shared" si="100"/>
        <v>0</v>
      </c>
    </row>
    <row r="1601" spans="2:10" x14ac:dyDescent="0.2">
      <c r="B1601" s="93"/>
      <c r="C1601" s="97"/>
      <c r="D1601" s="93"/>
      <c r="E1601" s="98"/>
      <c r="F1601" s="100">
        <v>1597</v>
      </c>
      <c r="G1601" s="101">
        <f t="shared" si="97"/>
        <v>0</v>
      </c>
      <c r="H1601" s="101">
        <f t="shared" si="98"/>
        <v>0</v>
      </c>
      <c r="I1601" s="101">
        <f t="shared" si="99"/>
        <v>0</v>
      </c>
      <c r="J1601" s="101">
        <f t="shared" si="100"/>
        <v>0</v>
      </c>
    </row>
    <row r="1602" spans="2:10" x14ac:dyDescent="0.2">
      <c r="B1602" s="93"/>
      <c r="C1602" s="97"/>
      <c r="D1602" s="93"/>
      <c r="E1602" s="98"/>
      <c r="F1602" s="100">
        <v>1598</v>
      </c>
      <c r="G1602" s="101">
        <f t="shared" si="97"/>
        <v>0</v>
      </c>
      <c r="H1602" s="101">
        <f t="shared" si="98"/>
        <v>0</v>
      </c>
      <c r="I1602" s="101">
        <f t="shared" si="99"/>
        <v>0</v>
      </c>
      <c r="J1602" s="101">
        <f t="shared" si="100"/>
        <v>0</v>
      </c>
    </row>
    <row r="1603" spans="2:10" x14ac:dyDescent="0.2">
      <c r="B1603" s="93"/>
      <c r="C1603" s="97"/>
      <c r="D1603" s="93"/>
      <c r="E1603" s="98"/>
      <c r="F1603" s="100">
        <v>1599</v>
      </c>
      <c r="G1603" s="101">
        <f t="shared" si="97"/>
        <v>0</v>
      </c>
      <c r="H1603" s="101">
        <f t="shared" si="98"/>
        <v>0</v>
      </c>
      <c r="I1603" s="101">
        <f t="shared" si="99"/>
        <v>0</v>
      </c>
      <c r="J1603" s="101">
        <f t="shared" si="100"/>
        <v>0</v>
      </c>
    </row>
    <row r="1604" spans="2:10" x14ac:dyDescent="0.2">
      <c r="B1604" s="93"/>
      <c r="C1604" s="97"/>
      <c r="D1604" s="93"/>
      <c r="E1604" s="98"/>
      <c r="F1604" s="100">
        <v>1600</v>
      </c>
      <c r="G1604" s="101">
        <f t="shared" si="97"/>
        <v>0</v>
      </c>
      <c r="H1604" s="101">
        <f t="shared" si="98"/>
        <v>0</v>
      </c>
      <c r="I1604" s="101">
        <f t="shared" si="99"/>
        <v>0</v>
      </c>
      <c r="J1604" s="101">
        <f t="shared" si="100"/>
        <v>0</v>
      </c>
    </row>
    <row r="1605" spans="2:10" x14ac:dyDescent="0.2">
      <c r="B1605" s="93"/>
      <c r="C1605" s="97"/>
      <c r="D1605" s="93"/>
      <c r="E1605" s="98"/>
      <c r="F1605" s="100">
        <v>1601</v>
      </c>
      <c r="G1605" s="101">
        <f t="shared" si="97"/>
        <v>0</v>
      </c>
      <c r="H1605" s="101">
        <f t="shared" si="98"/>
        <v>0</v>
      </c>
      <c r="I1605" s="101">
        <f t="shared" si="99"/>
        <v>0</v>
      </c>
      <c r="J1605" s="101">
        <f t="shared" si="100"/>
        <v>0</v>
      </c>
    </row>
    <row r="1606" spans="2:10" x14ac:dyDescent="0.2">
      <c r="B1606" s="93"/>
      <c r="C1606" s="97"/>
      <c r="D1606" s="93"/>
      <c r="E1606" s="98"/>
      <c r="F1606" s="100">
        <v>1602</v>
      </c>
      <c r="G1606" s="101">
        <f t="shared" ref="G1606:G1669" si="101">B1606</f>
        <v>0</v>
      </c>
      <c r="H1606" s="101">
        <f t="shared" ref="H1606:H1669" si="102">C1606</f>
        <v>0</v>
      </c>
      <c r="I1606" s="101">
        <f t="shared" ref="I1606:I1669" si="103">D1606</f>
        <v>0</v>
      </c>
      <c r="J1606" s="101">
        <f t="shared" ref="J1606:J1669" si="104">E1606</f>
        <v>0</v>
      </c>
    </row>
    <row r="1607" spans="2:10" x14ac:dyDescent="0.2">
      <c r="B1607" s="93"/>
      <c r="C1607" s="97"/>
      <c r="D1607" s="93"/>
      <c r="E1607" s="98"/>
      <c r="F1607" s="100">
        <v>1603</v>
      </c>
      <c r="G1607" s="101">
        <f t="shared" si="101"/>
        <v>0</v>
      </c>
      <c r="H1607" s="101">
        <f t="shared" si="102"/>
        <v>0</v>
      </c>
      <c r="I1607" s="101">
        <f t="shared" si="103"/>
        <v>0</v>
      </c>
      <c r="J1607" s="101">
        <f t="shared" si="104"/>
        <v>0</v>
      </c>
    </row>
    <row r="1608" spans="2:10" x14ac:dyDescent="0.2">
      <c r="B1608" s="93"/>
      <c r="C1608" s="97"/>
      <c r="D1608" s="93"/>
      <c r="E1608" s="98"/>
      <c r="F1608" s="100">
        <v>1604</v>
      </c>
      <c r="G1608" s="101">
        <f t="shared" si="101"/>
        <v>0</v>
      </c>
      <c r="H1608" s="101">
        <f t="shared" si="102"/>
        <v>0</v>
      </c>
      <c r="I1608" s="101">
        <f t="shared" si="103"/>
        <v>0</v>
      </c>
      <c r="J1608" s="101">
        <f t="shared" si="104"/>
        <v>0</v>
      </c>
    </row>
    <row r="1609" spans="2:10" x14ac:dyDescent="0.2">
      <c r="B1609" s="93"/>
      <c r="C1609" s="97"/>
      <c r="D1609" s="93"/>
      <c r="E1609" s="98"/>
      <c r="F1609" s="100">
        <v>1605</v>
      </c>
      <c r="G1609" s="101">
        <f t="shared" si="101"/>
        <v>0</v>
      </c>
      <c r="H1609" s="101">
        <f t="shared" si="102"/>
        <v>0</v>
      </c>
      <c r="I1609" s="101">
        <f t="shared" si="103"/>
        <v>0</v>
      </c>
      <c r="J1609" s="101">
        <f t="shared" si="104"/>
        <v>0</v>
      </c>
    </row>
    <row r="1610" spans="2:10" x14ac:dyDescent="0.2">
      <c r="B1610" s="93"/>
      <c r="C1610" s="97"/>
      <c r="D1610" s="93"/>
      <c r="E1610" s="98"/>
      <c r="F1610" s="100">
        <v>1606</v>
      </c>
      <c r="G1610" s="101">
        <f t="shared" si="101"/>
        <v>0</v>
      </c>
      <c r="H1610" s="101">
        <f t="shared" si="102"/>
        <v>0</v>
      </c>
      <c r="I1610" s="101">
        <f t="shared" si="103"/>
        <v>0</v>
      </c>
      <c r="J1610" s="101">
        <f t="shared" si="104"/>
        <v>0</v>
      </c>
    </row>
    <row r="1611" spans="2:10" x14ac:dyDescent="0.2">
      <c r="B1611" s="93"/>
      <c r="C1611" s="97"/>
      <c r="D1611" s="93"/>
      <c r="E1611" s="98"/>
      <c r="F1611" s="100">
        <v>1607</v>
      </c>
      <c r="G1611" s="101">
        <f t="shared" si="101"/>
        <v>0</v>
      </c>
      <c r="H1611" s="101">
        <f t="shared" si="102"/>
        <v>0</v>
      </c>
      <c r="I1611" s="101">
        <f t="shared" si="103"/>
        <v>0</v>
      </c>
      <c r="J1611" s="101">
        <f t="shared" si="104"/>
        <v>0</v>
      </c>
    </row>
    <row r="1612" spans="2:10" x14ac:dyDescent="0.2">
      <c r="B1612" s="93"/>
      <c r="C1612" s="97"/>
      <c r="D1612" s="93"/>
      <c r="E1612" s="98"/>
      <c r="F1612" s="100">
        <v>1608</v>
      </c>
      <c r="G1612" s="101">
        <f t="shared" si="101"/>
        <v>0</v>
      </c>
      <c r="H1612" s="101">
        <f t="shared" si="102"/>
        <v>0</v>
      </c>
      <c r="I1612" s="101">
        <f t="shared" si="103"/>
        <v>0</v>
      </c>
      <c r="J1612" s="101">
        <f t="shared" si="104"/>
        <v>0</v>
      </c>
    </row>
    <row r="1613" spans="2:10" x14ac:dyDescent="0.2">
      <c r="B1613" s="93"/>
      <c r="C1613" s="97"/>
      <c r="D1613" s="93"/>
      <c r="E1613" s="98"/>
      <c r="F1613" s="100">
        <v>1609</v>
      </c>
      <c r="G1613" s="101">
        <f t="shared" si="101"/>
        <v>0</v>
      </c>
      <c r="H1613" s="101">
        <f t="shared" si="102"/>
        <v>0</v>
      </c>
      <c r="I1613" s="101">
        <f t="shared" si="103"/>
        <v>0</v>
      </c>
      <c r="J1613" s="101">
        <f t="shared" si="104"/>
        <v>0</v>
      </c>
    </row>
    <row r="1614" spans="2:10" x14ac:dyDescent="0.2">
      <c r="B1614" s="93"/>
      <c r="C1614" s="97"/>
      <c r="D1614" s="93"/>
      <c r="E1614" s="98"/>
      <c r="F1614" s="100">
        <v>1610</v>
      </c>
      <c r="G1614" s="101">
        <f t="shared" si="101"/>
        <v>0</v>
      </c>
      <c r="H1614" s="101">
        <f t="shared" si="102"/>
        <v>0</v>
      </c>
      <c r="I1614" s="101">
        <f t="shared" si="103"/>
        <v>0</v>
      </c>
      <c r="J1614" s="101">
        <f t="shared" si="104"/>
        <v>0</v>
      </c>
    </row>
    <row r="1615" spans="2:10" x14ac:dyDescent="0.2">
      <c r="B1615" s="93"/>
      <c r="C1615" s="97"/>
      <c r="D1615" s="93"/>
      <c r="E1615" s="98"/>
      <c r="F1615" s="100">
        <v>1611</v>
      </c>
      <c r="G1615" s="101">
        <f t="shared" si="101"/>
        <v>0</v>
      </c>
      <c r="H1615" s="101">
        <f t="shared" si="102"/>
        <v>0</v>
      </c>
      <c r="I1615" s="101">
        <f t="shared" si="103"/>
        <v>0</v>
      </c>
      <c r="J1615" s="101">
        <f t="shared" si="104"/>
        <v>0</v>
      </c>
    </row>
    <row r="1616" spans="2:10" x14ac:dyDescent="0.2">
      <c r="B1616" s="93"/>
      <c r="C1616" s="97"/>
      <c r="D1616" s="93"/>
      <c r="E1616" s="98"/>
      <c r="F1616" s="100">
        <v>1612</v>
      </c>
      <c r="G1616" s="101">
        <f t="shared" si="101"/>
        <v>0</v>
      </c>
      <c r="H1616" s="101">
        <f t="shared" si="102"/>
        <v>0</v>
      </c>
      <c r="I1616" s="101">
        <f t="shared" si="103"/>
        <v>0</v>
      </c>
      <c r="J1616" s="101">
        <f t="shared" si="104"/>
        <v>0</v>
      </c>
    </row>
    <row r="1617" spans="2:10" x14ac:dyDescent="0.2">
      <c r="B1617" s="93"/>
      <c r="C1617" s="97"/>
      <c r="D1617" s="93"/>
      <c r="E1617" s="98"/>
      <c r="F1617" s="100">
        <v>1613</v>
      </c>
      <c r="G1617" s="101">
        <f t="shared" si="101"/>
        <v>0</v>
      </c>
      <c r="H1617" s="101">
        <f t="shared" si="102"/>
        <v>0</v>
      </c>
      <c r="I1617" s="101">
        <f t="shared" si="103"/>
        <v>0</v>
      </c>
      <c r="J1617" s="101">
        <f t="shared" si="104"/>
        <v>0</v>
      </c>
    </row>
    <row r="1618" spans="2:10" x14ac:dyDescent="0.2">
      <c r="B1618" s="93"/>
      <c r="C1618" s="97"/>
      <c r="D1618" s="93"/>
      <c r="E1618" s="98"/>
      <c r="F1618" s="100">
        <v>1614</v>
      </c>
      <c r="G1618" s="101">
        <f t="shared" si="101"/>
        <v>0</v>
      </c>
      <c r="H1618" s="101">
        <f t="shared" si="102"/>
        <v>0</v>
      </c>
      <c r="I1618" s="101">
        <f t="shared" si="103"/>
        <v>0</v>
      </c>
      <c r="J1618" s="101">
        <f t="shared" si="104"/>
        <v>0</v>
      </c>
    </row>
    <row r="1619" spans="2:10" x14ac:dyDescent="0.2">
      <c r="B1619" s="93"/>
      <c r="C1619" s="97"/>
      <c r="D1619" s="93"/>
      <c r="E1619" s="98"/>
      <c r="F1619" s="100">
        <v>1615</v>
      </c>
      <c r="G1619" s="101">
        <f t="shared" si="101"/>
        <v>0</v>
      </c>
      <c r="H1619" s="101">
        <f t="shared" si="102"/>
        <v>0</v>
      </c>
      <c r="I1619" s="101">
        <f t="shared" si="103"/>
        <v>0</v>
      </c>
      <c r="J1619" s="101">
        <f t="shared" si="104"/>
        <v>0</v>
      </c>
    </row>
    <row r="1620" spans="2:10" x14ac:dyDescent="0.2">
      <c r="B1620" s="93"/>
      <c r="C1620" s="97"/>
      <c r="D1620" s="93"/>
      <c r="E1620" s="98"/>
      <c r="F1620" s="100">
        <v>1616</v>
      </c>
      <c r="G1620" s="101">
        <f t="shared" si="101"/>
        <v>0</v>
      </c>
      <c r="H1620" s="101">
        <f t="shared" si="102"/>
        <v>0</v>
      </c>
      <c r="I1620" s="101">
        <f t="shared" si="103"/>
        <v>0</v>
      </c>
      <c r="J1620" s="101">
        <f t="shared" si="104"/>
        <v>0</v>
      </c>
    </row>
    <row r="1621" spans="2:10" x14ac:dyDescent="0.2">
      <c r="B1621" s="93"/>
      <c r="C1621" s="97"/>
      <c r="D1621" s="93"/>
      <c r="E1621" s="98"/>
      <c r="F1621" s="100">
        <v>1617</v>
      </c>
      <c r="G1621" s="101">
        <f t="shared" si="101"/>
        <v>0</v>
      </c>
      <c r="H1621" s="101">
        <f t="shared" si="102"/>
        <v>0</v>
      </c>
      <c r="I1621" s="101">
        <f t="shared" si="103"/>
        <v>0</v>
      </c>
      <c r="J1621" s="101">
        <f t="shared" si="104"/>
        <v>0</v>
      </c>
    </row>
    <row r="1622" spans="2:10" x14ac:dyDescent="0.2">
      <c r="B1622" s="93"/>
      <c r="C1622" s="97"/>
      <c r="D1622" s="93"/>
      <c r="E1622" s="98"/>
      <c r="F1622" s="100">
        <v>1618</v>
      </c>
      <c r="G1622" s="101">
        <f t="shared" si="101"/>
        <v>0</v>
      </c>
      <c r="H1622" s="101">
        <f t="shared" si="102"/>
        <v>0</v>
      </c>
      <c r="I1622" s="101">
        <f t="shared" si="103"/>
        <v>0</v>
      </c>
      <c r="J1622" s="101">
        <f t="shared" si="104"/>
        <v>0</v>
      </c>
    </row>
    <row r="1623" spans="2:10" x14ac:dyDescent="0.2">
      <c r="B1623" s="93"/>
      <c r="C1623" s="97"/>
      <c r="D1623" s="93"/>
      <c r="E1623" s="98"/>
      <c r="F1623" s="100">
        <v>1619</v>
      </c>
      <c r="G1623" s="101">
        <f t="shared" si="101"/>
        <v>0</v>
      </c>
      <c r="H1623" s="101">
        <f t="shared" si="102"/>
        <v>0</v>
      </c>
      <c r="I1623" s="101">
        <f t="shared" si="103"/>
        <v>0</v>
      </c>
      <c r="J1623" s="101">
        <f t="shared" si="104"/>
        <v>0</v>
      </c>
    </row>
    <row r="1624" spans="2:10" x14ac:dyDescent="0.2">
      <c r="B1624" s="93"/>
      <c r="C1624" s="97"/>
      <c r="D1624" s="93"/>
      <c r="E1624" s="98"/>
      <c r="F1624" s="100">
        <v>1620</v>
      </c>
      <c r="G1624" s="101">
        <f t="shared" si="101"/>
        <v>0</v>
      </c>
      <c r="H1624" s="101">
        <f t="shared" si="102"/>
        <v>0</v>
      </c>
      <c r="I1624" s="101">
        <f t="shared" si="103"/>
        <v>0</v>
      </c>
      <c r="J1624" s="101">
        <f t="shared" si="104"/>
        <v>0</v>
      </c>
    </row>
    <row r="1625" spans="2:10" x14ac:dyDescent="0.2">
      <c r="B1625" s="93"/>
      <c r="C1625" s="97"/>
      <c r="D1625" s="93"/>
      <c r="E1625" s="98"/>
      <c r="F1625" s="100">
        <v>1621</v>
      </c>
      <c r="G1625" s="101">
        <f t="shared" si="101"/>
        <v>0</v>
      </c>
      <c r="H1625" s="101">
        <f t="shared" si="102"/>
        <v>0</v>
      </c>
      <c r="I1625" s="101">
        <f t="shared" si="103"/>
        <v>0</v>
      </c>
      <c r="J1625" s="101">
        <f t="shared" si="104"/>
        <v>0</v>
      </c>
    </row>
    <row r="1626" spans="2:10" x14ac:dyDescent="0.2">
      <c r="B1626" s="93"/>
      <c r="C1626" s="97"/>
      <c r="D1626" s="93"/>
      <c r="E1626" s="98"/>
      <c r="F1626" s="100">
        <v>1622</v>
      </c>
      <c r="G1626" s="101">
        <f t="shared" si="101"/>
        <v>0</v>
      </c>
      <c r="H1626" s="101">
        <f t="shared" si="102"/>
        <v>0</v>
      </c>
      <c r="I1626" s="101">
        <f t="shared" si="103"/>
        <v>0</v>
      </c>
      <c r="J1626" s="101">
        <f t="shared" si="104"/>
        <v>0</v>
      </c>
    </row>
    <row r="1627" spans="2:10" x14ac:dyDescent="0.2">
      <c r="B1627" s="93"/>
      <c r="C1627" s="97"/>
      <c r="D1627" s="93"/>
      <c r="E1627" s="98"/>
      <c r="F1627" s="100">
        <v>1623</v>
      </c>
      <c r="G1627" s="101">
        <f t="shared" si="101"/>
        <v>0</v>
      </c>
      <c r="H1627" s="101">
        <f t="shared" si="102"/>
        <v>0</v>
      </c>
      <c r="I1627" s="101">
        <f t="shared" si="103"/>
        <v>0</v>
      </c>
      <c r="J1627" s="101">
        <f t="shared" si="104"/>
        <v>0</v>
      </c>
    </row>
    <row r="1628" spans="2:10" x14ac:dyDescent="0.2">
      <c r="B1628" s="93"/>
      <c r="C1628" s="97"/>
      <c r="D1628" s="93"/>
      <c r="E1628" s="98"/>
      <c r="F1628" s="100">
        <v>1624</v>
      </c>
      <c r="G1628" s="101">
        <f t="shared" si="101"/>
        <v>0</v>
      </c>
      <c r="H1628" s="101">
        <f t="shared" si="102"/>
        <v>0</v>
      </c>
      <c r="I1628" s="101">
        <f t="shared" si="103"/>
        <v>0</v>
      </c>
      <c r="J1628" s="101">
        <f t="shared" si="104"/>
        <v>0</v>
      </c>
    </row>
    <row r="1629" spans="2:10" x14ac:dyDescent="0.2">
      <c r="B1629" s="93"/>
      <c r="C1629" s="97"/>
      <c r="D1629" s="93"/>
      <c r="E1629" s="98"/>
      <c r="F1629" s="100">
        <v>1625</v>
      </c>
      <c r="G1629" s="101">
        <f t="shared" si="101"/>
        <v>0</v>
      </c>
      <c r="H1629" s="101">
        <f t="shared" si="102"/>
        <v>0</v>
      </c>
      <c r="I1629" s="101">
        <f t="shared" si="103"/>
        <v>0</v>
      </c>
      <c r="J1629" s="101">
        <f t="shared" si="104"/>
        <v>0</v>
      </c>
    </row>
    <row r="1630" spans="2:10" x14ac:dyDescent="0.2">
      <c r="B1630" s="93"/>
      <c r="C1630" s="97"/>
      <c r="D1630" s="93"/>
      <c r="E1630" s="98"/>
      <c r="F1630" s="100">
        <v>1626</v>
      </c>
      <c r="G1630" s="101">
        <f t="shared" si="101"/>
        <v>0</v>
      </c>
      <c r="H1630" s="101">
        <f t="shared" si="102"/>
        <v>0</v>
      </c>
      <c r="I1630" s="101">
        <f t="shared" si="103"/>
        <v>0</v>
      </c>
      <c r="J1630" s="101">
        <f t="shared" si="104"/>
        <v>0</v>
      </c>
    </row>
    <row r="1631" spans="2:10" x14ac:dyDescent="0.2">
      <c r="B1631" s="93"/>
      <c r="C1631" s="97"/>
      <c r="D1631" s="93"/>
      <c r="E1631" s="98"/>
      <c r="F1631" s="100">
        <v>1627</v>
      </c>
      <c r="G1631" s="101">
        <f t="shared" si="101"/>
        <v>0</v>
      </c>
      <c r="H1631" s="101">
        <f t="shared" si="102"/>
        <v>0</v>
      </c>
      <c r="I1631" s="101">
        <f t="shared" si="103"/>
        <v>0</v>
      </c>
      <c r="J1631" s="101">
        <f t="shared" si="104"/>
        <v>0</v>
      </c>
    </row>
    <row r="1632" spans="2:10" x14ac:dyDescent="0.2">
      <c r="B1632" s="93"/>
      <c r="C1632" s="97"/>
      <c r="D1632" s="93"/>
      <c r="E1632" s="98"/>
      <c r="F1632" s="100">
        <v>1628</v>
      </c>
      <c r="G1632" s="101">
        <f t="shared" si="101"/>
        <v>0</v>
      </c>
      <c r="H1632" s="101">
        <f t="shared" si="102"/>
        <v>0</v>
      </c>
      <c r="I1632" s="101">
        <f t="shared" si="103"/>
        <v>0</v>
      </c>
      <c r="J1632" s="101">
        <f t="shared" si="104"/>
        <v>0</v>
      </c>
    </row>
    <row r="1633" spans="2:10" x14ac:dyDescent="0.2">
      <c r="B1633" s="93"/>
      <c r="C1633" s="97"/>
      <c r="D1633" s="93"/>
      <c r="E1633" s="98"/>
      <c r="F1633" s="100">
        <v>1629</v>
      </c>
      <c r="G1633" s="101">
        <f t="shared" si="101"/>
        <v>0</v>
      </c>
      <c r="H1633" s="101">
        <f t="shared" si="102"/>
        <v>0</v>
      </c>
      <c r="I1633" s="101">
        <f t="shared" si="103"/>
        <v>0</v>
      </c>
      <c r="J1633" s="101">
        <f t="shared" si="104"/>
        <v>0</v>
      </c>
    </row>
    <row r="1634" spans="2:10" x14ac:dyDescent="0.2">
      <c r="B1634" s="93"/>
      <c r="C1634" s="97"/>
      <c r="D1634" s="93"/>
      <c r="E1634" s="98"/>
      <c r="F1634" s="100">
        <v>1630</v>
      </c>
      <c r="G1634" s="101">
        <f t="shared" si="101"/>
        <v>0</v>
      </c>
      <c r="H1634" s="101">
        <f t="shared" si="102"/>
        <v>0</v>
      </c>
      <c r="I1634" s="101">
        <f t="shared" si="103"/>
        <v>0</v>
      </c>
      <c r="J1634" s="101">
        <f t="shared" si="104"/>
        <v>0</v>
      </c>
    </row>
    <row r="1635" spans="2:10" x14ac:dyDescent="0.2">
      <c r="B1635" s="93"/>
      <c r="C1635" s="97"/>
      <c r="D1635" s="93"/>
      <c r="E1635" s="98"/>
      <c r="F1635" s="100">
        <v>1631</v>
      </c>
      <c r="G1635" s="101">
        <f t="shared" si="101"/>
        <v>0</v>
      </c>
      <c r="H1635" s="101">
        <f t="shared" si="102"/>
        <v>0</v>
      </c>
      <c r="I1635" s="101">
        <f t="shared" si="103"/>
        <v>0</v>
      </c>
      <c r="J1635" s="101">
        <f t="shared" si="104"/>
        <v>0</v>
      </c>
    </row>
    <row r="1636" spans="2:10" x14ac:dyDescent="0.2">
      <c r="B1636" s="93"/>
      <c r="C1636" s="97"/>
      <c r="D1636" s="93"/>
      <c r="E1636" s="98"/>
      <c r="F1636" s="100">
        <v>1632</v>
      </c>
      <c r="G1636" s="101">
        <f t="shared" si="101"/>
        <v>0</v>
      </c>
      <c r="H1636" s="101">
        <f t="shared" si="102"/>
        <v>0</v>
      </c>
      <c r="I1636" s="101">
        <f t="shared" si="103"/>
        <v>0</v>
      </c>
      <c r="J1636" s="101">
        <f t="shared" si="104"/>
        <v>0</v>
      </c>
    </row>
    <row r="1637" spans="2:10" x14ac:dyDescent="0.2">
      <c r="B1637" s="93"/>
      <c r="C1637" s="97"/>
      <c r="D1637" s="93"/>
      <c r="E1637" s="98"/>
      <c r="F1637" s="100">
        <v>1633</v>
      </c>
      <c r="G1637" s="101">
        <f t="shared" si="101"/>
        <v>0</v>
      </c>
      <c r="H1637" s="101">
        <f t="shared" si="102"/>
        <v>0</v>
      </c>
      <c r="I1637" s="101">
        <f t="shared" si="103"/>
        <v>0</v>
      </c>
      <c r="J1637" s="101">
        <f t="shared" si="104"/>
        <v>0</v>
      </c>
    </row>
    <row r="1638" spans="2:10" x14ac:dyDescent="0.2">
      <c r="B1638" s="93"/>
      <c r="C1638" s="97"/>
      <c r="D1638" s="93"/>
      <c r="E1638" s="98"/>
      <c r="F1638" s="100">
        <v>1634</v>
      </c>
      <c r="G1638" s="101">
        <f t="shared" si="101"/>
        <v>0</v>
      </c>
      <c r="H1638" s="101">
        <f t="shared" si="102"/>
        <v>0</v>
      </c>
      <c r="I1638" s="101">
        <f t="shared" si="103"/>
        <v>0</v>
      </c>
      <c r="J1638" s="101">
        <f t="shared" si="104"/>
        <v>0</v>
      </c>
    </row>
    <row r="1639" spans="2:10" x14ac:dyDescent="0.2">
      <c r="B1639" s="93"/>
      <c r="C1639" s="97"/>
      <c r="D1639" s="93"/>
      <c r="E1639" s="98"/>
      <c r="F1639" s="100">
        <v>1635</v>
      </c>
      <c r="G1639" s="101">
        <f t="shared" si="101"/>
        <v>0</v>
      </c>
      <c r="H1639" s="101">
        <f t="shared" si="102"/>
        <v>0</v>
      </c>
      <c r="I1639" s="101">
        <f t="shared" si="103"/>
        <v>0</v>
      </c>
      <c r="J1639" s="101">
        <f t="shared" si="104"/>
        <v>0</v>
      </c>
    </row>
    <row r="1640" spans="2:10" x14ac:dyDescent="0.2">
      <c r="B1640" s="93"/>
      <c r="C1640" s="97"/>
      <c r="D1640" s="93"/>
      <c r="E1640" s="98"/>
      <c r="F1640" s="100">
        <v>1636</v>
      </c>
      <c r="G1640" s="101">
        <f t="shared" si="101"/>
        <v>0</v>
      </c>
      <c r="H1640" s="101">
        <f t="shared" si="102"/>
        <v>0</v>
      </c>
      <c r="I1640" s="101">
        <f t="shared" si="103"/>
        <v>0</v>
      </c>
      <c r="J1640" s="101">
        <f t="shared" si="104"/>
        <v>0</v>
      </c>
    </row>
    <row r="1641" spans="2:10" x14ac:dyDescent="0.2">
      <c r="B1641" s="93"/>
      <c r="C1641" s="97"/>
      <c r="D1641" s="93"/>
      <c r="E1641" s="98"/>
      <c r="F1641" s="100">
        <v>1637</v>
      </c>
      <c r="G1641" s="101">
        <f t="shared" si="101"/>
        <v>0</v>
      </c>
      <c r="H1641" s="101">
        <f t="shared" si="102"/>
        <v>0</v>
      </c>
      <c r="I1641" s="101">
        <f t="shared" si="103"/>
        <v>0</v>
      </c>
      <c r="J1641" s="101">
        <f t="shared" si="104"/>
        <v>0</v>
      </c>
    </row>
    <row r="1642" spans="2:10" x14ac:dyDescent="0.2">
      <c r="B1642" s="93"/>
      <c r="C1642" s="97"/>
      <c r="D1642" s="93"/>
      <c r="E1642" s="98"/>
      <c r="F1642" s="100">
        <v>1638</v>
      </c>
      <c r="G1642" s="101">
        <f t="shared" si="101"/>
        <v>0</v>
      </c>
      <c r="H1642" s="101">
        <f t="shared" si="102"/>
        <v>0</v>
      </c>
      <c r="I1642" s="101">
        <f t="shared" si="103"/>
        <v>0</v>
      </c>
      <c r="J1642" s="101">
        <f t="shared" si="104"/>
        <v>0</v>
      </c>
    </row>
    <row r="1643" spans="2:10" x14ac:dyDescent="0.2">
      <c r="B1643" s="93"/>
      <c r="C1643" s="97"/>
      <c r="D1643" s="93"/>
      <c r="E1643" s="98"/>
      <c r="F1643" s="100">
        <v>1639</v>
      </c>
      <c r="G1643" s="101">
        <f t="shared" si="101"/>
        <v>0</v>
      </c>
      <c r="H1643" s="101">
        <f t="shared" si="102"/>
        <v>0</v>
      </c>
      <c r="I1643" s="101">
        <f t="shared" si="103"/>
        <v>0</v>
      </c>
      <c r="J1643" s="101">
        <f t="shared" si="104"/>
        <v>0</v>
      </c>
    </row>
    <row r="1644" spans="2:10" x14ac:dyDescent="0.2">
      <c r="B1644" s="93"/>
      <c r="C1644" s="97"/>
      <c r="D1644" s="93"/>
      <c r="E1644" s="98"/>
      <c r="F1644" s="100">
        <v>1640</v>
      </c>
      <c r="G1644" s="101">
        <f t="shared" si="101"/>
        <v>0</v>
      </c>
      <c r="H1644" s="101">
        <f t="shared" si="102"/>
        <v>0</v>
      </c>
      <c r="I1644" s="101">
        <f t="shared" si="103"/>
        <v>0</v>
      </c>
      <c r="J1644" s="101">
        <f t="shared" si="104"/>
        <v>0</v>
      </c>
    </row>
    <row r="1645" spans="2:10" x14ac:dyDescent="0.2">
      <c r="B1645" s="93"/>
      <c r="C1645" s="97"/>
      <c r="D1645" s="93"/>
      <c r="E1645" s="98"/>
      <c r="F1645" s="100">
        <v>1641</v>
      </c>
      <c r="G1645" s="101">
        <f t="shared" si="101"/>
        <v>0</v>
      </c>
      <c r="H1645" s="101">
        <f t="shared" si="102"/>
        <v>0</v>
      </c>
      <c r="I1645" s="101">
        <f t="shared" si="103"/>
        <v>0</v>
      </c>
      <c r="J1645" s="101">
        <f t="shared" si="104"/>
        <v>0</v>
      </c>
    </row>
    <row r="1646" spans="2:10" x14ac:dyDescent="0.2">
      <c r="B1646" s="93"/>
      <c r="C1646" s="97"/>
      <c r="D1646" s="93"/>
      <c r="E1646" s="98"/>
      <c r="F1646" s="100">
        <v>1642</v>
      </c>
      <c r="G1646" s="101">
        <f t="shared" si="101"/>
        <v>0</v>
      </c>
      <c r="H1646" s="101">
        <f t="shared" si="102"/>
        <v>0</v>
      </c>
      <c r="I1646" s="101">
        <f t="shared" si="103"/>
        <v>0</v>
      </c>
      <c r="J1646" s="101">
        <f t="shared" si="104"/>
        <v>0</v>
      </c>
    </row>
    <row r="1647" spans="2:10" x14ac:dyDescent="0.2">
      <c r="B1647" s="93"/>
      <c r="C1647" s="97"/>
      <c r="D1647" s="93"/>
      <c r="E1647" s="98"/>
      <c r="F1647" s="100">
        <v>1643</v>
      </c>
      <c r="G1647" s="101">
        <f t="shared" si="101"/>
        <v>0</v>
      </c>
      <c r="H1647" s="101">
        <f t="shared" si="102"/>
        <v>0</v>
      </c>
      <c r="I1647" s="101">
        <f t="shared" si="103"/>
        <v>0</v>
      </c>
      <c r="J1647" s="101">
        <f t="shared" si="104"/>
        <v>0</v>
      </c>
    </row>
    <row r="1648" spans="2:10" x14ac:dyDescent="0.2">
      <c r="B1648" s="93"/>
      <c r="C1648" s="97"/>
      <c r="D1648" s="93"/>
      <c r="E1648" s="98"/>
      <c r="F1648" s="100">
        <v>1644</v>
      </c>
      <c r="G1648" s="101">
        <f t="shared" si="101"/>
        <v>0</v>
      </c>
      <c r="H1648" s="101">
        <f t="shared" si="102"/>
        <v>0</v>
      </c>
      <c r="I1648" s="101">
        <f t="shared" si="103"/>
        <v>0</v>
      </c>
      <c r="J1648" s="101">
        <f t="shared" si="104"/>
        <v>0</v>
      </c>
    </row>
    <row r="1649" spans="2:10" x14ac:dyDescent="0.2">
      <c r="B1649" s="93"/>
      <c r="C1649" s="97"/>
      <c r="D1649" s="93"/>
      <c r="E1649" s="98"/>
      <c r="F1649" s="100">
        <v>1645</v>
      </c>
      <c r="G1649" s="101">
        <f t="shared" si="101"/>
        <v>0</v>
      </c>
      <c r="H1649" s="101">
        <f t="shared" si="102"/>
        <v>0</v>
      </c>
      <c r="I1649" s="101">
        <f t="shared" si="103"/>
        <v>0</v>
      </c>
      <c r="J1649" s="101">
        <f t="shared" si="104"/>
        <v>0</v>
      </c>
    </row>
    <row r="1650" spans="2:10" x14ac:dyDescent="0.2">
      <c r="B1650" s="93"/>
      <c r="C1650" s="97"/>
      <c r="D1650" s="93"/>
      <c r="E1650" s="98"/>
      <c r="F1650" s="100">
        <v>1646</v>
      </c>
      <c r="G1650" s="101">
        <f t="shared" si="101"/>
        <v>0</v>
      </c>
      <c r="H1650" s="101">
        <f t="shared" si="102"/>
        <v>0</v>
      </c>
      <c r="I1650" s="101">
        <f t="shared" si="103"/>
        <v>0</v>
      </c>
      <c r="J1650" s="101">
        <f t="shared" si="104"/>
        <v>0</v>
      </c>
    </row>
    <row r="1651" spans="2:10" x14ac:dyDescent="0.2">
      <c r="B1651" s="93"/>
      <c r="C1651" s="97"/>
      <c r="D1651" s="93"/>
      <c r="E1651" s="98"/>
      <c r="F1651" s="100">
        <v>1647</v>
      </c>
      <c r="G1651" s="101">
        <f t="shared" si="101"/>
        <v>0</v>
      </c>
      <c r="H1651" s="101">
        <f t="shared" si="102"/>
        <v>0</v>
      </c>
      <c r="I1651" s="101">
        <f t="shared" si="103"/>
        <v>0</v>
      </c>
      <c r="J1651" s="101">
        <f t="shared" si="104"/>
        <v>0</v>
      </c>
    </row>
    <row r="1652" spans="2:10" x14ac:dyDescent="0.2">
      <c r="B1652" s="93"/>
      <c r="C1652" s="97"/>
      <c r="D1652" s="93"/>
      <c r="E1652" s="98"/>
      <c r="F1652" s="100">
        <v>1648</v>
      </c>
      <c r="G1652" s="101">
        <f t="shared" si="101"/>
        <v>0</v>
      </c>
      <c r="H1652" s="101">
        <f t="shared" si="102"/>
        <v>0</v>
      </c>
      <c r="I1652" s="101">
        <f t="shared" si="103"/>
        <v>0</v>
      </c>
      <c r="J1652" s="101">
        <f t="shared" si="104"/>
        <v>0</v>
      </c>
    </row>
    <row r="1653" spans="2:10" x14ac:dyDescent="0.2">
      <c r="B1653" s="93"/>
      <c r="C1653" s="97"/>
      <c r="D1653" s="93"/>
      <c r="E1653" s="98"/>
      <c r="F1653" s="100">
        <v>1649</v>
      </c>
      <c r="G1653" s="101">
        <f t="shared" si="101"/>
        <v>0</v>
      </c>
      <c r="H1653" s="101">
        <f t="shared" si="102"/>
        <v>0</v>
      </c>
      <c r="I1653" s="101">
        <f t="shared" si="103"/>
        <v>0</v>
      </c>
      <c r="J1653" s="101">
        <f t="shared" si="104"/>
        <v>0</v>
      </c>
    </row>
    <row r="1654" spans="2:10" x14ac:dyDescent="0.2">
      <c r="B1654" s="93"/>
      <c r="C1654" s="97"/>
      <c r="D1654" s="93"/>
      <c r="E1654" s="98"/>
      <c r="F1654" s="100">
        <v>1650</v>
      </c>
      <c r="G1654" s="101">
        <f t="shared" si="101"/>
        <v>0</v>
      </c>
      <c r="H1654" s="101">
        <f t="shared" si="102"/>
        <v>0</v>
      </c>
      <c r="I1654" s="101">
        <f t="shared" si="103"/>
        <v>0</v>
      </c>
      <c r="J1654" s="101">
        <f t="shared" si="104"/>
        <v>0</v>
      </c>
    </row>
    <row r="1655" spans="2:10" x14ac:dyDescent="0.2">
      <c r="B1655" s="93"/>
      <c r="C1655" s="97"/>
      <c r="D1655" s="93"/>
      <c r="E1655" s="98"/>
      <c r="F1655" s="100">
        <v>1651</v>
      </c>
      <c r="G1655" s="101">
        <f t="shared" si="101"/>
        <v>0</v>
      </c>
      <c r="H1655" s="101">
        <f t="shared" si="102"/>
        <v>0</v>
      </c>
      <c r="I1655" s="101">
        <f t="shared" si="103"/>
        <v>0</v>
      </c>
      <c r="J1655" s="101">
        <f t="shared" si="104"/>
        <v>0</v>
      </c>
    </row>
    <row r="1656" spans="2:10" x14ac:dyDescent="0.2">
      <c r="B1656" s="93"/>
      <c r="C1656" s="97"/>
      <c r="D1656" s="93"/>
      <c r="E1656" s="98"/>
      <c r="F1656" s="100">
        <v>1652</v>
      </c>
      <c r="G1656" s="101">
        <f t="shared" si="101"/>
        <v>0</v>
      </c>
      <c r="H1656" s="101">
        <f t="shared" si="102"/>
        <v>0</v>
      </c>
      <c r="I1656" s="101">
        <f t="shared" si="103"/>
        <v>0</v>
      </c>
      <c r="J1656" s="101">
        <f t="shared" si="104"/>
        <v>0</v>
      </c>
    </row>
    <row r="1657" spans="2:10" x14ac:dyDescent="0.2">
      <c r="B1657" s="93"/>
      <c r="C1657" s="97"/>
      <c r="D1657" s="93"/>
      <c r="E1657" s="98"/>
      <c r="F1657" s="100">
        <v>1653</v>
      </c>
      <c r="G1657" s="101">
        <f t="shared" si="101"/>
        <v>0</v>
      </c>
      <c r="H1657" s="101">
        <f t="shared" si="102"/>
        <v>0</v>
      </c>
      <c r="I1657" s="101">
        <f t="shared" si="103"/>
        <v>0</v>
      </c>
      <c r="J1657" s="101">
        <f t="shared" si="104"/>
        <v>0</v>
      </c>
    </row>
    <row r="1658" spans="2:10" x14ac:dyDescent="0.2">
      <c r="B1658" s="93"/>
      <c r="C1658" s="97"/>
      <c r="D1658" s="93"/>
      <c r="E1658" s="98"/>
      <c r="F1658" s="100">
        <v>1654</v>
      </c>
      <c r="G1658" s="101">
        <f t="shared" si="101"/>
        <v>0</v>
      </c>
      <c r="H1658" s="101">
        <f t="shared" si="102"/>
        <v>0</v>
      </c>
      <c r="I1658" s="101">
        <f t="shared" si="103"/>
        <v>0</v>
      </c>
      <c r="J1658" s="101">
        <f t="shared" si="104"/>
        <v>0</v>
      </c>
    </row>
    <row r="1659" spans="2:10" x14ac:dyDescent="0.2">
      <c r="B1659" s="93"/>
      <c r="C1659" s="97"/>
      <c r="D1659" s="93"/>
      <c r="E1659" s="98"/>
      <c r="F1659" s="100">
        <v>1655</v>
      </c>
      <c r="G1659" s="101">
        <f t="shared" si="101"/>
        <v>0</v>
      </c>
      <c r="H1659" s="101">
        <f t="shared" si="102"/>
        <v>0</v>
      </c>
      <c r="I1659" s="101">
        <f t="shared" si="103"/>
        <v>0</v>
      </c>
      <c r="J1659" s="101">
        <f t="shared" si="104"/>
        <v>0</v>
      </c>
    </row>
    <row r="1660" spans="2:10" x14ac:dyDescent="0.2">
      <c r="B1660" s="93"/>
      <c r="C1660" s="97"/>
      <c r="D1660" s="93"/>
      <c r="E1660" s="98"/>
      <c r="F1660" s="100">
        <v>1656</v>
      </c>
      <c r="G1660" s="101">
        <f t="shared" si="101"/>
        <v>0</v>
      </c>
      <c r="H1660" s="101">
        <f t="shared" si="102"/>
        <v>0</v>
      </c>
      <c r="I1660" s="101">
        <f t="shared" si="103"/>
        <v>0</v>
      </c>
      <c r="J1660" s="101">
        <f t="shared" si="104"/>
        <v>0</v>
      </c>
    </row>
    <row r="1661" spans="2:10" x14ac:dyDescent="0.2">
      <c r="B1661" s="93"/>
      <c r="C1661" s="97"/>
      <c r="D1661" s="93"/>
      <c r="E1661" s="98"/>
      <c r="F1661" s="100">
        <v>1657</v>
      </c>
      <c r="G1661" s="101">
        <f t="shared" si="101"/>
        <v>0</v>
      </c>
      <c r="H1661" s="101">
        <f t="shared" si="102"/>
        <v>0</v>
      </c>
      <c r="I1661" s="101">
        <f t="shared" si="103"/>
        <v>0</v>
      </c>
      <c r="J1661" s="101">
        <f t="shared" si="104"/>
        <v>0</v>
      </c>
    </row>
    <row r="1662" spans="2:10" x14ac:dyDescent="0.2">
      <c r="B1662" s="93"/>
      <c r="C1662" s="97"/>
      <c r="D1662" s="93"/>
      <c r="E1662" s="98"/>
      <c r="F1662" s="100">
        <v>1658</v>
      </c>
      <c r="G1662" s="101">
        <f t="shared" si="101"/>
        <v>0</v>
      </c>
      <c r="H1662" s="101">
        <f t="shared" si="102"/>
        <v>0</v>
      </c>
      <c r="I1662" s="101">
        <f t="shared" si="103"/>
        <v>0</v>
      </c>
      <c r="J1662" s="101">
        <f t="shared" si="104"/>
        <v>0</v>
      </c>
    </row>
    <row r="1663" spans="2:10" x14ac:dyDescent="0.2">
      <c r="B1663" s="93"/>
      <c r="C1663" s="97"/>
      <c r="D1663" s="93"/>
      <c r="E1663" s="98"/>
      <c r="F1663" s="100">
        <v>1659</v>
      </c>
      <c r="G1663" s="101">
        <f t="shared" si="101"/>
        <v>0</v>
      </c>
      <c r="H1663" s="101">
        <f t="shared" si="102"/>
        <v>0</v>
      </c>
      <c r="I1663" s="101">
        <f t="shared" si="103"/>
        <v>0</v>
      </c>
      <c r="J1663" s="101">
        <f t="shared" si="104"/>
        <v>0</v>
      </c>
    </row>
    <row r="1664" spans="2:10" x14ac:dyDescent="0.2">
      <c r="B1664" s="93"/>
      <c r="C1664" s="97"/>
      <c r="D1664" s="93"/>
      <c r="E1664" s="98"/>
      <c r="F1664" s="100">
        <v>1660</v>
      </c>
      <c r="G1664" s="101">
        <f t="shared" si="101"/>
        <v>0</v>
      </c>
      <c r="H1664" s="101">
        <f t="shared" si="102"/>
        <v>0</v>
      </c>
      <c r="I1664" s="101">
        <f t="shared" si="103"/>
        <v>0</v>
      </c>
      <c r="J1664" s="101">
        <f t="shared" si="104"/>
        <v>0</v>
      </c>
    </row>
    <row r="1665" spans="2:10" x14ac:dyDescent="0.2">
      <c r="B1665" s="93"/>
      <c r="C1665" s="97"/>
      <c r="D1665" s="93"/>
      <c r="E1665" s="98"/>
      <c r="F1665" s="100">
        <v>1661</v>
      </c>
      <c r="G1665" s="101">
        <f t="shared" si="101"/>
        <v>0</v>
      </c>
      <c r="H1665" s="101">
        <f t="shared" si="102"/>
        <v>0</v>
      </c>
      <c r="I1665" s="101">
        <f t="shared" si="103"/>
        <v>0</v>
      </c>
      <c r="J1665" s="101">
        <f t="shared" si="104"/>
        <v>0</v>
      </c>
    </row>
    <row r="1666" spans="2:10" x14ac:dyDescent="0.2">
      <c r="B1666" s="93"/>
      <c r="C1666" s="97"/>
      <c r="D1666" s="93"/>
      <c r="E1666" s="98"/>
      <c r="F1666" s="100">
        <v>1662</v>
      </c>
      <c r="G1666" s="101">
        <f t="shared" si="101"/>
        <v>0</v>
      </c>
      <c r="H1666" s="101">
        <f t="shared" si="102"/>
        <v>0</v>
      </c>
      <c r="I1666" s="101">
        <f t="shared" si="103"/>
        <v>0</v>
      </c>
      <c r="J1666" s="101">
        <f t="shared" si="104"/>
        <v>0</v>
      </c>
    </row>
    <row r="1667" spans="2:10" x14ac:dyDescent="0.2">
      <c r="B1667" s="93"/>
      <c r="C1667" s="97"/>
      <c r="D1667" s="93"/>
      <c r="E1667" s="98"/>
      <c r="F1667" s="100">
        <v>1663</v>
      </c>
      <c r="G1667" s="101">
        <f t="shared" si="101"/>
        <v>0</v>
      </c>
      <c r="H1667" s="101">
        <f t="shared" si="102"/>
        <v>0</v>
      </c>
      <c r="I1667" s="101">
        <f t="shared" si="103"/>
        <v>0</v>
      </c>
      <c r="J1667" s="101">
        <f t="shared" si="104"/>
        <v>0</v>
      </c>
    </row>
    <row r="1668" spans="2:10" x14ac:dyDescent="0.2">
      <c r="B1668" s="93"/>
      <c r="C1668" s="97"/>
      <c r="D1668" s="93"/>
      <c r="E1668" s="98"/>
      <c r="F1668" s="100">
        <v>1664</v>
      </c>
      <c r="G1668" s="101">
        <f t="shared" si="101"/>
        <v>0</v>
      </c>
      <c r="H1668" s="101">
        <f t="shared" si="102"/>
        <v>0</v>
      </c>
      <c r="I1668" s="101">
        <f t="shared" si="103"/>
        <v>0</v>
      </c>
      <c r="J1668" s="101">
        <f t="shared" si="104"/>
        <v>0</v>
      </c>
    </row>
    <row r="1669" spans="2:10" x14ac:dyDescent="0.2">
      <c r="B1669" s="93"/>
      <c r="C1669" s="97"/>
      <c r="D1669" s="93"/>
      <c r="E1669" s="98"/>
      <c r="F1669" s="100">
        <v>1665</v>
      </c>
      <c r="G1669" s="101">
        <f t="shared" si="101"/>
        <v>0</v>
      </c>
      <c r="H1669" s="101">
        <f t="shared" si="102"/>
        <v>0</v>
      </c>
      <c r="I1669" s="101">
        <f t="shared" si="103"/>
        <v>0</v>
      </c>
      <c r="J1669" s="101">
        <f t="shared" si="104"/>
        <v>0</v>
      </c>
    </row>
    <row r="1670" spans="2:10" x14ac:dyDescent="0.2">
      <c r="B1670" s="93"/>
      <c r="C1670" s="97"/>
      <c r="D1670" s="93"/>
      <c r="E1670" s="98"/>
      <c r="F1670" s="100">
        <v>1666</v>
      </c>
      <c r="G1670" s="101">
        <f t="shared" ref="G1670:G1733" si="105">B1670</f>
        <v>0</v>
      </c>
      <c r="H1670" s="101">
        <f t="shared" ref="H1670:H1733" si="106">C1670</f>
        <v>0</v>
      </c>
      <c r="I1670" s="101">
        <f t="shared" ref="I1670:I1733" si="107">D1670</f>
        <v>0</v>
      </c>
      <c r="J1670" s="101">
        <f t="shared" ref="J1670:J1733" si="108">E1670</f>
        <v>0</v>
      </c>
    </row>
    <row r="1671" spans="2:10" x14ac:dyDescent="0.2">
      <c r="B1671" s="93"/>
      <c r="C1671" s="97"/>
      <c r="D1671" s="93"/>
      <c r="E1671" s="98"/>
      <c r="F1671" s="100">
        <v>1667</v>
      </c>
      <c r="G1671" s="101">
        <f t="shared" si="105"/>
        <v>0</v>
      </c>
      <c r="H1671" s="101">
        <f t="shared" si="106"/>
        <v>0</v>
      </c>
      <c r="I1671" s="101">
        <f t="shared" si="107"/>
        <v>0</v>
      </c>
      <c r="J1671" s="101">
        <f t="shared" si="108"/>
        <v>0</v>
      </c>
    </row>
    <row r="1672" spans="2:10" x14ac:dyDescent="0.2">
      <c r="B1672" s="93"/>
      <c r="C1672" s="97"/>
      <c r="D1672" s="93"/>
      <c r="E1672" s="98"/>
      <c r="F1672" s="100">
        <v>1668</v>
      </c>
      <c r="G1672" s="101">
        <f t="shared" si="105"/>
        <v>0</v>
      </c>
      <c r="H1672" s="101">
        <f t="shared" si="106"/>
        <v>0</v>
      </c>
      <c r="I1672" s="101">
        <f t="shared" si="107"/>
        <v>0</v>
      </c>
      <c r="J1672" s="101">
        <f t="shared" si="108"/>
        <v>0</v>
      </c>
    </row>
    <row r="1673" spans="2:10" x14ac:dyDescent="0.2">
      <c r="B1673" s="93"/>
      <c r="C1673" s="97"/>
      <c r="D1673" s="93"/>
      <c r="E1673" s="98"/>
      <c r="F1673" s="100">
        <v>1669</v>
      </c>
      <c r="G1673" s="101">
        <f t="shared" si="105"/>
        <v>0</v>
      </c>
      <c r="H1673" s="101">
        <f t="shared" si="106"/>
        <v>0</v>
      </c>
      <c r="I1673" s="101">
        <f t="shared" si="107"/>
        <v>0</v>
      </c>
      <c r="J1673" s="101">
        <f t="shared" si="108"/>
        <v>0</v>
      </c>
    </row>
    <row r="1674" spans="2:10" x14ac:dyDescent="0.2">
      <c r="B1674" s="93"/>
      <c r="C1674" s="97"/>
      <c r="D1674" s="93"/>
      <c r="E1674" s="98"/>
      <c r="F1674" s="100">
        <v>1670</v>
      </c>
      <c r="G1674" s="101">
        <f t="shared" si="105"/>
        <v>0</v>
      </c>
      <c r="H1674" s="101">
        <f t="shared" si="106"/>
        <v>0</v>
      </c>
      <c r="I1674" s="101">
        <f t="shared" si="107"/>
        <v>0</v>
      </c>
      <c r="J1674" s="101">
        <f t="shared" si="108"/>
        <v>0</v>
      </c>
    </row>
    <row r="1675" spans="2:10" x14ac:dyDescent="0.2">
      <c r="B1675" s="93"/>
      <c r="C1675" s="97"/>
      <c r="D1675" s="93"/>
      <c r="E1675" s="98"/>
      <c r="F1675" s="100">
        <v>1671</v>
      </c>
      <c r="G1675" s="101">
        <f t="shared" si="105"/>
        <v>0</v>
      </c>
      <c r="H1675" s="101">
        <f t="shared" si="106"/>
        <v>0</v>
      </c>
      <c r="I1675" s="101">
        <f t="shared" si="107"/>
        <v>0</v>
      </c>
      <c r="J1675" s="101">
        <f t="shared" si="108"/>
        <v>0</v>
      </c>
    </row>
    <row r="1676" spans="2:10" x14ac:dyDescent="0.2">
      <c r="B1676" s="93"/>
      <c r="C1676" s="97"/>
      <c r="D1676" s="93"/>
      <c r="E1676" s="98"/>
      <c r="F1676" s="100">
        <v>1672</v>
      </c>
      <c r="G1676" s="101">
        <f t="shared" si="105"/>
        <v>0</v>
      </c>
      <c r="H1676" s="101">
        <f t="shared" si="106"/>
        <v>0</v>
      </c>
      <c r="I1676" s="101">
        <f t="shared" si="107"/>
        <v>0</v>
      </c>
      <c r="J1676" s="101">
        <f t="shared" si="108"/>
        <v>0</v>
      </c>
    </row>
    <row r="1677" spans="2:10" x14ac:dyDescent="0.2">
      <c r="B1677" s="93"/>
      <c r="C1677" s="97"/>
      <c r="D1677" s="93"/>
      <c r="E1677" s="98"/>
      <c r="F1677" s="100">
        <v>1673</v>
      </c>
      <c r="G1677" s="101">
        <f t="shared" si="105"/>
        <v>0</v>
      </c>
      <c r="H1677" s="101">
        <f t="shared" si="106"/>
        <v>0</v>
      </c>
      <c r="I1677" s="101">
        <f t="shared" si="107"/>
        <v>0</v>
      </c>
      <c r="J1677" s="101">
        <f t="shared" si="108"/>
        <v>0</v>
      </c>
    </row>
    <row r="1678" spans="2:10" x14ac:dyDescent="0.2">
      <c r="B1678" s="93"/>
      <c r="C1678" s="97"/>
      <c r="D1678" s="93"/>
      <c r="E1678" s="98"/>
      <c r="F1678" s="100">
        <v>1674</v>
      </c>
      <c r="G1678" s="101">
        <f t="shared" si="105"/>
        <v>0</v>
      </c>
      <c r="H1678" s="101">
        <f t="shared" si="106"/>
        <v>0</v>
      </c>
      <c r="I1678" s="101">
        <f t="shared" si="107"/>
        <v>0</v>
      </c>
      <c r="J1678" s="101">
        <f t="shared" si="108"/>
        <v>0</v>
      </c>
    </row>
    <row r="1679" spans="2:10" x14ac:dyDescent="0.2">
      <c r="B1679" s="93"/>
      <c r="C1679" s="97"/>
      <c r="D1679" s="93"/>
      <c r="E1679" s="98"/>
      <c r="F1679" s="100">
        <v>1675</v>
      </c>
      <c r="G1679" s="101">
        <f t="shared" si="105"/>
        <v>0</v>
      </c>
      <c r="H1679" s="101">
        <f t="shared" si="106"/>
        <v>0</v>
      </c>
      <c r="I1679" s="101">
        <f t="shared" si="107"/>
        <v>0</v>
      </c>
      <c r="J1679" s="101">
        <f t="shared" si="108"/>
        <v>0</v>
      </c>
    </row>
    <row r="1680" spans="2:10" x14ac:dyDescent="0.2">
      <c r="B1680" s="93"/>
      <c r="C1680" s="97"/>
      <c r="D1680" s="93"/>
      <c r="E1680" s="98"/>
      <c r="F1680" s="100">
        <v>1676</v>
      </c>
      <c r="G1680" s="101">
        <f t="shared" si="105"/>
        <v>0</v>
      </c>
      <c r="H1680" s="101">
        <f t="shared" si="106"/>
        <v>0</v>
      </c>
      <c r="I1680" s="101">
        <f t="shared" si="107"/>
        <v>0</v>
      </c>
      <c r="J1680" s="101">
        <f t="shared" si="108"/>
        <v>0</v>
      </c>
    </row>
    <row r="1681" spans="2:10" x14ac:dyDescent="0.2">
      <c r="B1681" s="93"/>
      <c r="C1681" s="97"/>
      <c r="D1681" s="93"/>
      <c r="E1681" s="98"/>
      <c r="F1681" s="100">
        <v>1677</v>
      </c>
      <c r="G1681" s="101">
        <f t="shared" si="105"/>
        <v>0</v>
      </c>
      <c r="H1681" s="101">
        <f t="shared" si="106"/>
        <v>0</v>
      </c>
      <c r="I1681" s="101">
        <f t="shared" si="107"/>
        <v>0</v>
      </c>
      <c r="J1681" s="101">
        <f t="shared" si="108"/>
        <v>0</v>
      </c>
    </row>
    <row r="1682" spans="2:10" x14ac:dyDescent="0.2">
      <c r="B1682" s="93"/>
      <c r="C1682" s="97"/>
      <c r="D1682" s="93"/>
      <c r="E1682" s="98"/>
      <c r="F1682" s="100">
        <v>1678</v>
      </c>
      <c r="G1682" s="101">
        <f t="shared" si="105"/>
        <v>0</v>
      </c>
      <c r="H1682" s="101">
        <f t="shared" si="106"/>
        <v>0</v>
      </c>
      <c r="I1682" s="101">
        <f t="shared" si="107"/>
        <v>0</v>
      </c>
      <c r="J1682" s="101">
        <f t="shared" si="108"/>
        <v>0</v>
      </c>
    </row>
    <row r="1683" spans="2:10" x14ac:dyDescent="0.2">
      <c r="B1683" s="93"/>
      <c r="C1683" s="97"/>
      <c r="D1683" s="93"/>
      <c r="E1683" s="98"/>
      <c r="F1683" s="100">
        <v>1679</v>
      </c>
      <c r="G1683" s="101">
        <f t="shared" si="105"/>
        <v>0</v>
      </c>
      <c r="H1683" s="101">
        <f t="shared" si="106"/>
        <v>0</v>
      </c>
      <c r="I1683" s="101">
        <f t="shared" si="107"/>
        <v>0</v>
      </c>
      <c r="J1683" s="101">
        <f t="shared" si="108"/>
        <v>0</v>
      </c>
    </row>
    <row r="1684" spans="2:10" x14ac:dyDescent="0.2">
      <c r="B1684" s="93"/>
      <c r="C1684" s="97"/>
      <c r="D1684" s="93"/>
      <c r="E1684" s="98"/>
      <c r="F1684" s="100">
        <v>1680</v>
      </c>
      <c r="G1684" s="101">
        <f t="shared" si="105"/>
        <v>0</v>
      </c>
      <c r="H1684" s="101">
        <f t="shared" si="106"/>
        <v>0</v>
      </c>
      <c r="I1684" s="101">
        <f t="shared" si="107"/>
        <v>0</v>
      </c>
      <c r="J1684" s="101">
        <f t="shared" si="108"/>
        <v>0</v>
      </c>
    </row>
    <row r="1685" spans="2:10" x14ac:dyDescent="0.2">
      <c r="B1685" s="93"/>
      <c r="C1685" s="97"/>
      <c r="D1685" s="93"/>
      <c r="E1685" s="98"/>
      <c r="F1685" s="100">
        <v>1681</v>
      </c>
      <c r="G1685" s="101">
        <f t="shared" si="105"/>
        <v>0</v>
      </c>
      <c r="H1685" s="101">
        <f t="shared" si="106"/>
        <v>0</v>
      </c>
      <c r="I1685" s="101">
        <f t="shared" si="107"/>
        <v>0</v>
      </c>
      <c r="J1685" s="101">
        <f t="shared" si="108"/>
        <v>0</v>
      </c>
    </row>
    <row r="1686" spans="2:10" x14ac:dyDescent="0.2">
      <c r="B1686" s="93"/>
      <c r="C1686" s="97"/>
      <c r="D1686" s="93"/>
      <c r="E1686" s="98"/>
      <c r="F1686" s="100">
        <v>1682</v>
      </c>
      <c r="G1686" s="101">
        <f t="shared" si="105"/>
        <v>0</v>
      </c>
      <c r="H1686" s="101">
        <f t="shared" si="106"/>
        <v>0</v>
      </c>
      <c r="I1686" s="101">
        <f t="shared" si="107"/>
        <v>0</v>
      </c>
      <c r="J1686" s="101">
        <f t="shared" si="108"/>
        <v>0</v>
      </c>
    </row>
    <row r="1687" spans="2:10" x14ac:dyDescent="0.2">
      <c r="B1687" s="93"/>
      <c r="C1687" s="97"/>
      <c r="D1687" s="93"/>
      <c r="E1687" s="98"/>
      <c r="F1687" s="100">
        <v>1683</v>
      </c>
      <c r="G1687" s="101">
        <f t="shared" si="105"/>
        <v>0</v>
      </c>
      <c r="H1687" s="101">
        <f t="shared" si="106"/>
        <v>0</v>
      </c>
      <c r="I1687" s="101">
        <f t="shared" si="107"/>
        <v>0</v>
      </c>
      <c r="J1687" s="101">
        <f t="shared" si="108"/>
        <v>0</v>
      </c>
    </row>
    <row r="1688" spans="2:10" x14ac:dyDescent="0.2">
      <c r="B1688" s="93"/>
      <c r="C1688" s="97"/>
      <c r="D1688" s="93"/>
      <c r="E1688" s="98"/>
      <c r="F1688" s="100">
        <v>1684</v>
      </c>
      <c r="G1688" s="101">
        <f t="shared" si="105"/>
        <v>0</v>
      </c>
      <c r="H1688" s="101">
        <f t="shared" si="106"/>
        <v>0</v>
      </c>
      <c r="I1688" s="101">
        <f t="shared" si="107"/>
        <v>0</v>
      </c>
      <c r="J1688" s="101">
        <f t="shared" si="108"/>
        <v>0</v>
      </c>
    </row>
    <row r="1689" spans="2:10" x14ac:dyDescent="0.2">
      <c r="B1689" s="93"/>
      <c r="C1689" s="97"/>
      <c r="D1689" s="93"/>
      <c r="E1689" s="98"/>
      <c r="F1689" s="100">
        <v>1685</v>
      </c>
      <c r="G1689" s="101">
        <f t="shared" si="105"/>
        <v>0</v>
      </c>
      <c r="H1689" s="101">
        <f t="shared" si="106"/>
        <v>0</v>
      </c>
      <c r="I1689" s="101">
        <f t="shared" si="107"/>
        <v>0</v>
      </c>
      <c r="J1689" s="101">
        <f t="shared" si="108"/>
        <v>0</v>
      </c>
    </row>
    <row r="1690" spans="2:10" x14ac:dyDescent="0.2">
      <c r="B1690" s="93"/>
      <c r="C1690" s="97"/>
      <c r="D1690" s="93"/>
      <c r="E1690" s="98"/>
      <c r="F1690" s="100">
        <v>1686</v>
      </c>
      <c r="G1690" s="101">
        <f t="shared" si="105"/>
        <v>0</v>
      </c>
      <c r="H1690" s="101">
        <f t="shared" si="106"/>
        <v>0</v>
      </c>
      <c r="I1690" s="101">
        <f t="shared" si="107"/>
        <v>0</v>
      </c>
      <c r="J1690" s="101">
        <f t="shared" si="108"/>
        <v>0</v>
      </c>
    </row>
    <row r="1691" spans="2:10" x14ac:dyDescent="0.2">
      <c r="B1691" s="93"/>
      <c r="C1691" s="97"/>
      <c r="D1691" s="93"/>
      <c r="E1691" s="98"/>
      <c r="F1691" s="100">
        <v>1687</v>
      </c>
      <c r="G1691" s="101">
        <f t="shared" si="105"/>
        <v>0</v>
      </c>
      <c r="H1691" s="101">
        <f t="shared" si="106"/>
        <v>0</v>
      </c>
      <c r="I1691" s="101">
        <f t="shared" si="107"/>
        <v>0</v>
      </c>
      <c r="J1691" s="101">
        <f t="shared" si="108"/>
        <v>0</v>
      </c>
    </row>
    <row r="1692" spans="2:10" x14ac:dyDescent="0.2">
      <c r="B1692" s="93"/>
      <c r="C1692" s="97"/>
      <c r="D1692" s="93"/>
      <c r="E1692" s="98"/>
      <c r="F1692" s="100">
        <v>1688</v>
      </c>
      <c r="G1692" s="101">
        <f t="shared" si="105"/>
        <v>0</v>
      </c>
      <c r="H1692" s="101">
        <f t="shared" si="106"/>
        <v>0</v>
      </c>
      <c r="I1692" s="101">
        <f t="shared" si="107"/>
        <v>0</v>
      </c>
      <c r="J1692" s="101">
        <f t="shared" si="108"/>
        <v>0</v>
      </c>
    </row>
    <row r="1693" spans="2:10" x14ac:dyDescent="0.2">
      <c r="B1693" s="93"/>
      <c r="C1693" s="97"/>
      <c r="D1693" s="93"/>
      <c r="E1693" s="98"/>
      <c r="F1693" s="100">
        <v>1689</v>
      </c>
      <c r="G1693" s="101">
        <f t="shared" si="105"/>
        <v>0</v>
      </c>
      <c r="H1693" s="101">
        <f t="shared" si="106"/>
        <v>0</v>
      </c>
      <c r="I1693" s="101">
        <f t="shared" si="107"/>
        <v>0</v>
      </c>
      <c r="J1693" s="101">
        <f t="shared" si="108"/>
        <v>0</v>
      </c>
    </row>
    <row r="1694" spans="2:10" x14ac:dyDescent="0.2">
      <c r="B1694" s="93"/>
      <c r="C1694" s="97"/>
      <c r="D1694" s="93"/>
      <c r="E1694" s="98"/>
      <c r="F1694" s="100">
        <v>1690</v>
      </c>
      <c r="G1694" s="101">
        <f t="shared" si="105"/>
        <v>0</v>
      </c>
      <c r="H1694" s="101">
        <f t="shared" si="106"/>
        <v>0</v>
      </c>
      <c r="I1694" s="101">
        <f t="shared" si="107"/>
        <v>0</v>
      </c>
      <c r="J1694" s="101">
        <f t="shared" si="108"/>
        <v>0</v>
      </c>
    </row>
    <row r="1695" spans="2:10" x14ac:dyDescent="0.2">
      <c r="B1695" s="93"/>
      <c r="C1695" s="97"/>
      <c r="D1695" s="93"/>
      <c r="E1695" s="98"/>
      <c r="F1695" s="100">
        <v>1691</v>
      </c>
      <c r="G1695" s="101">
        <f t="shared" si="105"/>
        <v>0</v>
      </c>
      <c r="H1695" s="101">
        <f t="shared" si="106"/>
        <v>0</v>
      </c>
      <c r="I1695" s="101">
        <f t="shared" si="107"/>
        <v>0</v>
      </c>
      <c r="J1695" s="101">
        <f t="shared" si="108"/>
        <v>0</v>
      </c>
    </row>
    <row r="1696" spans="2:10" x14ac:dyDescent="0.2">
      <c r="B1696" s="93"/>
      <c r="C1696" s="97"/>
      <c r="D1696" s="93"/>
      <c r="E1696" s="98"/>
      <c r="F1696" s="100">
        <v>1692</v>
      </c>
      <c r="G1696" s="101">
        <f t="shared" si="105"/>
        <v>0</v>
      </c>
      <c r="H1696" s="101">
        <f t="shared" si="106"/>
        <v>0</v>
      </c>
      <c r="I1696" s="101">
        <f t="shared" si="107"/>
        <v>0</v>
      </c>
      <c r="J1696" s="101">
        <f t="shared" si="108"/>
        <v>0</v>
      </c>
    </row>
    <row r="1697" spans="2:10" x14ac:dyDescent="0.2">
      <c r="B1697" s="93"/>
      <c r="C1697" s="97"/>
      <c r="D1697" s="93"/>
      <c r="E1697" s="98"/>
      <c r="F1697" s="100">
        <v>1693</v>
      </c>
      <c r="G1697" s="101">
        <f t="shared" si="105"/>
        <v>0</v>
      </c>
      <c r="H1697" s="101">
        <f t="shared" si="106"/>
        <v>0</v>
      </c>
      <c r="I1697" s="101">
        <f t="shared" si="107"/>
        <v>0</v>
      </c>
      <c r="J1697" s="101">
        <f t="shared" si="108"/>
        <v>0</v>
      </c>
    </row>
    <row r="1698" spans="2:10" x14ac:dyDescent="0.2">
      <c r="B1698" s="93"/>
      <c r="C1698" s="97"/>
      <c r="D1698" s="93"/>
      <c r="E1698" s="98"/>
      <c r="F1698" s="100">
        <v>1694</v>
      </c>
      <c r="G1698" s="101">
        <f t="shared" si="105"/>
        <v>0</v>
      </c>
      <c r="H1698" s="101">
        <f t="shared" si="106"/>
        <v>0</v>
      </c>
      <c r="I1698" s="101">
        <f t="shared" si="107"/>
        <v>0</v>
      </c>
      <c r="J1698" s="101">
        <f t="shared" si="108"/>
        <v>0</v>
      </c>
    </row>
    <row r="1699" spans="2:10" x14ac:dyDescent="0.2">
      <c r="B1699" s="93"/>
      <c r="C1699" s="97"/>
      <c r="D1699" s="93"/>
      <c r="E1699" s="98"/>
      <c r="F1699" s="100">
        <v>1695</v>
      </c>
      <c r="G1699" s="101">
        <f t="shared" si="105"/>
        <v>0</v>
      </c>
      <c r="H1699" s="101">
        <f t="shared" si="106"/>
        <v>0</v>
      </c>
      <c r="I1699" s="101">
        <f t="shared" si="107"/>
        <v>0</v>
      </c>
      <c r="J1699" s="101">
        <f t="shared" si="108"/>
        <v>0</v>
      </c>
    </row>
    <row r="1700" spans="2:10" x14ac:dyDescent="0.2">
      <c r="B1700" s="93"/>
      <c r="C1700" s="97"/>
      <c r="D1700" s="93"/>
      <c r="E1700" s="98"/>
      <c r="F1700" s="100">
        <v>1696</v>
      </c>
      <c r="G1700" s="101">
        <f t="shared" si="105"/>
        <v>0</v>
      </c>
      <c r="H1700" s="101">
        <f t="shared" si="106"/>
        <v>0</v>
      </c>
      <c r="I1700" s="101">
        <f t="shared" si="107"/>
        <v>0</v>
      </c>
      <c r="J1700" s="101">
        <f t="shared" si="108"/>
        <v>0</v>
      </c>
    </row>
    <row r="1701" spans="2:10" x14ac:dyDescent="0.2">
      <c r="B1701" s="93"/>
      <c r="C1701" s="97"/>
      <c r="D1701" s="93"/>
      <c r="E1701" s="98"/>
      <c r="F1701" s="100">
        <v>1697</v>
      </c>
      <c r="G1701" s="101">
        <f t="shared" si="105"/>
        <v>0</v>
      </c>
      <c r="H1701" s="101">
        <f t="shared" si="106"/>
        <v>0</v>
      </c>
      <c r="I1701" s="101">
        <f t="shared" si="107"/>
        <v>0</v>
      </c>
      <c r="J1701" s="101">
        <f t="shared" si="108"/>
        <v>0</v>
      </c>
    </row>
    <row r="1702" spans="2:10" x14ac:dyDescent="0.2">
      <c r="B1702" s="93"/>
      <c r="C1702" s="97"/>
      <c r="D1702" s="93"/>
      <c r="E1702" s="98"/>
      <c r="F1702" s="100">
        <v>1698</v>
      </c>
      <c r="G1702" s="101">
        <f t="shared" si="105"/>
        <v>0</v>
      </c>
      <c r="H1702" s="101">
        <f t="shared" si="106"/>
        <v>0</v>
      </c>
      <c r="I1702" s="101">
        <f t="shared" si="107"/>
        <v>0</v>
      </c>
      <c r="J1702" s="101">
        <f t="shared" si="108"/>
        <v>0</v>
      </c>
    </row>
    <row r="1703" spans="2:10" x14ac:dyDescent="0.2">
      <c r="B1703" s="93"/>
      <c r="C1703" s="97"/>
      <c r="D1703" s="93"/>
      <c r="E1703" s="98"/>
      <c r="F1703" s="100">
        <v>1699</v>
      </c>
      <c r="G1703" s="101">
        <f t="shared" si="105"/>
        <v>0</v>
      </c>
      <c r="H1703" s="101">
        <f t="shared" si="106"/>
        <v>0</v>
      </c>
      <c r="I1703" s="101">
        <f t="shared" si="107"/>
        <v>0</v>
      </c>
      <c r="J1703" s="101">
        <f t="shared" si="108"/>
        <v>0</v>
      </c>
    </row>
    <row r="1704" spans="2:10" x14ac:dyDescent="0.2">
      <c r="B1704" s="93"/>
      <c r="C1704" s="97"/>
      <c r="D1704" s="93"/>
      <c r="E1704" s="98"/>
      <c r="F1704" s="100">
        <v>1700</v>
      </c>
      <c r="G1704" s="101">
        <f t="shared" si="105"/>
        <v>0</v>
      </c>
      <c r="H1704" s="101">
        <f t="shared" si="106"/>
        <v>0</v>
      </c>
      <c r="I1704" s="101">
        <f t="shared" si="107"/>
        <v>0</v>
      </c>
      <c r="J1704" s="101">
        <f t="shared" si="108"/>
        <v>0</v>
      </c>
    </row>
    <row r="1705" spans="2:10" x14ac:dyDescent="0.2">
      <c r="B1705" s="93"/>
      <c r="C1705" s="97"/>
      <c r="D1705" s="93"/>
      <c r="E1705" s="98"/>
      <c r="F1705" s="100">
        <v>1701</v>
      </c>
      <c r="G1705" s="101">
        <f t="shared" si="105"/>
        <v>0</v>
      </c>
      <c r="H1705" s="101">
        <f t="shared" si="106"/>
        <v>0</v>
      </c>
      <c r="I1705" s="101">
        <f t="shared" si="107"/>
        <v>0</v>
      </c>
      <c r="J1705" s="101">
        <f t="shared" si="108"/>
        <v>0</v>
      </c>
    </row>
    <row r="1706" spans="2:10" x14ac:dyDescent="0.2">
      <c r="B1706" s="93"/>
      <c r="C1706" s="97"/>
      <c r="D1706" s="93"/>
      <c r="E1706" s="98"/>
      <c r="F1706" s="100">
        <v>1702</v>
      </c>
      <c r="G1706" s="101">
        <f t="shared" si="105"/>
        <v>0</v>
      </c>
      <c r="H1706" s="101">
        <f t="shared" si="106"/>
        <v>0</v>
      </c>
      <c r="I1706" s="101">
        <f t="shared" si="107"/>
        <v>0</v>
      </c>
      <c r="J1706" s="101">
        <f t="shared" si="108"/>
        <v>0</v>
      </c>
    </row>
    <row r="1707" spans="2:10" x14ac:dyDescent="0.2">
      <c r="B1707" s="93"/>
      <c r="C1707" s="97"/>
      <c r="D1707" s="93"/>
      <c r="E1707" s="98"/>
      <c r="F1707" s="100">
        <v>1703</v>
      </c>
      <c r="G1707" s="101">
        <f t="shared" si="105"/>
        <v>0</v>
      </c>
      <c r="H1707" s="101">
        <f t="shared" si="106"/>
        <v>0</v>
      </c>
      <c r="I1707" s="101">
        <f t="shared" si="107"/>
        <v>0</v>
      </c>
      <c r="J1707" s="101">
        <f t="shared" si="108"/>
        <v>0</v>
      </c>
    </row>
    <row r="1708" spans="2:10" x14ac:dyDescent="0.2">
      <c r="B1708" s="93"/>
      <c r="C1708" s="97"/>
      <c r="D1708" s="93"/>
      <c r="E1708" s="98"/>
      <c r="F1708" s="100">
        <v>1704</v>
      </c>
      <c r="G1708" s="101">
        <f t="shared" si="105"/>
        <v>0</v>
      </c>
      <c r="H1708" s="101">
        <f t="shared" si="106"/>
        <v>0</v>
      </c>
      <c r="I1708" s="101">
        <f t="shared" si="107"/>
        <v>0</v>
      </c>
      <c r="J1708" s="101">
        <f t="shared" si="108"/>
        <v>0</v>
      </c>
    </row>
    <row r="1709" spans="2:10" x14ac:dyDescent="0.2">
      <c r="B1709" s="93"/>
      <c r="C1709" s="97"/>
      <c r="D1709" s="93"/>
      <c r="E1709" s="98"/>
      <c r="F1709" s="100">
        <v>1705</v>
      </c>
      <c r="G1709" s="101">
        <f t="shared" si="105"/>
        <v>0</v>
      </c>
      <c r="H1709" s="101">
        <f t="shared" si="106"/>
        <v>0</v>
      </c>
      <c r="I1709" s="101">
        <f t="shared" si="107"/>
        <v>0</v>
      </c>
      <c r="J1709" s="101">
        <f t="shared" si="108"/>
        <v>0</v>
      </c>
    </row>
    <row r="1710" spans="2:10" x14ac:dyDescent="0.2">
      <c r="B1710" s="93"/>
      <c r="C1710" s="97"/>
      <c r="D1710" s="93"/>
      <c r="E1710" s="98"/>
      <c r="F1710" s="100">
        <v>1706</v>
      </c>
      <c r="G1710" s="101">
        <f t="shared" si="105"/>
        <v>0</v>
      </c>
      <c r="H1710" s="101">
        <f t="shared" si="106"/>
        <v>0</v>
      </c>
      <c r="I1710" s="101">
        <f t="shared" si="107"/>
        <v>0</v>
      </c>
      <c r="J1710" s="101">
        <f t="shared" si="108"/>
        <v>0</v>
      </c>
    </row>
    <row r="1711" spans="2:10" x14ac:dyDescent="0.2">
      <c r="B1711" s="93"/>
      <c r="C1711" s="97"/>
      <c r="D1711" s="93"/>
      <c r="E1711" s="98"/>
      <c r="F1711" s="100">
        <v>1707</v>
      </c>
      <c r="G1711" s="101">
        <f t="shared" si="105"/>
        <v>0</v>
      </c>
      <c r="H1711" s="101">
        <f t="shared" si="106"/>
        <v>0</v>
      </c>
      <c r="I1711" s="101">
        <f t="shared" si="107"/>
        <v>0</v>
      </c>
      <c r="J1711" s="101">
        <f t="shared" si="108"/>
        <v>0</v>
      </c>
    </row>
    <row r="1712" spans="2:10" x14ac:dyDescent="0.2">
      <c r="B1712" s="93"/>
      <c r="C1712" s="97"/>
      <c r="D1712" s="93"/>
      <c r="E1712" s="98"/>
      <c r="F1712" s="100">
        <v>1708</v>
      </c>
      <c r="G1712" s="101">
        <f t="shared" si="105"/>
        <v>0</v>
      </c>
      <c r="H1712" s="101">
        <f t="shared" si="106"/>
        <v>0</v>
      </c>
      <c r="I1712" s="101">
        <f t="shared" si="107"/>
        <v>0</v>
      </c>
      <c r="J1712" s="101">
        <f t="shared" si="108"/>
        <v>0</v>
      </c>
    </row>
    <row r="1713" spans="2:10" x14ac:dyDescent="0.2">
      <c r="B1713" s="93"/>
      <c r="C1713" s="97"/>
      <c r="D1713" s="93"/>
      <c r="E1713" s="98"/>
      <c r="F1713" s="100">
        <v>1709</v>
      </c>
      <c r="G1713" s="101">
        <f t="shared" si="105"/>
        <v>0</v>
      </c>
      <c r="H1713" s="101">
        <f t="shared" si="106"/>
        <v>0</v>
      </c>
      <c r="I1713" s="101">
        <f t="shared" si="107"/>
        <v>0</v>
      </c>
      <c r="J1713" s="101">
        <f t="shared" si="108"/>
        <v>0</v>
      </c>
    </row>
    <row r="1714" spans="2:10" x14ac:dyDescent="0.2">
      <c r="B1714" s="93"/>
      <c r="C1714" s="97"/>
      <c r="D1714" s="93"/>
      <c r="E1714" s="98"/>
      <c r="F1714" s="100">
        <v>1710</v>
      </c>
      <c r="G1714" s="101">
        <f t="shared" si="105"/>
        <v>0</v>
      </c>
      <c r="H1714" s="101">
        <f t="shared" si="106"/>
        <v>0</v>
      </c>
      <c r="I1714" s="101">
        <f t="shared" si="107"/>
        <v>0</v>
      </c>
      <c r="J1714" s="101">
        <f t="shared" si="108"/>
        <v>0</v>
      </c>
    </row>
    <row r="1715" spans="2:10" x14ac:dyDescent="0.2">
      <c r="B1715" s="93"/>
      <c r="C1715" s="97"/>
      <c r="D1715" s="93"/>
      <c r="E1715" s="98"/>
      <c r="F1715" s="100">
        <v>1711</v>
      </c>
      <c r="G1715" s="101">
        <f t="shared" si="105"/>
        <v>0</v>
      </c>
      <c r="H1715" s="101">
        <f t="shared" si="106"/>
        <v>0</v>
      </c>
      <c r="I1715" s="101">
        <f t="shared" si="107"/>
        <v>0</v>
      </c>
      <c r="J1715" s="101">
        <f t="shared" si="108"/>
        <v>0</v>
      </c>
    </row>
    <row r="1716" spans="2:10" x14ac:dyDescent="0.2">
      <c r="B1716" s="93"/>
      <c r="C1716" s="97"/>
      <c r="D1716" s="93"/>
      <c r="E1716" s="98"/>
      <c r="F1716" s="100">
        <v>1712</v>
      </c>
      <c r="G1716" s="101">
        <f t="shared" si="105"/>
        <v>0</v>
      </c>
      <c r="H1716" s="101">
        <f t="shared" si="106"/>
        <v>0</v>
      </c>
      <c r="I1716" s="101">
        <f t="shared" si="107"/>
        <v>0</v>
      </c>
      <c r="J1716" s="101">
        <f t="shared" si="108"/>
        <v>0</v>
      </c>
    </row>
    <row r="1717" spans="2:10" x14ac:dyDescent="0.2">
      <c r="B1717" s="93"/>
      <c r="C1717" s="97"/>
      <c r="D1717" s="93"/>
      <c r="E1717" s="98"/>
      <c r="F1717" s="100">
        <v>1713</v>
      </c>
      <c r="G1717" s="101">
        <f t="shared" si="105"/>
        <v>0</v>
      </c>
      <c r="H1717" s="101">
        <f t="shared" si="106"/>
        <v>0</v>
      </c>
      <c r="I1717" s="101">
        <f t="shared" si="107"/>
        <v>0</v>
      </c>
      <c r="J1717" s="101">
        <f t="shared" si="108"/>
        <v>0</v>
      </c>
    </row>
    <row r="1718" spans="2:10" x14ac:dyDescent="0.2">
      <c r="B1718" s="93"/>
      <c r="C1718" s="97"/>
      <c r="D1718" s="93"/>
      <c r="E1718" s="98"/>
      <c r="F1718" s="100">
        <v>1714</v>
      </c>
      <c r="G1718" s="101">
        <f t="shared" si="105"/>
        <v>0</v>
      </c>
      <c r="H1718" s="101">
        <f t="shared" si="106"/>
        <v>0</v>
      </c>
      <c r="I1718" s="101">
        <f t="shared" si="107"/>
        <v>0</v>
      </c>
      <c r="J1718" s="101">
        <f t="shared" si="108"/>
        <v>0</v>
      </c>
    </row>
    <row r="1719" spans="2:10" x14ac:dyDescent="0.2">
      <c r="B1719" s="93"/>
      <c r="C1719" s="97"/>
      <c r="D1719" s="93"/>
      <c r="E1719" s="98"/>
      <c r="F1719" s="100">
        <v>1715</v>
      </c>
      <c r="G1719" s="101">
        <f t="shared" si="105"/>
        <v>0</v>
      </c>
      <c r="H1719" s="101">
        <f t="shared" si="106"/>
        <v>0</v>
      </c>
      <c r="I1719" s="101">
        <f t="shared" si="107"/>
        <v>0</v>
      </c>
      <c r="J1719" s="101">
        <f t="shared" si="108"/>
        <v>0</v>
      </c>
    </row>
    <row r="1720" spans="2:10" x14ac:dyDescent="0.2">
      <c r="B1720" s="93"/>
      <c r="C1720" s="97"/>
      <c r="D1720" s="93"/>
      <c r="E1720" s="98"/>
      <c r="F1720" s="100">
        <v>1716</v>
      </c>
      <c r="G1720" s="101">
        <f t="shared" si="105"/>
        <v>0</v>
      </c>
      <c r="H1720" s="101">
        <f t="shared" si="106"/>
        <v>0</v>
      </c>
      <c r="I1720" s="101">
        <f t="shared" si="107"/>
        <v>0</v>
      </c>
      <c r="J1720" s="101">
        <f t="shared" si="108"/>
        <v>0</v>
      </c>
    </row>
    <row r="1721" spans="2:10" x14ac:dyDescent="0.2">
      <c r="B1721" s="93"/>
      <c r="C1721" s="97"/>
      <c r="D1721" s="93"/>
      <c r="E1721" s="98"/>
      <c r="F1721" s="100">
        <v>1717</v>
      </c>
      <c r="G1721" s="101">
        <f t="shared" si="105"/>
        <v>0</v>
      </c>
      <c r="H1721" s="101">
        <f t="shared" si="106"/>
        <v>0</v>
      </c>
      <c r="I1721" s="101">
        <f t="shared" si="107"/>
        <v>0</v>
      </c>
      <c r="J1721" s="101">
        <f t="shared" si="108"/>
        <v>0</v>
      </c>
    </row>
    <row r="1722" spans="2:10" x14ac:dyDescent="0.2">
      <c r="B1722" s="93"/>
      <c r="C1722" s="97"/>
      <c r="D1722" s="93"/>
      <c r="E1722" s="98"/>
      <c r="F1722" s="100">
        <v>1718</v>
      </c>
      <c r="G1722" s="101">
        <f t="shared" si="105"/>
        <v>0</v>
      </c>
      <c r="H1722" s="101">
        <f t="shared" si="106"/>
        <v>0</v>
      </c>
      <c r="I1722" s="101">
        <f t="shared" si="107"/>
        <v>0</v>
      </c>
      <c r="J1722" s="101">
        <f t="shared" si="108"/>
        <v>0</v>
      </c>
    </row>
    <row r="1723" spans="2:10" x14ac:dyDescent="0.2">
      <c r="B1723" s="93"/>
      <c r="C1723" s="97"/>
      <c r="D1723" s="93"/>
      <c r="E1723" s="98"/>
      <c r="F1723" s="100">
        <v>1719</v>
      </c>
      <c r="G1723" s="101">
        <f t="shared" si="105"/>
        <v>0</v>
      </c>
      <c r="H1723" s="101">
        <f t="shared" si="106"/>
        <v>0</v>
      </c>
      <c r="I1723" s="101">
        <f t="shared" si="107"/>
        <v>0</v>
      </c>
      <c r="J1723" s="101">
        <f t="shared" si="108"/>
        <v>0</v>
      </c>
    </row>
    <row r="1724" spans="2:10" x14ac:dyDescent="0.2">
      <c r="B1724" s="93"/>
      <c r="C1724" s="97"/>
      <c r="D1724" s="93"/>
      <c r="E1724" s="98"/>
      <c r="F1724" s="100">
        <v>1720</v>
      </c>
      <c r="G1724" s="101">
        <f t="shared" si="105"/>
        <v>0</v>
      </c>
      <c r="H1724" s="101">
        <f t="shared" si="106"/>
        <v>0</v>
      </c>
      <c r="I1724" s="101">
        <f t="shared" si="107"/>
        <v>0</v>
      </c>
      <c r="J1724" s="101">
        <f t="shared" si="108"/>
        <v>0</v>
      </c>
    </row>
    <row r="1725" spans="2:10" x14ac:dyDescent="0.2">
      <c r="B1725" s="93"/>
      <c r="C1725" s="97"/>
      <c r="D1725" s="93"/>
      <c r="E1725" s="98"/>
      <c r="F1725" s="100">
        <v>1721</v>
      </c>
      <c r="G1725" s="101">
        <f t="shared" si="105"/>
        <v>0</v>
      </c>
      <c r="H1725" s="101">
        <f t="shared" si="106"/>
        <v>0</v>
      </c>
      <c r="I1725" s="101">
        <f t="shared" si="107"/>
        <v>0</v>
      </c>
      <c r="J1725" s="101">
        <f t="shared" si="108"/>
        <v>0</v>
      </c>
    </row>
    <row r="1726" spans="2:10" x14ac:dyDescent="0.2">
      <c r="B1726" s="93"/>
      <c r="C1726" s="97"/>
      <c r="D1726" s="93"/>
      <c r="E1726" s="98"/>
      <c r="F1726" s="100">
        <v>1722</v>
      </c>
      <c r="G1726" s="101">
        <f t="shared" si="105"/>
        <v>0</v>
      </c>
      <c r="H1726" s="101">
        <f t="shared" si="106"/>
        <v>0</v>
      </c>
      <c r="I1726" s="101">
        <f t="shared" si="107"/>
        <v>0</v>
      </c>
      <c r="J1726" s="101">
        <f t="shared" si="108"/>
        <v>0</v>
      </c>
    </row>
    <row r="1727" spans="2:10" x14ac:dyDescent="0.2">
      <c r="B1727" s="93"/>
      <c r="C1727" s="97"/>
      <c r="D1727" s="93"/>
      <c r="E1727" s="98"/>
      <c r="F1727" s="100">
        <v>1723</v>
      </c>
      <c r="G1727" s="101">
        <f t="shared" si="105"/>
        <v>0</v>
      </c>
      <c r="H1727" s="101">
        <f t="shared" si="106"/>
        <v>0</v>
      </c>
      <c r="I1727" s="101">
        <f t="shared" si="107"/>
        <v>0</v>
      </c>
      <c r="J1727" s="101">
        <f t="shared" si="108"/>
        <v>0</v>
      </c>
    </row>
    <row r="1728" spans="2:10" x14ac:dyDescent="0.2">
      <c r="B1728" s="93"/>
      <c r="C1728" s="97"/>
      <c r="D1728" s="93"/>
      <c r="E1728" s="98"/>
      <c r="F1728" s="100">
        <v>1724</v>
      </c>
      <c r="G1728" s="101">
        <f t="shared" si="105"/>
        <v>0</v>
      </c>
      <c r="H1728" s="101">
        <f t="shared" si="106"/>
        <v>0</v>
      </c>
      <c r="I1728" s="101">
        <f t="shared" si="107"/>
        <v>0</v>
      </c>
      <c r="J1728" s="101">
        <f t="shared" si="108"/>
        <v>0</v>
      </c>
    </row>
    <row r="1729" spans="2:10" x14ac:dyDescent="0.2">
      <c r="B1729" s="93"/>
      <c r="C1729" s="97"/>
      <c r="D1729" s="93"/>
      <c r="E1729" s="98"/>
      <c r="F1729" s="100">
        <v>1725</v>
      </c>
      <c r="G1729" s="101">
        <f t="shared" si="105"/>
        <v>0</v>
      </c>
      <c r="H1729" s="101">
        <f t="shared" si="106"/>
        <v>0</v>
      </c>
      <c r="I1729" s="101">
        <f t="shared" si="107"/>
        <v>0</v>
      </c>
      <c r="J1729" s="101">
        <f t="shared" si="108"/>
        <v>0</v>
      </c>
    </row>
    <row r="1730" spans="2:10" x14ac:dyDescent="0.2">
      <c r="B1730" s="93"/>
      <c r="C1730" s="97"/>
      <c r="D1730" s="93"/>
      <c r="E1730" s="98"/>
      <c r="F1730" s="100">
        <v>1726</v>
      </c>
      <c r="G1730" s="101">
        <f t="shared" si="105"/>
        <v>0</v>
      </c>
      <c r="H1730" s="101">
        <f t="shared" si="106"/>
        <v>0</v>
      </c>
      <c r="I1730" s="101">
        <f t="shared" si="107"/>
        <v>0</v>
      </c>
      <c r="J1730" s="101">
        <f t="shared" si="108"/>
        <v>0</v>
      </c>
    </row>
    <row r="1731" spans="2:10" x14ac:dyDescent="0.2">
      <c r="B1731" s="93"/>
      <c r="C1731" s="97"/>
      <c r="D1731" s="93"/>
      <c r="E1731" s="98"/>
      <c r="F1731" s="100">
        <v>1727</v>
      </c>
      <c r="G1731" s="101">
        <f t="shared" si="105"/>
        <v>0</v>
      </c>
      <c r="H1731" s="101">
        <f t="shared" si="106"/>
        <v>0</v>
      </c>
      <c r="I1731" s="101">
        <f t="shared" si="107"/>
        <v>0</v>
      </c>
      <c r="J1731" s="101">
        <f t="shared" si="108"/>
        <v>0</v>
      </c>
    </row>
    <row r="1732" spans="2:10" x14ac:dyDescent="0.2">
      <c r="B1732" s="93"/>
      <c r="C1732" s="97"/>
      <c r="D1732" s="93"/>
      <c r="E1732" s="98"/>
      <c r="F1732" s="100">
        <v>1728</v>
      </c>
      <c r="G1732" s="101">
        <f t="shared" si="105"/>
        <v>0</v>
      </c>
      <c r="H1732" s="101">
        <f t="shared" si="106"/>
        <v>0</v>
      </c>
      <c r="I1732" s="101">
        <f t="shared" si="107"/>
        <v>0</v>
      </c>
      <c r="J1732" s="101">
        <f t="shared" si="108"/>
        <v>0</v>
      </c>
    </row>
    <row r="1733" spans="2:10" x14ac:dyDescent="0.2">
      <c r="B1733" s="93"/>
      <c r="C1733" s="97"/>
      <c r="D1733" s="93"/>
      <c r="E1733" s="98"/>
      <c r="F1733" s="100">
        <v>1729</v>
      </c>
      <c r="G1733" s="101">
        <f t="shared" si="105"/>
        <v>0</v>
      </c>
      <c r="H1733" s="101">
        <f t="shared" si="106"/>
        <v>0</v>
      </c>
      <c r="I1733" s="101">
        <f t="shared" si="107"/>
        <v>0</v>
      </c>
      <c r="J1733" s="101">
        <f t="shared" si="108"/>
        <v>0</v>
      </c>
    </row>
    <row r="1734" spans="2:10" x14ac:dyDescent="0.2">
      <c r="B1734" s="93"/>
      <c r="C1734" s="97"/>
      <c r="D1734" s="93"/>
      <c r="E1734" s="98"/>
      <c r="F1734" s="100">
        <v>1730</v>
      </c>
      <c r="G1734" s="101">
        <f t="shared" ref="G1734:G1797" si="109">B1734</f>
        <v>0</v>
      </c>
      <c r="H1734" s="101">
        <f t="shared" ref="H1734:H1797" si="110">C1734</f>
        <v>0</v>
      </c>
      <c r="I1734" s="101">
        <f t="shared" ref="I1734:I1797" si="111">D1734</f>
        <v>0</v>
      </c>
      <c r="J1734" s="101">
        <f t="shared" ref="J1734:J1797" si="112">E1734</f>
        <v>0</v>
      </c>
    </row>
    <row r="1735" spans="2:10" x14ac:dyDescent="0.2">
      <c r="B1735" s="93"/>
      <c r="C1735" s="97"/>
      <c r="D1735" s="93"/>
      <c r="E1735" s="98"/>
      <c r="F1735" s="100">
        <v>1731</v>
      </c>
      <c r="G1735" s="101">
        <f t="shared" si="109"/>
        <v>0</v>
      </c>
      <c r="H1735" s="101">
        <f t="shared" si="110"/>
        <v>0</v>
      </c>
      <c r="I1735" s="101">
        <f t="shared" si="111"/>
        <v>0</v>
      </c>
      <c r="J1735" s="101">
        <f t="shared" si="112"/>
        <v>0</v>
      </c>
    </row>
    <row r="1736" spans="2:10" x14ac:dyDescent="0.2">
      <c r="B1736" s="93"/>
      <c r="C1736" s="97"/>
      <c r="D1736" s="93"/>
      <c r="E1736" s="98"/>
      <c r="F1736" s="100">
        <v>1732</v>
      </c>
      <c r="G1736" s="101">
        <f t="shared" si="109"/>
        <v>0</v>
      </c>
      <c r="H1736" s="101">
        <f t="shared" si="110"/>
        <v>0</v>
      </c>
      <c r="I1736" s="101">
        <f t="shared" si="111"/>
        <v>0</v>
      </c>
      <c r="J1736" s="101">
        <f t="shared" si="112"/>
        <v>0</v>
      </c>
    </row>
    <row r="1737" spans="2:10" x14ac:dyDescent="0.2">
      <c r="B1737" s="93"/>
      <c r="C1737" s="97"/>
      <c r="D1737" s="93"/>
      <c r="E1737" s="98"/>
      <c r="F1737" s="100">
        <v>1733</v>
      </c>
      <c r="G1737" s="101">
        <f t="shared" si="109"/>
        <v>0</v>
      </c>
      <c r="H1737" s="101">
        <f t="shared" si="110"/>
        <v>0</v>
      </c>
      <c r="I1737" s="101">
        <f t="shared" si="111"/>
        <v>0</v>
      </c>
      <c r="J1737" s="101">
        <f t="shared" si="112"/>
        <v>0</v>
      </c>
    </row>
    <row r="1738" spans="2:10" x14ac:dyDescent="0.2">
      <c r="B1738" s="93"/>
      <c r="C1738" s="97"/>
      <c r="D1738" s="93"/>
      <c r="E1738" s="98"/>
      <c r="F1738" s="100">
        <v>1734</v>
      </c>
      <c r="G1738" s="101">
        <f t="shared" si="109"/>
        <v>0</v>
      </c>
      <c r="H1738" s="101">
        <f t="shared" si="110"/>
        <v>0</v>
      </c>
      <c r="I1738" s="101">
        <f t="shared" si="111"/>
        <v>0</v>
      </c>
      <c r="J1738" s="101">
        <f t="shared" si="112"/>
        <v>0</v>
      </c>
    </row>
    <row r="1739" spans="2:10" x14ac:dyDescent="0.2">
      <c r="B1739" s="93"/>
      <c r="C1739" s="97"/>
      <c r="D1739" s="93"/>
      <c r="E1739" s="98"/>
      <c r="F1739" s="100">
        <v>1735</v>
      </c>
      <c r="G1739" s="101">
        <f t="shared" si="109"/>
        <v>0</v>
      </c>
      <c r="H1739" s="101">
        <f t="shared" si="110"/>
        <v>0</v>
      </c>
      <c r="I1739" s="101">
        <f t="shared" si="111"/>
        <v>0</v>
      </c>
      <c r="J1739" s="101">
        <f t="shared" si="112"/>
        <v>0</v>
      </c>
    </row>
    <row r="1740" spans="2:10" x14ac:dyDescent="0.2">
      <c r="B1740" s="93"/>
      <c r="C1740" s="97"/>
      <c r="D1740" s="93"/>
      <c r="E1740" s="98"/>
      <c r="F1740" s="100">
        <v>1736</v>
      </c>
      <c r="G1740" s="101">
        <f t="shared" si="109"/>
        <v>0</v>
      </c>
      <c r="H1740" s="101">
        <f t="shared" si="110"/>
        <v>0</v>
      </c>
      <c r="I1740" s="101">
        <f t="shared" si="111"/>
        <v>0</v>
      </c>
      <c r="J1740" s="101">
        <f t="shared" si="112"/>
        <v>0</v>
      </c>
    </row>
    <row r="1741" spans="2:10" x14ac:dyDescent="0.2">
      <c r="B1741" s="93"/>
      <c r="C1741" s="97"/>
      <c r="D1741" s="93"/>
      <c r="E1741" s="98"/>
      <c r="F1741" s="100">
        <v>1737</v>
      </c>
      <c r="G1741" s="101">
        <f t="shared" si="109"/>
        <v>0</v>
      </c>
      <c r="H1741" s="101">
        <f t="shared" si="110"/>
        <v>0</v>
      </c>
      <c r="I1741" s="101">
        <f t="shared" si="111"/>
        <v>0</v>
      </c>
      <c r="J1741" s="101">
        <f t="shared" si="112"/>
        <v>0</v>
      </c>
    </row>
    <row r="1742" spans="2:10" x14ac:dyDescent="0.2">
      <c r="B1742" s="93"/>
      <c r="C1742" s="97"/>
      <c r="D1742" s="93"/>
      <c r="E1742" s="98"/>
      <c r="F1742" s="100">
        <v>1738</v>
      </c>
      <c r="G1742" s="101">
        <f t="shared" si="109"/>
        <v>0</v>
      </c>
      <c r="H1742" s="101">
        <f t="shared" si="110"/>
        <v>0</v>
      </c>
      <c r="I1742" s="101">
        <f t="shared" si="111"/>
        <v>0</v>
      </c>
      <c r="J1742" s="101">
        <f t="shared" si="112"/>
        <v>0</v>
      </c>
    </row>
    <row r="1743" spans="2:10" x14ac:dyDescent="0.2">
      <c r="B1743" s="93"/>
      <c r="C1743" s="97"/>
      <c r="D1743" s="93"/>
      <c r="E1743" s="98"/>
      <c r="F1743" s="100">
        <v>1739</v>
      </c>
      <c r="G1743" s="101">
        <f t="shared" si="109"/>
        <v>0</v>
      </c>
      <c r="H1743" s="101">
        <f t="shared" si="110"/>
        <v>0</v>
      </c>
      <c r="I1743" s="101">
        <f t="shared" si="111"/>
        <v>0</v>
      </c>
      <c r="J1743" s="101">
        <f t="shared" si="112"/>
        <v>0</v>
      </c>
    </row>
    <row r="1744" spans="2:10" x14ac:dyDescent="0.2">
      <c r="B1744" s="93"/>
      <c r="C1744" s="97"/>
      <c r="D1744" s="93"/>
      <c r="E1744" s="98"/>
      <c r="F1744" s="100">
        <v>1740</v>
      </c>
      <c r="G1744" s="101">
        <f t="shared" si="109"/>
        <v>0</v>
      </c>
      <c r="H1744" s="101">
        <f t="shared" si="110"/>
        <v>0</v>
      </c>
      <c r="I1744" s="101">
        <f t="shared" si="111"/>
        <v>0</v>
      </c>
      <c r="J1744" s="101">
        <f t="shared" si="112"/>
        <v>0</v>
      </c>
    </row>
    <row r="1745" spans="2:10" x14ac:dyDescent="0.2">
      <c r="B1745" s="93"/>
      <c r="C1745" s="97"/>
      <c r="D1745" s="93"/>
      <c r="E1745" s="98"/>
      <c r="F1745" s="100">
        <v>1741</v>
      </c>
      <c r="G1745" s="101">
        <f t="shared" si="109"/>
        <v>0</v>
      </c>
      <c r="H1745" s="101">
        <f t="shared" si="110"/>
        <v>0</v>
      </c>
      <c r="I1745" s="101">
        <f t="shared" si="111"/>
        <v>0</v>
      </c>
      <c r="J1745" s="101">
        <f t="shared" si="112"/>
        <v>0</v>
      </c>
    </row>
    <row r="1746" spans="2:10" x14ac:dyDescent="0.2">
      <c r="B1746" s="93"/>
      <c r="C1746" s="97"/>
      <c r="D1746" s="93"/>
      <c r="E1746" s="98"/>
      <c r="F1746" s="100">
        <v>1742</v>
      </c>
      <c r="G1746" s="101">
        <f t="shared" si="109"/>
        <v>0</v>
      </c>
      <c r="H1746" s="101">
        <f t="shared" si="110"/>
        <v>0</v>
      </c>
      <c r="I1746" s="101">
        <f t="shared" si="111"/>
        <v>0</v>
      </c>
      <c r="J1746" s="101">
        <f t="shared" si="112"/>
        <v>0</v>
      </c>
    </row>
    <row r="1747" spans="2:10" x14ac:dyDescent="0.2">
      <c r="B1747" s="93"/>
      <c r="C1747" s="97"/>
      <c r="D1747" s="93"/>
      <c r="E1747" s="98"/>
      <c r="F1747" s="100">
        <v>1743</v>
      </c>
      <c r="G1747" s="101">
        <f t="shared" si="109"/>
        <v>0</v>
      </c>
      <c r="H1747" s="101">
        <f t="shared" si="110"/>
        <v>0</v>
      </c>
      <c r="I1747" s="101">
        <f t="shared" si="111"/>
        <v>0</v>
      </c>
      <c r="J1747" s="101">
        <f t="shared" si="112"/>
        <v>0</v>
      </c>
    </row>
    <row r="1748" spans="2:10" x14ac:dyDescent="0.2">
      <c r="B1748" s="93"/>
      <c r="C1748" s="97"/>
      <c r="D1748" s="93"/>
      <c r="E1748" s="98"/>
      <c r="F1748" s="100">
        <v>1744</v>
      </c>
      <c r="G1748" s="101">
        <f t="shared" si="109"/>
        <v>0</v>
      </c>
      <c r="H1748" s="101">
        <f t="shared" si="110"/>
        <v>0</v>
      </c>
      <c r="I1748" s="101">
        <f t="shared" si="111"/>
        <v>0</v>
      </c>
      <c r="J1748" s="101">
        <f t="shared" si="112"/>
        <v>0</v>
      </c>
    </row>
    <row r="1749" spans="2:10" x14ac:dyDescent="0.2">
      <c r="B1749" s="93"/>
      <c r="C1749" s="97"/>
      <c r="D1749" s="93"/>
      <c r="E1749" s="98"/>
      <c r="F1749" s="100">
        <v>1745</v>
      </c>
      <c r="G1749" s="101">
        <f t="shared" si="109"/>
        <v>0</v>
      </c>
      <c r="H1749" s="101">
        <f t="shared" si="110"/>
        <v>0</v>
      </c>
      <c r="I1749" s="101">
        <f t="shared" si="111"/>
        <v>0</v>
      </c>
      <c r="J1749" s="101">
        <f t="shared" si="112"/>
        <v>0</v>
      </c>
    </row>
    <row r="1750" spans="2:10" x14ac:dyDescent="0.2">
      <c r="B1750" s="93"/>
      <c r="C1750" s="97"/>
      <c r="D1750" s="93"/>
      <c r="E1750" s="98"/>
      <c r="F1750" s="100">
        <v>1746</v>
      </c>
      <c r="G1750" s="101">
        <f t="shared" si="109"/>
        <v>0</v>
      </c>
      <c r="H1750" s="101">
        <f t="shared" si="110"/>
        <v>0</v>
      </c>
      <c r="I1750" s="101">
        <f t="shared" si="111"/>
        <v>0</v>
      </c>
      <c r="J1750" s="101">
        <f t="shared" si="112"/>
        <v>0</v>
      </c>
    </row>
    <row r="1751" spans="2:10" x14ac:dyDescent="0.2">
      <c r="B1751" s="93"/>
      <c r="C1751" s="97"/>
      <c r="D1751" s="93"/>
      <c r="E1751" s="98"/>
      <c r="F1751" s="100">
        <v>1747</v>
      </c>
      <c r="G1751" s="101">
        <f t="shared" si="109"/>
        <v>0</v>
      </c>
      <c r="H1751" s="101">
        <f t="shared" si="110"/>
        <v>0</v>
      </c>
      <c r="I1751" s="101">
        <f t="shared" si="111"/>
        <v>0</v>
      </c>
      <c r="J1751" s="101">
        <f t="shared" si="112"/>
        <v>0</v>
      </c>
    </row>
    <row r="1752" spans="2:10" x14ac:dyDescent="0.2">
      <c r="B1752" s="93"/>
      <c r="C1752" s="97"/>
      <c r="D1752" s="93"/>
      <c r="E1752" s="98"/>
      <c r="F1752" s="100">
        <v>1748</v>
      </c>
      <c r="G1752" s="101">
        <f t="shared" si="109"/>
        <v>0</v>
      </c>
      <c r="H1752" s="101">
        <f t="shared" si="110"/>
        <v>0</v>
      </c>
      <c r="I1752" s="101">
        <f t="shared" si="111"/>
        <v>0</v>
      </c>
      <c r="J1752" s="101">
        <f t="shared" si="112"/>
        <v>0</v>
      </c>
    </row>
    <row r="1753" spans="2:10" x14ac:dyDescent="0.2">
      <c r="B1753" s="93"/>
      <c r="C1753" s="97"/>
      <c r="D1753" s="93"/>
      <c r="E1753" s="98"/>
      <c r="F1753" s="100">
        <v>1749</v>
      </c>
      <c r="G1753" s="101">
        <f t="shared" si="109"/>
        <v>0</v>
      </c>
      <c r="H1753" s="101">
        <f t="shared" si="110"/>
        <v>0</v>
      </c>
      <c r="I1753" s="101">
        <f t="shared" si="111"/>
        <v>0</v>
      </c>
      <c r="J1753" s="101">
        <f t="shared" si="112"/>
        <v>0</v>
      </c>
    </row>
    <row r="1754" spans="2:10" x14ac:dyDescent="0.2">
      <c r="B1754" s="93"/>
      <c r="C1754" s="97"/>
      <c r="D1754" s="93"/>
      <c r="E1754" s="98"/>
      <c r="F1754" s="100">
        <v>1750</v>
      </c>
      <c r="G1754" s="101">
        <f t="shared" si="109"/>
        <v>0</v>
      </c>
      <c r="H1754" s="101">
        <f t="shared" si="110"/>
        <v>0</v>
      </c>
      <c r="I1754" s="101">
        <f t="shared" si="111"/>
        <v>0</v>
      </c>
      <c r="J1754" s="101">
        <f t="shared" si="112"/>
        <v>0</v>
      </c>
    </row>
    <row r="1755" spans="2:10" x14ac:dyDescent="0.2">
      <c r="B1755" s="93"/>
      <c r="C1755" s="97"/>
      <c r="D1755" s="93"/>
      <c r="E1755" s="98"/>
      <c r="F1755" s="100">
        <v>1751</v>
      </c>
      <c r="G1755" s="101">
        <f t="shared" si="109"/>
        <v>0</v>
      </c>
      <c r="H1755" s="101">
        <f t="shared" si="110"/>
        <v>0</v>
      </c>
      <c r="I1755" s="101">
        <f t="shared" si="111"/>
        <v>0</v>
      </c>
      <c r="J1755" s="101">
        <f t="shared" si="112"/>
        <v>0</v>
      </c>
    </row>
    <row r="1756" spans="2:10" x14ac:dyDescent="0.2">
      <c r="B1756" s="93"/>
      <c r="C1756" s="97"/>
      <c r="D1756" s="93"/>
      <c r="E1756" s="98"/>
      <c r="F1756" s="100">
        <v>1752</v>
      </c>
      <c r="G1756" s="101">
        <f t="shared" si="109"/>
        <v>0</v>
      </c>
      <c r="H1756" s="101">
        <f t="shared" si="110"/>
        <v>0</v>
      </c>
      <c r="I1756" s="101">
        <f t="shared" si="111"/>
        <v>0</v>
      </c>
      <c r="J1756" s="101">
        <f t="shared" si="112"/>
        <v>0</v>
      </c>
    </row>
    <row r="1757" spans="2:10" x14ac:dyDescent="0.2">
      <c r="B1757" s="93"/>
      <c r="C1757" s="97"/>
      <c r="D1757" s="93"/>
      <c r="E1757" s="98"/>
      <c r="F1757" s="100">
        <v>1753</v>
      </c>
      <c r="G1757" s="101">
        <f t="shared" si="109"/>
        <v>0</v>
      </c>
      <c r="H1757" s="101">
        <f t="shared" si="110"/>
        <v>0</v>
      </c>
      <c r="I1757" s="101">
        <f t="shared" si="111"/>
        <v>0</v>
      </c>
      <c r="J1757" s="101">
        <f t="shared" si="112"/>
        <v>0</v>
      </c>
    </row>
    <row r="1758" spans="2:10" x14ac:dyDescent="0.2">
      <c r="B1758" s="93"/>
      <c r="C1758" s="97"/>
      <c r="D1758" s="93"/>
      <c r="E1758" s="98"/>
      <c r="F1758" s="100">
        <v>1754</v>
      </c>
      <c r="G1758" s="101">
        <f t="shared" si="109"/>
        <v>0</v>
      </c>
      <c r="H1758" s="101">
        <f t="shared" si="110"/>
        <v>0</v>
      </c>
      <c r="I1758" s="101">
        <f t="shared" si="111"/>
        <v>0</v>
      </c>
      <c r="J1758" s="101">
        <f t="shared" si="112"/>
        <v>0</v>
      </c>
    </row>
    <row r="1759" spans="2:10" x14ac:dyDescent="0.2">
      <c r="B1759" s="93"/>
      <c r="C1759" s="97"/>
      <c r="D1759" s="93"/>
      <c r="E1759" s="98"/>
      <c r="F1759" s="100">
        <v>1755</v>
      </c>
      <c r="G1759" s="101">
        <f t="shared" si="109"/>
        <v>0</v>
      </c>
      <c r="H1759" s="101">
        <f t="shared" si="110"/>
        <v>0</v>
      </c>
      <c r="I1759" s="101">
        <f t="shared" si="111"/>
        <v>0</v>
      </c>
      <c r="J1759" s="101">
        <f t="shared" si="112"/>
        <v>0</v>
      </c>
    </row>
    <row r="1760" spans="2:10" x14ac:dyDescent="0.2">
      <c r="B1760" s="93"/>
      <c r="C1760" s="97"/>
      <c r="D1760" s="93"/>
      <c r="E1760" s="98"/>
      <c r="F1760" s="100">
        <v>1756</v>
      </c>
      <c r="G1760" s="101">
        <f t="shared" si="109"/>
        <v>0</v>
      </c>
      <c r="H1760" s="101">
        <f t="shared" si="110"/>
        <v>0</v>
      </c>
      <c r="I1760" s="101">
        <f t="shared" si="111"/>
        <v>0</v>
      </c>
      <c r="J1760" s="101">
        <f t="shared" si="112"/>
        <v>0</v>
      </c>
    </row>
    <row r="1761" spans="2:10" x14ac:dyDescent="0.2">
      <c r="B1761" s="93"/>
      <c r="C1761" s="97"/>
      <c r="D1761" s="93"/>
      <c r="E1761" s="98"/>
      <c r="F1761" s="100">
        <v>1757</v>
      </c>
      <c r="G1761" s="101">
        <f t="shared" si="109"/>
        <v>0</v>
      </c>
      <c r="H1761" s="101">
        <f t="shared" si="110"/>
        <v>0</v>
      </c>
      <c r="I1761" s="101">
        <f t="shared" si="111"/>
        <v>0</v>
      </c>
      <c r="J1761" s="101">
        <f t="shared" si="112"/>
        <v>0</v>
      </c>
    </row>
    <row r="1762" spans="2:10" x14ac:dyDescent="0.2">
      <c r="B1762" s="93"/>
      <c r="C1762" s="97"/>
      <c r="D1762" s="93"/>
      <c r="E1762" s="98"/>
      <c r="F1762" s="100">
        <v>1758</v>
      </c>
      <c r="G1762" s="101">
        <f t="shared" si="109"/>
        <v>0</v>
      </c>
      <c r="H1762" s="101">
        <f t="shared" si="110"/>
        <v>0</v>
      </c>
      <c r="I1762" s="101">
        <f t="shared" si="111"/>
        <v>0</v>
      </c>
      <c r="J1762" s="101">
        <f t="shared" si="112"/>
        <v>0</v>
      </c>
    </row>
    <row r="1763" spans="2:10" x14ac:dyDescent="0.2">
      <c r="B1763" s="93"/>
      <c r="C1763" s="97"/>
      <c r="D1763" s="93"/>
      <c r="E1763" s="98"/>
      <c r="F1763" s="100">
        <v>1759</v>
      </c>
      <c r="G1763" s="101">
        <f t="shared" si="109"/>
        <v>0</v>
      </c>
      <c r="H1763" s="101">
        <f t="shared" si="110"/>
        <v>0</v>
      </c>
      <c r="I1763" s="101">
        <f t="shared" si="111"/>
        <v>0</v>
      </c>
      <c r="J1763" s="101">
        <f t="shared" si="112"/>
        <v>0</v>
      </c>
    </row>
    <row r="1764" spans="2:10" x14ac:dyDescent="0.2">
      <c r="B1764" s="93"/>
      <c r="C1764" s="97"/>
      <c r="D1764" s="93"/>
      <c r="E1764" s="98"/>
      <c r="F1764" s="100">
        <v>1760</v>
      </c>
      <c r="G1764" s="101">
        <f t="shared" si="109"/>
        <v>0</v>
      </c>
      <c r="H1764" s="101">
        <f t="shared" si="110"/>
        <v>0</v>
      </c>
      <c r="I1764" s="101">
        <f t="shared" si="111"/>
        <v>0</v>
      </c>
      <c r="J1764" s="101">
        <f t="shared" si="112"/>
        <v>0</v>
      </c>
    </row>
    <row r="1765" spans="2:10" x14ac:dyDescent="0.2">
      <c r="B1765" s="93"/>
      <c r="C1765" s="97"/>
      <c r="D1765" s="93"/>
      <c r="E1765" s="98"/>
      <c r="F1765" s="100">
        <v>1761</v>
      </c>
      <c r="G1765" s="101">
        <f t="shared" si="109"/>
        <v>0</v>
      </c>
      <c r="H1765" s="101">
        <f t="shared" si="110"/>
        <v>0</v>
      </c>
      <c r="I1765" s="101">
        <f t="shared" si="111"/>
        <v>0</v>
      </c>
      <c r="J1765" s="101">
        <f t="shared" si="112"/>
        <v>0</v>
      </c>
    </row>
    <row r="1766" spans="2:10" x14ac:dyDescent="0.2">
      <c r="B1766" s="93"/>
      <c r="C1766" s="97"/>
      <c r="D1766" s="93"/>
      <c r="E1766" s="98"/>
      <c r="F1766" s="100">
        <v>1762</v>
      </c>
      <c r="G1766" s="101">
        <f t="shared" si="109"/>
        <v>0</v>
      </c>
      <c r="H1766" s="101">
        <f t="shared" si="110"/>
        <v>0</v>
      </c>
      <c r="I1766" s="101">
        <f t="shared" si="111"/>
        <v>0</v>
      </c>
      <c r="J1766" s="101">
        <f t="shared" si="112"/>
        <v>0</v>
      </c>
    </row>
    <row r="1767" spans="2:10" x14ac:dyDescent="0.2">
      <c r="B1767" s="93"/>
      <c r="C1767" s="97"/>
      <c r="D1767" s="93"/>
      <c r="E1767" s="98"/>
      <c r="F1767" s="100">
        <v>1763</v>
      </c>
      <c r="G1767" s="101">
        <f t="shared" si="109"/>
        <v>0</v>
      </c>
      <c r="H1767" s="101">
        <f t="shared" si="110"/>
        <v>0</v>
      </c>
      <c r="I1767" s="101">
        <f t="shared" si="111"/>
        <v>0</v>
      </c>
      <c r="J1767" s="101">
        <f t="shared" si="112"/>
        <v>0</v>
      </c>
    </row>
    <row r="1768" spans="2:10" x14ac:dyDescent="0.2">
      <c r="B1768" s="93"/>
      <c r="C1768" s="97"/>
      <c r="D1768" s="93"/>
      <c r="E1768" s="98"/>
      <c r="F1768" s="100">
        <v>1764</v>
      </c>
      <c r="G1768" s="101">
        <f t="shared" si="109"/>
        <v>0</v>
      </c>
      <c r="H1768" s="101">
        <f t="shared" si="110"/>
        <v>0</v>
      </c>
      <c r="I1768" s="101">
        <f t="shared" si="111"/>
        <v>0</v>
      </c>
      <c r="J1768" s="101">
        <f t="shared" si="112"/>
        <v>0</v>
      </c>
    </row>
    <row r="1769" spans="2:10" x14ac:dyDescent="0.2">
      <c r="B1769" s="93"/>
      <c r="C1769" s="97"/>
      <c r="D1769" s="93"/>
      <c r="E1769" s="98"/>
      <c r="F1769" s="100">
        <v>1765</v>
      </c>
      <c r="G1769" s="101">
        <f t="shared" si="109"/>
        <v>0</v>
      </c>
      <c r="H1769" s="101">
        <f t="shared" si="110"/>
        <v>0</v>
      </c>
      <c r="I1769" s="101">
        <f t="shared" si="111"/>
        <v>0</v>
      </c>
      <c r="J1769" s="101">
        <f t="shared" si="112"/>
        <v>0</v>
      </c>
    </row>
    <row r="1770" spans="2:10" x14ac:dyDescent="0.2">
      <c r="B1770" s="93"/>
      <c r="C1770" s="97"/>
      <c r="D1770" s="93"/>
      <c r="E1770" s="98"/>
      <c r="F1770" s="100">
        <v>1766</v>
      </c>
      <c r="G1770" s="101">
        <f t="shared" si="109"/>
        <v>0</v>
      </c>
      <c r="H1770" s="101">
        <f t="shared" si="110"/>
        <v>0</v>
      </c>
      <c r="I1770" s="101">
        <f t="shared" si="111"/>
        <v>0</v>
      </c>
      <c r="J1770" s="101">
        <f t="shared" si="112"/>
        <v>0</v>
      </c>
    </row>
    <row r="1771" spans="2:10" x14ac:dyDescent="0.2">
      <c r="B1771" s="93"/>
      <c r="C1771" s="97"/>
      <c r="D1771" s="93"/>
      <c r="E1771" s="98"/>
      <c r="F1771" s="100">
        <v>1767</v>
      </c>
      <c r="G1771" s="101">
        <f t="shared" si="109"/>
        <v>0</v>
      </c>
      <c r="H1771" s="101">
        <f t="shared" si="110"/>
        <v>0</v>
      </c>
      <c r="I1771" s="101">
        <f t="shared" si="111"/>
        <v>0</v>
      </c>
      <c r="J1771" s="101">
        <f t="shared" si="112"/>
        <v>0</v>
      </c>
    </row>
    <row r="1772" spans="2:10" x14ac:dyDescent="0.2">
      <c r="B1772" s="93"/>
      <c r="C1772" s="97"/>
      <c r="D1772" s="93"/>
      <c r="E1772" s="98"/>
      <c r="F1772" s="100">
        <v>1768</v>
      </c>
      <c r="G1772" s="101">
        <f t="shared" si="109"/>
        <v>0</v>
      </c>
      <c r="H1772" s="101">
        <f t="shared" si="110"/>
        <v>0</v>
      </c>
      <c r="I1772" s="101">
        <f t="shared" si="111"/>
        <v>0</v>
      </c>
      <c r="J1772" s="101">
        <f t="shared" si="112"/>
        <v>0</v>
      </c>
    </row>
    <row r="1773" spans="2:10" x14ac:dyDescent="0.2">
      <c r="B1773" s="93"/>
      <c r="C1773" s="97"/>
      <c r="D1773" s="93"/>
      <c r="E1773" s="98"/>
      <c r="F1773" s="100">
        <v>1769</v>
      </c>
      <c r="G1773" s="101">
        <f t="shared" si="109"/>
        <v>0</v>
      </c>
      <c r="H1773" s="101">
        <f t="shared" si="110"/>
        <v>0</v>
      </c>
      <c r="I1773" s="101">
        <f t="shared" si="111"/>
        <v>0</v>
      </c>
      <c r="J1773" s="101">
        <f t="shared" si="112"/>
        <v>0</v>
      </c>
    </row>
    <row r="1774" spans="2:10" x14ac:dyDescent="0.2">
      <c r="B1774" s="93"/>
      <c r="C1774" s="97"/>
      <c r="D1774" s="93"/>
      <c r="E1774" s="98"/>
      <c r="F1774" s="100">
        <v>1770</v>
      </c>
      <c r="G1774" s="101">
        <f t="shared" si="109"/>
        <v>0</v>
      </c>
      <c r="H1774" s="101">
        <f t="shared" si="110"/>
        <v>0</v>
      </c>
      <c r="I1774" s="101">
        <f t="shared" si="111"/>
        <v>0</v>
      </c>
      <c r="J1774" s="101">
        <f t="shared" si="112"/>
        <v>0</v>
      </c>
    </row>
    <row r="1775" spans="2:10" x14ac:dyDescent="0.2">
      <c r="B1775" s="93"/>
      <c r="C1775" s="97"/>
      <c r="D1775" s="93"/>
      <c r="E1775" s="98"/>
      <c r="F1775" s="100">
        <v>1771</v>
      </c>
      <c r="G1775" s="101">
        <f t="shared" si="109"/>
        <v>0</v>
      </c>
      <c r="H1775" s="101">
        <f t="shared" si="110"/>
        <v>0</v>
      </c>
      <c r="I1775" s="101">
        <f t="shared" si="111"/>
        <v>0</v>
      </c>
      <c r="J1775" s="101">
        <f t="shared" si="112"/>
        <v>0</v>
      </c>
    </row>
    <row r="1776" spans="2:10" x14ac:dyDescent="0.2">
      <c r="B1776" s="93"/>
      <c r="C1776" s="97"/>
      <c r="D1776" s="93"/>
      <c r="E1776" s="98"/>
      <c r="F1776" s="100">
        <v>1772</v>
      </c>
      <c r="G1776" s="101">
        <f t="shared" si="109"/>
        <v>0</v>
      </c>
      <c r="H1776" s="101">
        <f t="shared" si="110"/>
        <v>0</v>
      </c>
      <c r="I1776" s="101">
        <f t="shared" si="111"/>
        <v>0</v>
      </c>
      <c r="J1776" s="101">
        <f t="shared" si="112"/>
        <v>0</v>
      </c>
    </row>
    <row r="1777" spans="2:10" x14ac:dyDescent="0.2">
      <c r="B1777" s="93"/>
      <c r="C1777" s="97"/>
      <c r="D1777" s="93"/>
      <c r="E1777" s="98"/>
      <c r="F1777" s="100">
        <v>1773</v>
      </c>
      <c r="G1777" s="101">
        <f t="shared" si="109"/>
        <v>0</v>
      </c>
      <c r="H1777" s="101">
        <f t="shared" si="110"/>
        <v>0</v>
      </c>
      <c r="I1777" s="101">
        <f t="shared" si="111"/>
        <v>0</v>
      </c>
      <c r="J1777" s="101">
        <f t="shared" si="112"/>
        <v>0</v>
      </c>
    </row>
    <row r="1778" spans="2:10" x14ac:dyDescent="0.2">
      <c r="B1778" s="93"/>
      <c r="C1778" s="97"/>
      <c r="D1778" s="93"/>
      <c r="E1778" s="98"/>
      <c r="F1778" s="100">
        <v>1774</v>
      </c>
      <c r="G1778" s="101">
        <f t="shared" si="109"/>
        <v>0</v>
      </c>
      <c r="H1778" s="101">
        <f t="shared" si="110"/>
        <v>0</v>
      </c>
      <c r="I1778" s="101">
        <f t="shared" si="111"/>
        <v>0</v>
      </c>
      <c r="J1778" s="101">
        <f t="shared" si="112"/>
        <v>0</v>
      </c>
    </row>
    <row r="1779" spans="2:10" x14ac:dyDescent="0.2">
      <c r="B1779" s="93"/>
      <c r="C1779" s="97"/>
      <c r="D1779" s="93"/>
      <c r="E1779" s="98"/>
      <c r="F1779" s="100">
        <v>1775</v>
      </c>
      <c r="G1779" s="101">
        <f t="shared" si="109"/>
        <v>0</v>
      </c>
      <c r="H1779" s="101">
        <f t="shared" si="110"/>
        <v>0</v>
      </c>
      <c r="I1779" s="101">
        <f t="shared" si="111"/>
        <v>0</v>
      </c>
      <c r="J1779" s="101">
        <f t="shared" si="112"/>
        <v>0</v>
      </c>
    </row>
    <row r="1780" spans="2:10" x14ac:dyDescent="0.2">
      <c r="B1780" s="93"/>
      <c r="C1780" s="97"/>
      <c r="D1780" s="93"/>
      <c r="E1780" s="98"/>
      <c r="F1780" s="100">
        <v>1776</v>
      </c>
      <c r="G1780" s="101">
        <f t="shared" si="109"/>
        <v>0</v>
      </c>
      <c r="H1780" s="101">
        <f t="shared" si="110"/>
        <v>0</v>
      </c>
      <c r="I1780" s="101">
        <f t="shared" si="111"/>
        <v>0</v>
      </c>
      <c r="J1780" s="101">
        <f t="shared" si="112"/>
        <v>0</v>
      </c>
    </row>
    <row r="1781" spans="2:10" x14ac:dyDescent="0.2">
      <c r="B1781" s="93"/>
      <c r="C1781" s="97"/>
      <c r="D1781" s="93"/>
      <c r="E1781" s="98"/>
      <c r="F1781" s="100">
        <v>1777</v>
      </c>
      <c r="G1781" s="101">
        <f t="shared" si="109"/>
        <v>0</v>
      </c>
      <c r="H1781" s="101">
        <f t="shared" si="110"/>
        <v>0</v>
      </c>
      <c r="I1781" s="101">
        <f t="shared" si="111"/>
        <v>0</v>
      </c>
      <c r="J1781" s="101">
        <f t="shared" si="112"/>
        <v>0</v>
      </c>
    </row>
    <row r="1782" spans="2:10" x14ac:dyDescent="0.2">
      <c r="B1782" s="93"/>
      <c r="C1782" s="97"/>
      <c r="D1782" s="93"/>
      <c r="E1782" s="98"/>
      <c r="F1782" s="100">
        <v>1778</v>
      </c>
      <c r="G1782" s="101">
        <f t="shared" si="109"/>
        <v>0</v>
      </c>
      <c r="H1782" s="101">
        <f t="shared" si="110"/>
        <v>0</v>
      </c>
      <c r="I1782" s="101">
        <f t="shared" si="111"/>
        <v>0</v>
      </c>
      <c r="J1782" s="101">
        <f t="shared" si="112"/>
        <v>0</v>
      </c>
    </row>
    <row r="1783" spans="2:10" x14ac:dyDescent="0.2">
      <c r="B1783" s="93"/>
      <c r="C1783" s="97"/>
      <c r="D1783" s="93"/>
      <c r="E1783" s="98"/>
      <c r="F1783" s="100">
        <v>1779</v>
      </c>
      <c r="G1783" s="101">
        <f t="shared" si="109"/>
        <v>0</v>
      </c>
      <c r="H1783" s="101">
        <f t="shared" si="110"/>
        <v>0</v>
      </c>
      <c r="I1783" s="101">
        <f t="shared" si="111"/>
        <v>0</v>
      </c>
      <c r="J1783" s="101">
        <f t="shared" si="112"/>
        <v>0</v>
      </c>
    </row>
    <row r="1784" spans="2:10" x14ac:dyDescent="0.2">
      <c r="B1784" s="93"/>
      <c r="C1784" s="97"/>
      <c r="D1784" s="93"/>
      <c r="E1784" s="98"/>
      <c r="F1784" s="100">
        <v>1780</v>
      </c>
      <c r="G1784" s="101">
        <f t="shared" si="109"/>
        <v>0</v>
      </c>
      <c r="H1784" s="101">
        <f t="shared" si="110"/>
        <v>0</v>
      </c>
      <c r="I1784" s="101">
        <f t="shared" si="111"/>
        <v>0</v>
      </c>
      <c r="J1784" s="101">
        <f t="shared" si="112"/>
        <v>0</v>
      </c>
    </row>
    <row r="1785" spans="2:10" x14ac:dyDescent="0.2">
      <c r="B1785" s="93"/>
      <c r="C1785" s="97"/>
      <c r="D1785" s="93"/>
      <c r="E1785" s="98"/>
      <c r="F1785" s="100">
        <v>1781</v>
      </c>
      <c r="G1785" s="101">
        <f t="shared" si="109"/>
        <v>0</v>
      </c>
      <c r="H1785" s="101">
        <f t="shared" si="110"/>
        <v>0</v>
      </c>
      <c r="I1785" s="101">
        <f t="shared" si="111"/>
        <v>0</v>
      </c>
      <c r="J1785" s="101">
        <f t="shared" si="112"/>
        <v>0</v>
      </c>
    </row>
    <row r="1786" spans="2:10" x14ac:dyDescent="0.2">
      <c r="B1786" s="93"/>
      <c r="C1786" s="97"/>
      <c r="D1786" s="93"/>
      <c r="E1786" s="98"/>
      <c r="F1786" s="100">
        <v>1782</v>
      </c>
      <c r="G1786" s="101">
        <f t="shared" si="109"/>
        <v>0</v>
      </c>
      <c r="H1786" s="101">
        <f t="shared" si="110"/>
        <v>0</v>
      </c>
      <c r="I1786" s="101">
        <f t="shared" si="111"/>
        <v>0</v>
      </c>
      <c r="J1786" s="101">
        <f t="shared" si="112"/>
        <v>0</v>
      </c>
    </row>
    <row r="1787" spans="2:10" x14ac:dyDescent="0.2">
      <c r="B1787" s="93"/>
      <c r="C1787" s="97"/>
      <c r="D1787" s="93"/>
      <c r="E1787" s="98"/>
      <c r="F1787" s="100">
        <v>1783</v>
      </c>
      <c r="G1787" s="101">
        <f t="shared" si="109"/>
        <v>0</v>
      </c>
      <c r="H1787" s="101">
        <f t="shared" si="110"/>
        <v>0</v>
      </c>
      <c r="I1787" s="101">
        <f t="shared" si="111"/>
        <v>0</v>
      </c>
      <c r="J1787" s="101">
        <f t="shared" si="112"/>
        <v>0</v>
      </c>
    </row>
    <row r="1788" spans="2:10" x14ac:dyDescent="0.2">
      <c r="B1788" s="93"/>
      <c r="C1788" s="97"/>
      <c r="D1788" s="93"/>
      <c r="E1788" s="98"/>
      <c r="F1788" s="100">
        <v>1784</v>
      </c>
      <c r="G1788" s="101">
        <f t="shared" si="109"/>
        <v>0</v>
      </c>
      <c r="H1788" s="101">
        <f t="shared" si="110"/>
        <v>0</v>
      </c>
      <c r="I1788" s="101">
        <f t="shared" si="111"/>
        <v>0</v>
      </c>
      <c r="J1788" s="101">
        <f t="shared" si="112"/>
        <v>0</v>
      </c>
    </row>
    <row r="1789" spans="2:10" x14ac:dyDescent="0.2">
      <c r="B1789" s="93"/>
      <c r="C1789" s="97"/>
      <c r="D1789" s="93"/>
      <c r="E1789" s="98"/>
      <c r="F1789" s="100">
        <v>1785</v>
      </c>
      <c r="G1789" s="101">
        <f t="shared" si="109"/>
        <v>0</v>
      </c>
      <c r="H1789" s="101">
        <f t="shared" si="110"/>
        <v>0</v>
      </c>
      <c r="I1789" s="101">
        <f t="shared" si="111"/>
        <v>0</v>
      </c>
      <c r="J1789" s="101">
        <f t="shared" si="112"/>
        <v>0</v>
      </c>
    </row>
    <row r="1790" spans="2:10" x14ac:dyDescent="0.2">
      <c r="B1790" s="93"/>
      <c r="C1790" s="97"/>
      <c r="D1790" s="93"/>
      <c r="E1790" s="98"/>
      <c r="F1790" s="100">
        <v>1786</v>
      </c>
      <c r="G1790" s="101">
        <f t="shared" si="109"/>
        <v>0</v>
      </c>
      <c r="H1790" s="101">
        <f t="shared" si="110"/>
        <v>0</v>
      </c>
      <c r="I1790" s="101">
        <f t="shared" si="111"/>
        <v>0</v>
      </c>
      <c r="J1790" s="101">
        <f t="shared" si="112"/>
        <v>0</v>
      </c>
    </row>
    <row r="1791" spans="2:10" x14ac:dyDescent="0.2">
      <c r="B1791" s="93"/>
      <c r="C1791" s="97"/>
      <c r="D1791" s="93"/>
      <c r="E1791" s="98"/>
      <c r="F1791" s="100">
        <v>1787</v>
      </c>
      <c r="G1791" s="101">
        <f t="shared" si="109"/>
        <v>0</v>
      </c>
      <c r="H1791" s="101">
        <f t="shared" si="110"/>
        <v>0</v>
      </c>
      <c r="I1791" s="101">
        <f t="shared" si="111"/>
        <v>0</v>
      </c>
      <c r="J1791" s="101">
        <f t="shared" si="112"/>
        <v>0</v>
      </c>
    </row>
    <row r="1792" spans="2:10" x14ac:dyDescent="0.2">
      <c r="B1792" s="93"/>
      <c r="C1792" s="97"/>
      <c r="D1792" s="93"/>
      <c r="E1792" s="98"/>
      <c r="F1792" s="100">
        <v>1788</v>
      </c>
      <c r="G1792" s="101">
        <f t="shared" si="109"/>
        <v>0</v>
      </c>
      <c r="H1792" s="101">
        <f t="shared" si="110"/>
        <v>0</v>
      </c>
      <c r="I1792" s="101">
        <f t="shared" si="111"/>
        <v>0</v>
      </c>
      <c r="J1792" s="101">
        <f t="shared" si="112"/>
        <v>0</v>
      </c>
    </row>
    <row r="1793" spans="2:10" x14ac:dyDescent="0.2">
      <c r="B1793" s="93"/>
      <c r="C1793" s="97"/>
      <c r="D1793" s="93"/>
      <c r="E1793" s="98"/>
      <c r="F1793" s="100">
        <v>1789</v>
      </c>
      <c r="G1793" s="101">
        <f t="shared" si="109"/>
        <v>0</v>
      </c>
      <c r="H1793" s="101">
        <f t="shared" si="110"/>
        <v>0</v>
      </c>
      <c r="I1793" s="101">
        <f t="shared" si="111"/>
        <v>0</v>
      </c>
      <c r="J1793" s="101">
        <f t="shared" si="112"/>
        <v>0</v>
      </c>
    </row>
    <row r="1794" spans="2:10" x14ac:dyDescent="0.2">
      <c r="B1794" s="93"/>
      <c r="C1794" s="97"/>
      <c r="D1794" s="93"/>
      <c r="E1794" s="98"/>
      <c r="F1794" s="100">
        <v>1790</v>
      </c>
      <c r="G1794" s="101">
        <f t="shared" si="109"/>
        <v>0</v>
      </c>
      <c r="H1794" s="101">
        <f t="shared" si="110"/>
        <v>0</v>
      </c>
      <c r="I1794" s="101">
        <f t="shared" si="111"/>
        <v>0</v>
      </c>
      <c r="J1794" s="101">
        <f t="shared" si="112"/>
        <v>0</v>
      </c>
    </row>
    <row r="1795" spans="2:10" x14ac:dyDescent="0.2">
      <c r="B1795" s="93"/>
      <c r="C1795" s="97"/>
      <c r="D1795" s="93"/>
      <c r="E1795" s="98"/>
      <c r="F1795" s="100">
        <v>1791</v>
      </c>
      <c r="G1795" s="101">
        <f t="shared" si="109"/>
        <v>0</v>
      </c>
      <c r="H1795" s="101">
        <f t="shared" si="110"/>
        <v>0</v>
      </c>
      <c r="I1795" s="101">
        <f t="shared" si="111"/>
        <v>0</v>
      </c>
      <c r="J1795" s="101">
        <f t="shared" si="112"/>
        <v>0</v>
      </c>
    </row>
    <row r="1796" spans="2:10" x14ac:dyDescent="0.2">
      <c r="B1796" s="93"/>
      <c r="C1796" s="97"/>
      <c r="D1796" s="93"/>
      <c r="E1796" s="98"/>
      <c r="F1796" s="100">
        <v>1792</v>
      </c>
      <c r="G1796" s="101">
        <f t="shared" si="109"/>
        <v>0</v>
      </c>
      <c r="H1796" s="101">
        <f t="shared" si="110"/>
        <v>0</v>
      </c>
      <c r="I1796" s="101">
        <f t="shared" si="111"/>
        <v>0</v>
      </c>
      <c r="J1796" s="101">
        <f t="shared" si="112"/>
        <v>0</v>
      </c>
    </row>
    <row r="1797" spans="2:10" x14ac:dyDescent="0.2">
      <c r="B1797" s="93"/>
      <c r="C1797" s="97"/>
      <c r="D1797" s="93"/>
      <c r="E1797" s="98"/>
      <c r="F1797" s="100">
        <v>1793</v>
      </c>
      <c r="G1797" s="101">
        <f t="shared" si="109"/>
        <v>0</v>
      </c>
      <c r="H1797" s="101">
        <f t="shared" si="110"/>
        <v>0</v>
      </c>
      <c r="I1797" s="101">
        <f t="shared" si="111"/>
        <v>0</v>
      </c>
      <c r="J1797" s="101">
        <f t="shared" si="112"/>
        <v>0</v>
      </c>
    </row>
    <row r="1798" spans="2:10" x14ac:dyDescent="0.2">
      <c r="B1798" s="93"/>
      <c r="C1798" s="97"/>
      <c r="D1798" s="93"/>
      <c r="E1798" s="98"/>
      <c r="F1798" s="100">
        <v>1794</v>
      </c>
      <c r="G1798" s="101">
        <f t="shared" ref="G1798:G1861" si="113">B1798</f>
        <v>0</v>
      </c>
      <c r="H1798" s="101">
        <f t="shared" ref="H1798:H1861" si="114">C1798</f>
        <v>0</v>
      </c>
      <c r="I1798" s="101">
        <f t="shared" ref="I1798:I1861" si="115">D1798</f>
        <v>0</v>
      </c>
      <c r="J1798" s="101">
        <f t="shared" ref="J1798:J1861" si="116">E1798</f>
        <v>0</v>
      </c>
    </row>
    <row r="1799" spans="2:10" x14ac:dyDescent="0.2">
      <c r="B1799" s="93"/>
      <c r="C1799" s="97"/>
      <c r="D1799" s="93"/>
      <c r="E1799" s="98"/>
      <c r="F1799" s="100">
        <v>1795</v>
      </c>
      <c r="G1799" s="101">
        <f t="shared" si="113"/>
        <v>0</v>
      </c>
      <c r="H1799" s="101">
        <f t="shared" si="114"/>
        <v>0</v>
      </c>
      <c r="I1799" s="101">
        <f t="shared" si="115"/>
        <v>0</v>
      </c>
      <c r="J1799" s="101">
        <f t="shared" si="116"/>
        <v>0</v>
      </c>
    </row>
    <row r="1800" spans="2:10" x14ac:dyDescent="0.2">
      <c r="B1800" s="93"/>
      <c r="C1800" s="97"/>
      <c r="D1800" s="93"/>
      <c r="E1800" s="98"/>
      <c r="F1800" s="100">
        <v>1796</v>
      </c>
      <c r="G1800" s="101">
        <f t="shared" si="113"/>
        <v>0</v>
      </c>
      <c r="H1800" s="101">
        <f t="shared" si="114"/>
        <v>0</v>
      </c>
      <c r="I1800" s="101">
        <f t="shared" si="115"/>
        <v>0</v>
      </c>
      <c r="J1800" s="101">
        <f t="shared" si="116"/>
        <v>0</v>
      </c>
    </row>
    <row r="1801" spans="2:10" x14ac:dyDescent="0.2">
      <c r="B1801" s="93"/>
      <c r="C1801" s="97"/>
      <c r="D1801" s="93"/>
      <c r="E1801" s="98"/>
      <c r="F1801" s="100">
        <v>1797</v>
      </c>
      <c r="G1801" s="101">
        <f t="shared" si="113"/>
        <v>0</v>
      </c>
      <c r="H1801" s="101">
        <f t="shared" si="114"/>
        <v>0</v>
      </c>
      <c r="I1801" s="101">
        <f t="shared" si="115"/>
        <v>0</v>
      </c>
      <c r="J1801" s="101">
        <f t="shared" si="116"/>
        <v>0</v>
      </c>
    </row>
    <row r="1802" spans="2:10" x14ac:dyDescent="0.2">
      <c r="B1802" s="93"/>
      <c r="C1802" s="97"/>
      <c r="D1802" s="93"/>
      <c r="E1802" s="98"/>
      <c r="F1802" s="100">
        <v>1798</v>
      </c>
      <c r="G1802" s="101">
        <f t="shared" si="113"/>
        <v>0</v>
      </c>
      <c r="H1802" s="101">
        <f t="shared" si="114"/>
        <v>0</v>
      </c>
      <c r="I1802" s="101">
        <f t="shared" si="115"/>
        <v>0</v>
      </c>
      <c r="J1802" s="101">
        <f t="shared" si="116"/>
        <v>0</v>
      </c>
    </row>
    <row r="1803" spans="2:10" x14ac:dyDescent="0.2">
      <c r="B1803" s="93"/>
      <c r="C1803" s="97"/>
      <c r="D1803" s="93"/>
      <c r="E1803" s="98"/>
      <c r="F1803" s="100">
        <v>1799</v>
      </c>
      <c r="G1803" s="101">
        <f t="shared" si="113"/>
        <v>0</v>
      </c>
      <c r="H1803" s="101">
        <f t="shared" si="114"/>
        <v>0</v>
      </c>
      <c r="I1803" s="101">
        <f t="shared" si="115"/>
        <v>0</v>
      </c>
      <c r="J1803" s="101">
        <f t="shared" si="116"/>
        <v>0</v>
      </c>
    </row>
    <row r="1804" spans="2:10" x14ac:dyDescent="0.2">
      <c r="B1804" s="93"/>
      <c r="C1804" s="97"/>
      <c r="D1804" s="93"/>
      <c r="E1804" s="98"/>
      <c r="F1804" s="100">
        <v>1800</v>
      </c>
      <c r="G1804" s="101">
        <f t="shared" si="113"/>
        <v>0</v>
      </c>
      <c r="H1804" s="101">
        <f t="shared" si="114"/>
        <v>0</v>
      </c>
      <c r="I1804" s="101">
        <f t="shared" si="115"/>
        <v>0</v>
      </c>
      <c r="J1804" s="101">
        <f t="shared" si="116"/>
        <v>0</v>
      </c>
    </row>
    <row r="1805" spans="2:10" x14ac:dyDescent="0.2">
      <c r="B1805" s="93"/>
      <c r="C1805" s="97"/>
      <c r="D1805" s="93"/>
      <c r="E1805" s="98"/>
      <c r="F1805" s="100">
        <v>1801</v>
      </c>
      <c r="G1805" s="101">
        <f t="shared" si="113"/>
        <v>0</v>
      </c>
      <c r="H1805" s="101">
        <f t="shared" si="114"/>
        <v>0</v>
      </c>
      <c r="I1805" s="101">
        <f t="shared" si="115"/>
        <v>0</v>
      </c>
      <c r="J1805" s="101">
        <f t="shared" si="116"/>
        <v>0</v>
      </c>
    </row>
    <row r="1806" spans="2:10" x14ac:dyDescent="0.2">
      <c r="B1806" s="93"/>
      <c r="C1806" s="97"/>
      <c r="D1806" s="93"/>
      <c r="E1806" s="98"/>
      <c r="F1806" s="100">
        <v>1802</v>
      </c>
      <c r="G1806" s="101">
        <f t="shared" si="113"/>
        <v>0</v>
      </c>
      <c r="H1806" s="101">
        <f t="shared" si="114"/>
        <v>0</v>
      </c>
      <c r="I1806" s="101">
        <f t="shared" si="115"/>
        <v>0</v>
      </c>
      <c r="J1806" s="101">
        <f t="shared" si="116"/>
        <v>0</v>
      </c>
    </row>
    <row r="1807" spans="2:10" x14ac:dyDescent="0.2">
      <c r="B1807" s="93"/>
      <c r="C1807" s="97"/>
      <c r="D1807" s="93"/>
      <c r="E1807" s="98"/>
      <c r="F1807" s="100">
        <v>1803</v>
      </c>
      <c r="G1807" s="101">
        <f t="shared" si="113"/>
        <v>0</v>
      </c>
      <c r="H1807" s="101">
        <f t="shared" si="114"/>
        <v>0</v>
      </c>
      <c r="I1807" s="101">
        <f t="shared" si="115"/>
        <v>0</v>
      </c>
      <c r="J1807" s="101">
        <f t="shared" si="116"/>
        <v>0</v>
      </c>
    </row>
    <row r="1808" spans="2:10" x14ac:dyDescent="0.2">
      <c r="B1808" s="93"/>
      <c r="C1808" s="97"/>
      <c r="D1808" s="93"/>
      <c r="E1808" s="98"/>
      <c r="F1808" s="100">
        <v>1804</v>
      </c>
      <c r="G1808" s="101">
        <f t="shared" si="113"/>
        <v>0</v>
      </c>
      <c r="H1808" s="101">
        <f t="shared" si="114"/>
        <v>0</v>
      </c>
      <c r="I1808" s="101">
        <f t="shared" si="115"/>
        <v>0</v>
      </c>
      <c r="J1808" s="101">
        <f t="shared" si="116"/>
        <v>0</v>
      </c>
    </row>
    <row r="1809" spans="2:10" x14ac:dyDescent="0.2">
      <c r="B1809" s="93"/>
      <c r="C1809" s="97"/>
      <c r="D1809" s="93"/>
      <c r="E1809" s="98"/>
      <c r="F1809" s="100">
        <v>1805</v>
      </c>
      <c r="G1809" s="101">
        <f t="shared" si="113"/>
        <v>0</v>
      </c>
      <c r="H1809" s="101">
        <f t="shared" si="114"/>
        <v>0</v>
      </c>
      <c r="I1809" s="101">
        <f t="shared" si="115"/>
        <v>0</v>
      </c>
      <c r="J1809" s="101">
        <f t="shared" si="116"/>
        <v>0</v>
      </c>
    </row>
    <row r="1810" spans="2:10" x14ac:dyDescent="0.2">
      <c r="B1810" s="93"/>
      <c r="C1810" s="97"/>
      <c r="D1810" s="93"/>
      <c r="E1810" s="98"/>
      <c r="F1810" s="100">
        <v>1806</v>
      </c>
      <c r="G1810" s="101">
        <f t="shared" si="113"/>
        <v>0</v>
      </c>
      <c r="H1810" s="101">
        <f t="shared" si="114"/>
        <v>0</v>
      </c>
      <c r="I1810" s="101">
        <f t="shared" si="115"/>
        <v>0</v>
      </c>
      <c r="J1810" s="101">
        <f t="shared" si="116"/>
        <v>0</v>
      </c>
    </row>
    <row r="1811" spans="2:10" x14ac:dyDescent="0.2">
      <c r="B1811" s="93"/>
      <c r="C1811" s="97"/>
      <c r="D1811" s="93"/>
      <c r="E1811" s="98"/>
      <c r="F1811" s="100">
        <v>1807</v>
      </c>
      <c r="G1811" s="101">
        <f t="shared" si="113"/>
        <v>0</v>
      </c>
      <c r="H1811" s="101">
        <f t="shared" si="114"/>
        <v>0</v>
      </c>
      <c r="I1811" s="101">
        <f t="shared" si="115"/>
        <v>0</v>
      </c>
      <c r="J1811" s="101">
        <f t="shared" si="116"/>
        <v>0</v>
      </c>
    </row>
    <row r="1812" spans="2:10" x14ac:dyDescent="0.2">
      <c r="B1812" s="93"/>
      <c r="C1812" s="97"/>
      <c r="D1812" s="93"/>
      <c r="E1812" s="98"/>
      <c r="F1812" s="100">
        <v>1808</v>
      </c>
      <c r="G1812" s="101">
        <f t="shared" si="113"/>
        <v>0</v>
      </c>
      <c r="H1812" s="101">
        <f t="shared" si="114"/>
        <v>0</v>
      </c>
      <c r="I1812" s="101">
        <f t="shared" si="115"/>
        <v>0</v>
      </c>
      <c r="J1812" s="101">
        <f t="shared" si="116"/>
        <v>0</v>
      </c>
    </row>
    <row r="1813" spans="2:10" x14ac:dyDescent="0.2">
      <c r="B1813" s="93"/>
      <c r="C1813" s="97"/>
      <c r="D1813" s="93"/>
      <c r="E1813" s="98"/>
      <c r="F1813" s="100">
        <v>1809</v>
      </c>
      <c r="G1813" s="101">
        <f t="shared" si="113"/>
        <v>0</v>
      </c>
      <c r="H1813" s="101">
        <f t="shared" si="114"/>
        <v>0</v>
      </c>
      <c r="I1813" s="101">
        <f t="shared" si="115"/>
        <v>0</v>
      </c>
      <c r="J1813" s="101">
        <f t="shared" si="116"/>
        <v>0</v>
      </c>
    </row>
    <row r="1814" spans="2:10" x14ac:dyDescent="0.2">
      <c r="B1814" s="93"/>
      <c r="C1814" s="97"/>
      <c r="D1814" s="93"/>
      <c r="E1814" s="98"/>
      <c r="F1814" s="100">
        <v>1810</v>
      </c>
      <c r="G1814" s="101">
        <f t="shared" si="113"/>
        <v>0</v>
      </c>
      <c r="H1814" s="101">
        <f t="shared" si="114"/>
        <v>0</v>
      </c>
      <c r="I1814" s="101">
        <f t="shared" si="115"/>
        <v>0</v>
      </c>
      <c r="J1814" s="101">
        <f t="shared" si="116"/>
        <v>0</v>
      </c>
    </row>
    <row r="1815" spans="2:10" x14ac:dyDescent="0.2">
      <c r="B1815" s="93"/>
      <c r="C1815" s="97"/>
      <c r="D1815" s="93"/>
      <c r="E1815" s="98"/>
      <c r="F1815" s="100">
        <v>1811</v>
      </c>
      <c r="G1815" s="101">
        <f t="shared" si="113"/>
        <v>0</v>
      </c>
      <c r="H1815" s="101">
        <f t="shared" si="114"/>
        <v>0</v>
      </c>
      <c r="I1815" s="101">
        <f t="shared" si="115"/>
        <v>0</v>
      </c>
      <c r="J1815" s="101">
        <f t="shared" si="116"/>
        <v>0</v>
      </c>
    </row>
    <row r="1816" spans="2:10" x14ac:dyDescent="0.2">
      <c r="B1816" s="93"/>
      <c r="C1816" s="97"/>
      <c r="D1816" s="93"/>
      <c r="E1816" s="98"/>
      <c r="F1816" s="100">
        <v>1812</v>
      </c>
      <c r="G1816" s="101">
        <f t="shared" si="113"/>
        <v>0</v>
      </c>
      <c r="H1816" s="101">
        <f t="shared" si="114"/>
        <v>0</v>
      </c>
      <c r="I1816" s="101">
        <f t="shared" si="115"/>
        <v>0</v>
      </c>
      <c r="J1816" s="101">
        <f t="shared" si="116"/>
        <v>0</v>
      </c>
    </row>
    <row r="1817" spans="2:10" x14ac:dyDescent="0.2">
      <c r="B1817" s="93"/>
      <c r="C1817" s="97"/>
      <c r="D1817" s="93"/>
      <c r="E1817" s="98"/>
      <c r="F1817" s="100">
        <v>1813</v>
      </c>
      <c r="G1817" s="101">
        <f t="shared" si="113"/>
        <v>0</v>
      </c>
      <c r="H1817" s="101">
        <f t="shared" si="114"/>
        <v>0</v>
      </c>
      <c r="I1817" s="101">
        <f t="shared" si="115"/>
        <v>0</v>
      </c>
      <c r="J1817" s="101">
        <f t="shared" si="116"/>
        <v>0</v>
      </c>
    </row>
    <row r="1818" spans="2:10" x14ac:dyDescent="0.2">
      <c r="B1818" s="93"/>
      <c r="C1818" s="97"/>
      <c r="D1818" s="93"/>
      <c r="E1818" s="98"/>
      <c r="F1818" s="100">
        <v>1814</v>
      </c>
      <c r="G1818" s="101">
        <f t="shared" si="113"/>
        <v>0</v>
      </c>
      <c r="H1818" s="101">
        <f t="shared" si="114"/>
        <v>0</v>
      </c>
      <c r="I1818" s="101">
        <f t="shared" si="115"/>
        <v>0</v>
      </c>
      <c r="J1818" s="101">
        <f t="shared" si="116"/>
        <v>0</v>
      </c>
    </row>
    <row r="1819" spans="2:10" x14ac:dyDescent="0.2">
      <c r="B1819" s="93"/>
      <c r="C1819" s="97"/>
      <c r="D1819" s="93"/>
      <c r="E1819" s="98"/>
      <c r="F1819" s="100">
        <v>1815</v>
      </c>
      <c r="G1819" s="101">
        <f t="shared" si="113"/>
        <v>0</v>
      </c>
      <c r="H1819" s="101">
        <f t="shared" si="114"/>
        <v>0</v>
      </c>
      <c r="I1819" s="101">
        <f t="shared" si="115"/>
        <v>0</v>
      </c>
      <c r="J1819" s="101">
        <f t="shared" si="116"/>
        <v>0</v>
      </c>
    </row>
    <row r="1820" spans="2:10" x14ac:dyDescent="0.2">
      <c r="B1820" s="93"/>
      <c r="C1820" s="97"/>
      <c r="D1820" s="93"/>
      <c r="E1820" s="98"/>
      <c r="F1820" s="100">
        <v>1816</v>
      </c>
      <c r="G1820" s="101">
        <f t="shared" si="113"/>
        <v>0</v>
      </c>
      <c r="H1820" s="101">
        <f t="shared" si="114"/>
        <v>0</v>
      </c>
      <c r="I1820" s="101">
        <f t="shared" si="115"/>
        <v>0</v>
      </c>
      <c r="J1820" s="101">
        <f t="shared" si="116"/>
        <v>0</v>
      </c>
    </row>
    <row r="1821" spans="2:10" x14ac:dyDescent="0.2">
      <c r="B1821" s="93"/>
      <c r="C1821" s="97"/>
      <c r="D1821" s="93"/>
      <c r="E1821" s="98"/>
      <c r="F1821" s="100">
        <v>1817</v>
      </c>
      <c r="G1821" s="101">
        <f t="shared" si="113"/>
        <v>0</v>
      </c>
      <c r="H1821" s="101">
        <f t="shared" si="114"/>
        <v>0</v>
      </c>
      <c r="I1821" s="101">
        <f t="shared" si="115"/>
        <v>0</v>
      </c>
      <c r="J1821" s="101">
        <f t="shared" si="116"/>
        <v>0</v>
      </c>
    </row>
    <row r="1822" spans="2:10" x14ac:dyDescent="0.2">
      <c r="B1822" s="93"/>
      <c r="C1822" s="97"/>
      <c r="D1822" s="93"/>
      <c r="E1822" s="98"/>
      <c r="F1822" s="100">
        <v>1818</v>
      </c>
      <c r="G1822" s="101">
        <f t="shared" si="113"/>
        <v>0</v>
      </c>
      <c r="H1822" s="101">
        <f t="shared" si="114"/>
        <v>0</v>
      </c>
      <c r="I1822" s="101">
        <f t="shared" si="115"/>
        <v>0</v>
      </c>
      <c r="J1822" s="101">
        <f t="shared" si="116"/>
        <v>0</v>
      </c>
    </row>
    <row r="1823" spans="2:10" x14ac:dyDescent="0.2">
      <c r="B1823" s="93"/>
      <c r="C1823" s="97"/>
      <c r="D1823" s="93"/>
      <c r="E1823" s="98"/>
      <c r="F1823" s="100">
        <v>1819</v>
      </c>
      <c r="G1823" s="101">
        <f t="shared" si="113"/>
        <v>0</v>
      </c>
      <c r="H1823" s="101">
        <f t="shared" si="114"/>
        <v>0</v>
      </c>
      <c r="I1823" s="101">
        <f t="shared" si="115"/>
        <v>0</v>
      </c>
      <c r="J1823" s="101">
        <f t="shared" si="116"/>
        <v>0</v>
      </c>
    </row>
    <row r="1824" spans="2:10" x14ac:dyDescent="0.2">
      <c r="B1824" s="93"/>
      <c r="C1824" s="97"/>
      <c r="D1824" s="93"/>
      <c r="E1824" s="98"/>
      <c r="F1824" s="100">
        <v>1820</v>
      </c>
      <c r="G1824" s="101">
        <f t="shared" si="113"/>
        <v>0</v>
      </c>
      <c r="H1824" s="101">
        <f t="shared" si="114"/>
        <v>0</v>
      </c>
      <c r="I1824" s="101">
        <f t="shared" si="115"/>
        <v>0</v>
      </c>
      <c r="J1824" s="101">
        <f t="shared" si="116"/>
        <v>0</v>
      </c>
    </row>
    <row r="1825" spans="2:10" x14ac:dyDescent="0.2">
      <c r="B1825" s="93"/>
      <c r="C1825" s="97"/>
      <c r="D1825" s="93"/>
      <c r="E1825" s="98"/>
      <c r="F1825" s="100">
        <v>1821</v>
      </c>
      <c r="G1825" s="101">
        <f t="shared" si="113"/>
        <v>0</v>
      </c>
      <c r="H1825" s="101">
        <f t="shared" si="114"/>
        <v>0</v>
      </c>
      <c r="I1825" s="101">
        <f t="shared" si="115"/>
        <v>0</v>
      </c>
      <c r="J1825" s="101">
        <f t="shared" si="116"/>
        <v>0</v>
      </c>
    </row>
    <row r="1826" spans="2:10" x14ac:dyDescent="0.2">
      <c r="B1826" s="93"/>
      <c r="C1826" s="97"/>
      <c r="D1826" s="93"/>
      <c r="E1826" s="98"/>
      <c r="F1826" s="100">
        <v>1822</v>
      </c>
      <c r="G1826" s="101">
        <f t="shared" si="113"/>
        <v>0</v>
      </c>
      <c r="H1826" s="101">
        <f t="shared" si="114"/>
        <v>0</v>
      </c>
      <c r="I1826" s="101">
        <f t="shared" si="115"/>
        <v>0</v>
      </c>
      <c r="J1826" s="101">
        <f t="shared" si="116"/>
        <v>0</v>
      </c>
    </row>
    <row r="1827" spans="2:10" x14ac:dyDescent="0.2">
      <c r="B1827" s="93"/>
      <c r="C1827" s="97"/>
      <c r="D1827" s="93"/>
      <c r="E1827" s="98"/>
      <c r="F1827" s="100">
        <v>1823</v>
      </c>
      <c r="G1827" s="101">
        <f t="shared" si="113"/>
        <v>0</v>
      </c>
      <c r="H1827" s="101">
        <f t="shared" si="114"/>
        <v>0</v>
      </c>
      <c r="I1827" s="101">
        <f t="shared" si="115"/>
        <v>0</v>
      </c>
      <c r="J1827" s="101">
        <f t="shared" si="116"/>
        <v>0</v>
      </c>
    </row>
    <row r="1828" spans="2:10" x14ac:dyDescent="0.2">
      <c r="B1828" s="93"/>
      <c r="C1828" s="97"/>
      <c r="D1828" s="93"/>
      <c r="E1828" s="98"/>
      <c r="F1828" s="100">
        <v>1824</v>
      </c>
      <c r="G1828" s="101">
        <f t="shared" si="113"/>
        <v>0</v>
      </c>
      <c r="H1828" s="101">
        <f t="shared" si="114"/>
        <v>0</v>
      </c>
      <c r="I1828" s="101">
        <f t="shared" si="115"/>
        <v>0</v>
      </c>
      <c r="J1828" s="101">
        <f t="shared" si="116"/>
        <v>0</v>
      </c>
    </row>
    <row r="1829" spans="2:10" x14ac:dyDescent="0.2">
      <c r="B1829" s="93"/>
      <c r="C1829" s="97"/>
      <c r="D1829" s="93"/>
      <c r="E1829" s="98"/>
      <c r="F1829" s="100">
        <v>1825</v>
      </c>
      <c r="G1829" s="101">
        <f t="shared" si="113"/>
        <v>0</v>
      </c>
      <c r="H1829" s="101">
        <f t="shared" si="114"/>
        <v>0</v>
      </c>
      <c r="I1829" s="101">
        <f t="shared" si="115"/>
        <v>0</v>
      </c>
      <c r="J1829" s="101">
        <f t="shared" si="116"/>
        <v>0</v>
      </c>
    </row>
    <row r="1830" spans="2:10" x14ac:dyDescent="0.2">
      <c r="B1830" s="93"/>
      <c r="C1830" s="97"/>
      <c r="D1830" s="93"/>
      <c r="E1830" s="98"/>
      <c r="F1830" s="100">
        <v>1826</v>
      </c>
      <c r="G1830" s="101">
        <f t="shared" si="113"/>
        <v>0</v>
      </c>
      <c r="H1830" s="101">
        <f t="shared" si="114"/>
        <v>0</v>
      </c>
      <c r="I1830" s="101">
        <f t="shared" si="115"/>
        <v>0</v>
      </c>
      <c r="J1830" s="101">
        <f t="shared" si="116"/>
        <v>0</v>
      </c>
    </row>
    <row r="1831" spans="2:10" x14ac:dyDescent="0.2">
      <c r="B1831" s="93"/>
      <c r="C1831" s="97"/>
      <c r="D1831" s="93"/>
      <c r="E1831" s="98"/>
      <c r="F1831" s="100">
        <v>1827</v>
      </c>
      <c r="G1831" s="101">
        <f t="shared" si="113"/>
        <v>0</v>
      </c>
      <c r="H1831" s="101">
        <f t="shared" si="114"/>
        <v>0</v>
      </c>
      <c r="I1831" s="101">
        <f t="shared" si="115"/>
        <v>0</v>
      </c>
      <c r="J1831" s="101">
        <f t="shared" si="116"/>
        <v>0</v>
      </c>
    </row>
    <row r="1832" spans="2:10" x14ac:dyDescent="0.2">
      <c r="B1832" s="93"/>
      <c r="C1832" s="97"/>
      <c r="D1832" s="93"/>
      <c r="E1832" s="98"/>
      <c r="F1832" s="100">
        <v>1828</v>
      </c>
      <c r="G1832" s="101">
        <f t="shared" si="113"/>
        <v>0</v>
      </c>
      <c r="H1832" s="101">
        <f t="shared" si="114"/>
        <v>0</v>
      </c>
      <c r="I1832" s="101">
        <f t="shared" si="115"/>
        <v>0</v>
      </c>
      <c r="J1832" s="101">
        <f t="shared" si="116"/>
        <v>0</v>
      </c>
    </row>
    <row r="1833" spans="2:10" x14ac:dyDescent="0.2">
      <c r="B1833" s="93"/>
      <c r="C1833" s="97"/>
      <c r="D1833" s="93"/>
      <c r="E1833" s="98"/>
      <c r="F1833" s="100">
        <v>1829</v>
      </c>
      <c r="G1833" s="101">
        <f t="shared" si="113"/>
        <v>0</v>
      </c>
      <c r="H1833" s="101">
        <f t="shared" si="114"/>
        <v>0</v>
      </c>
      <c r="I1833" s="101">
        <f t="shared" si="115"/>
        <v>0</v>
      </c>
      <c r="J1833" s="101">
        <f t="shared" si="116"/>
        <v>0</v>
      </c>
    </row>
    <row r="1834" spans="2:10" x14ac:dyDescent="0.2">
      <c r="B1834" s="93"/>
      <c r="C1834" s="97"/>
      <c r="D1834" s="93"/>
      <c r="E1834" s="98"/>
      <c r="F1834" s="100">
        <v>1830</v>
      </c>
      <c r="G1834" s="101">
        <f t="shared" si="113"/>
        <v>0</v>
      </c>
      <c r="H1834" s="101">
        <f t="shared" si="114"/>
        <v>0</v>
      </c>
      <c r="I1834" s="101">
        <f t="shared" si="115"/>
        <v>0</v>
      </c>
      <c r="J1834" s="101">
        <f t="shared" si="116"/>
        <v>0</v>
      </c>
    </row>
    <row r="1835" spans="2:10" x14ac:dyDescent="0.2">
      <c r="B1835" s="93"/>
      <c r="C1835" s="97"/>
      <c r="D1835" s="93"/>
      <c r="E1835" s="98"/>
      <c r="F1835" s="100">
        <v>1831</v>
      </c>
      <c r="G1835" s="101">
        <f t="shared" si="113"/>
        <v>0</v>
      </c>
      <c r="H1835" s="101">
        <f t="shared" si="114"/>
        <v>0</v>
      </c>
      <c r="I1835" s="101">
        <f t="shared" si="115"/>
        <v>0</v>
      </c>
      <c r="J1835" s="101">
        <f t="shared" si="116"/>
        <v>0</v>
      </c>
    </row>
    <row r="1836" spans="2:10" x14ac:dyDescent="0.2">
      <c r="B1836" s="93"/>
      <c r="C1836" s="97"/>
      <c r="D1836" s="93"/>
      <c r="E1836" s="98"/>
      <c r="F1836" s="100">
        <v>1832</v>
      </c>
      <c r="G1836" s="101">
        <f t="shared" si="113"/>
        <v>0</v>
      </c>
      <c r="H1836" s="101">
        <f t="shared" si="114"/>
        <v>0</v>
      </c>
      <c r="I1836" s="101">
        <f t="shared" si="115"/>
        <v>0</v>
      </c>
      <c r="J1836" s="101">
        <f t="shared" si="116"/>
        <v>0</v>
      </c>
    </row>
    <row r="1837" spans="2:10" x14ac:dyDescent="0.2">
      <c r="B1837" s="93"/>
      <c r="C1837" s="97"/>
      <c r="D1837" s="93"/>
      <c r="E1837" s="98"/>
      <c r="F1837" s="100">
        <v>1833</v>
      </c>
      <c r="G1837" s="101">
        <f t="shared" si="113"/>
        <v>0</v>
      </c>
      <c r="H1837" s="101">
        <f t="shared" si="114"/>
        <v>0</v>
      </c>
      <c r="I1837" s="101">
        <f t="shared" si="115"/>
        <v>0</v>
      </c>
      <c r="J1837" s="101">
        <f t="shared" si="116"/>
        <v>0</v>
      </c>
    </row>
    <row r="1838" spans="2:10" x14ac:dyDescent="0.2">
      <c r="B1838" s="93"/>
      <c r="C1838" s="97"/>
      <c r="D1838" s="93"/>
      <c r="E1838" s="98"/>
      <c r="F1838" s="100">
        <v>1834</v>
      </c>
      <c r="G1838" s="101">
        <f t="shared" si="113"/>
        <v>0</v>
      </c>
      <c r="H1838" s="101">
        <f t="shared" si="114"/>
        <v>0</v>
      </c>
      <c r="I1838" s="101">
        <f t="shared" si="115"/>
        <v>0</v>
      </c>
      <c r="J1838" s="101">
        <f t="shared" si="116"/>
        <v>0</v>
      </c>
    </row>
    <row r="1839" spans="2:10" x14ac:dyDescent="0.2">
      <c r="B1839" s="93"/>
      <c r="C1839" s="97"/>
      <c r="D1839" s="93"/>
      <c r="E1839" s="98"/>
      <c r="F1839" s="100">
        <v>1835</v>
      </c>
      <c r="G1839" s="101">
        <f t="shared" si="113"/>
        <v>0</v>
      </c>
      <c r="H1839" s="101">
        <f t="shared" si="114"/>
        <v>0</v>
      </c>
      <c r="I1839" s="101">
        <f t="shared" si="115"/>
        <v>0</v>
      </c>
      <c r="J1839" s="101">
        <f t="shared" si="116"/>
        <v>0</v>
      </c>
    </row>
    <row r="1840" spans="2:10" x14ac:dyDescent="0.2">
      <c r="B1840" s="93"/>
      <c r="C1840" s="97"/>
      <c r="D1840" s="93"/>
      <c r="E1840" s="98"/>
      <c r="F1840" s="100">
        <v>1836</v>
      </c>
      <c r="G1840" s="101">
        <f t="shared" si="113"/>
        <v>0</v>
      </c>
      <c r="H1840" s="101">
        <f t="shared" si="114"/>
        <v>0</v>
      </c>
      <c r="I1840" s="101">
        <f t="shared" si="115"/>
        <v>0</v>
      </c>
      <c r="J1840" s="101">
        <f t="shared" si="116"/>
        <v>0</v>
      </c>
    </row>
    <row r="1841" spans="2:10" x14ac:dyDescent="0.2">
      <c r="B1841" s="93"/>
      <c r="C1841" s="97"/>
      <c r="D1841" s="93"/>
      <c r="E1841" s="98"/>
      <c r="F1841" s="100">
        <v>1837</v>
      </c>
      <c r="G1841" s="101">
        <f t="shared" si="113"/>
        <v>0</v>
      </c>
      <c r="H1841" s="101">
        <f t="shared" si="114"/>
        <v>0</v>
      </c>
      <c r="I1841" s="101">
        <f t="shared" si="115"/>
        <v>0</v>
      </c>
      <c r="J1841" s="101">
        <f t="shared" si="116"/>
        <v>0</v>
      </c>
    </row>
    <row r="1842" spans="2:10" x14ac:dyDescent="0.2">
      <c r="B1842" s="93"/>
      <c r="C1842" s="97"/>
      <c r="D1842" s="93"/>
      <c r="E1842" s="98"/>
      <c r="F1842" s="100">
        <v>1838</v>
      </c>
      <c r="G1842" s="101">
        <f t="shared" si="113"/>
        <v>0</v>
      </c>
      <c r="H1842" s="101">
        <f t="shared" si="114"/>
        <v>0</v>
      </c>
      <c r="I1842" s="101">
        <f t="shared" si="115"/>
        <v>0</v>
      </c>
      <c r="J1842" s="101">
        <f t="shared" si="116"/>
        <v>0</v>
      </c>
    </row>
    <row r="1843" spans="2:10" x14ac:dyDescent="0.2">
      <c r="B1843" s="93"/>
      <c r="C1843" s="97"/>
      <c r="D1843" s="93"/>
      <c r="E1843" s="98"/>
      <c r="F1843" s="100">
        <v>1839</v>
      </c>
      <c r="G1843" s="101">
        <f t="shared" si="113"/>
        <v>0</v>
      </c>
      <c r="H1843" s="101">
        <f t="shared" si="114"/>
        <v>0</v>
      </c>
      <c r="I1843" s="101">
        <f t="shared" si="115"/>
        <v>0</v>
      </c>
      <c r="J1843" s="101">
        <f t="shared" si="116"/>
        <v>0</v>
      </c>
    </row>
    <row r="1844" spans="2:10" x14ac:dyDescent="0.2">
      <c r="B1844" s="93"/>
      <c r="C1844" s="97"/>
      <c r="D1844" s="93"/>
      <c r="E1844" s="98"/>
      <c r="F1844" s="100">
        <v>1840</v>
      </c>
      <c r="G1844" s="101">
        <f t="shared" si="113"/>
        <v>0</v>
      </c>
      <c r="H1844" s="101">
        <f t="shared" si="114"/>
        <v>0</v>
      </c>
      <c r="I1844" s="101">
        <f t="shared" si="115"/>
        <v>0</v>
      </c>
      <c r="J1844" s="101">
        <f t="shared" si="116"/>
        <v>0</v>
      </c>
    </row>
    <row r="1845" spans="2:10" x14ac:dyDescent="0.2">
      <c r="B1845" s="93"/>
      <c r="C1845" s="97"/>
      <c r="D1845" s="93"/>
      <c r="E1845" s="98"/>
      <c r="F1845" s="100">
        <v>1841</v>
      </c>
      <c r="G1845" s="101">
        <f t="shared" si="113"/>
        <v>0</v>
      </c>
      <c r="H1845" s="101">
        <f t="shared" si="114"/>
        <v>0</v>
      </c>
      <c r="I1845" s="101">
        <f t="shared" si="115"/>
        <v>0</v>
      </c>
      <c r="J1845" s="101">
        <f t="shared" si="116"/>
        <v>0</v>
      </c>
    </row>
    <row r="1846" spans="2:10" x14ac:dyDescent="0.2">
      <c r="B1846" s="93"/>
      <c r="C1846" s="97"/>
      <c r="D1846" s="93"/>
      <c r="E1846" s="98"/>
      <c r="F1846" s="100">
        <v>1842</v>
      </c>
      <c r="G1846" s="101">
        <f t="shared" si="113"/>
        <v>0</v>
      </c>
      <c r="H1846" s="101">
        <f t="shared" si="114"/>
        <v>0</v>
      </c>
      <c r="I1846" s="101">
        <f t="shared" si="115"/>
        <v>0</v>
      </c>
      <c r="J1846" s="101">
        <f t="shared" si="116"/>
        <v>0</v>
      </c>
    </row>
    <row r="1847" spans="2:10" x14ac:dyDescent="0.2">
      <c r="B1847" s="93"/>
      <c r="C1847" s="97"/>
      <c r="D1847" s="93"/>
      <c r="E1847" s="98"/>
      <c r="F1847" s="100">
        <v>1843</v>
      </c>
      <c r="G1847" s="101">
        <f t="shared" si="113"/>
        <v>0</v>
      </c>
      <c r="H1847" s="101">
        <f t="shared" si="114"/>
        <v>0</v>
      </c>
      <c r="I1847" s="101">
        <f t="shared" si="115"/>
        <v>0</v>
      </c>
      <c r="J1847" s="101">
        <f t="shared" si="116"/>
        <v>0</v>
      </c>
    </row>
    <row r="1848" spans="2:10" x14ac:dyDescent="0.2">
      <c r="B1848" s="93"/>
      <c r="C1848" s="97"/>
      <c r="D1848" s="93"/>
      <c r="E1848" s="98"/>
      <c r="F1848" s="100">
        <v>1844</v>
      </c>
      <c r="G1848" s="101">
        <f t="shared" si="113"/>
        <v>0</v>
      </c>
      <c r="H1848" s="101">
        <f t="shared" si="114"/>
        <v>0</v>
      </c>
      <c r="I1848" s="101">
        <f t="shared" si="115"/>
        <v>0</v>
      </c>
      <c r="J1848" s="101">
        <f t="shared" si="116"/>
        <v>0</v>
      </c>
    </row>
    <row r="1849" spans="2:10" x14ac:dyDescent="0.2">
      <c r="B1849" s="93"/>
      <c r="C1849" s="97"/>
      <c r="D1849" s="93"/>
      <c r="E1849" s="98"/>
      <c r="F1849" s="100">
        <v>1845</v>
      </c>
      <c r="G1849" s="101">
        <f t="shared" si="113"/>
        <v>0</v>
      </c>
      <c r="H1849" s="101">
        <f t="shared" si="114"/>
        <v>0</v>
      </c>
      <c r="I1849" s="101">
        <f t="shared" si="115"/>
        <v>0</v>
      </c>
      <c r="J1849" s="101">
        <f t="shared" si="116"/>
        <v>0</v>
      </c>
    </row>
    <row r="1850" spans="2:10" x14ac:dyDescent="0.2">
      <c r="B1850" s="93"/>
      <c r="C1850" s="97"/>
      <c r="D1850" s="93"/>
      <c r="E1850" s="98"/>
      <c r="F1850" s="100">
        <v>1846</v>
      </c>
      <c r="G1850" s="101">
        <f t="shared" si="113"/>
        <v>0</v>
      </c>
      <c r="H1850" s="101">
        <f t="shared" si="114"/>
        <v>0</v>
      </c>
      <c r="I1850" s="101">
        <f t="shared" si="115"/>
        <v>0</v>
      </c>
      <c r="J1850" s="101">
        <f t="shared" si="116"/>
        <v>0</v>
      </c>
    </row>
    <row r="1851" spans="2:10" x14ac:dyDescent="0.2">
      <c r="B1851" s="93"/>
      <c r="C1851" s="97"/>
      <c r="D1851" s="93"/>
      <c r="E1851" s="98"/>
      <c r="F1851" s="100">
        <v>1847</v>
      </c>
      <c r="G1851" s="101">
        <f t="shared" si="113"/>
        <v>0</v>
      </c>
      <c r="H1851" s="101">
        <f t="shared" si="114"/>
        <v>0</v>
      </c>
      <c r="I1851" s="101">
        <f t="shared" si="115"/>
        <v>0</v>
      </c>
      <c r="J1851" s="101">
        <f t="shared" si="116"/>
        <v>0</v>
      </c>
    </row>
    <row r="1852" spans="2:10" x14ac:dyDescent="0.2">
      <c r="B1852" s="93"/>
      <c r="C1852" s="97"/>
      <c r="D1852" s="93"/>
      <c r="E1852" s="98"/>
      <c r="F1852" s="100">
        <v>1848</v>
      </c>
      <c r="G1852" s="101">
        <f t="shared" si="113"/>
        <v>0</v>
      </c>
      <c r="H1852" s="101">
        <f t="shared" si="114"/>
        <v>0</v>
      </c>
      <c r="I1852" s="101">
        <f t="shared" si="115"/>
        <v>0</v>
      </c>
      <c r="J1852" s="101">
        <f t="shared" si="116"/>
        <v>0</v>
      </c>
    </row>
    <row r="1853" spans="2:10" x14ac:dyDescent="0.2">
      <c r="B1853" s="93"/>
      <c r="C1853" s="97"/>
      <c r="D1853" s="93"/>
      <c r="E1853" s="98"/>
      <c r="F1853" s="100">
        <v>1849</v>
      </c>
      <c r="G1853" s="101">
        <f t="shared" si="113"/>
        <v>0</v>
      </c>
      <c r="H1853" s="101">
        <f t="shared" si="114"/>
        <v>0</v>
      </c>
      <c r="I1853" s="101">
        <f t="shared" si="115"/>
        <v>0</v>
      </c>
      <c r="J1853" s="101">
        <f t="shared" si="116"/>
        <v>0</v>
      </c>
    </row>
    <row r="1854" spans="2:10" x14ac:dyDescent="0.2">
      <c r="B1854" s="93"/>
      <c r="C1854" s="97"/>
      <c r="D1854" s="93"/>
      <c r="E1854" s="98"/>
      <c r="F1854" s="100">
        <v>1850</v>
      </c>
      <c r="G1854" s="101">
        <f t="shared" si="113"/>
        <v>0</v>
      </c>
      <c r="H1854" s="101">
        <f t="shared" si="114"/>
        <v>0</v>
      </c>
      <c r="I1854" s="101">
        <f t="shared" si="115"/>
        <v>0</v>
      </c>
      <c r="J1854" s="101">
        <f t="shared" si="116"/>
        <v>0</v>
      </c>
    </row>
    <row r="1855" spans="2:10" x14ac:dyDescent="0.2">
      <c r="B1855" s="93"/>
      <c r="C1855" s="97"/>
      <c r="D1855" s="93"/>
      <c r="E1855" s="98"/>
      <c r="F1855" s="100">
        <v>1851</v>
      </c>
      <c r="G1855" s="101">
        <f t="shared" si="113"/>
        <v>0</v>
      </c>
      <c r="H1855" s="101">
        <f t="shared" si="114"/>
        <v>0</v>
      </c>
      <c r="I1855" s="101">
        <f t="shared" si="115"/>
        <v>0</v>
      </c>
      <c r="J1855" s="101">
        <f t="shared" si="116"/>
        <v>0</v>
      </c>
    </row>
    <row r="1856" spans="2:10" x14ac:dyDescent="0.2">
      <c r="B1856" s="93"/>
      <c r="C1856" s="97"/>
      <c r="D1856" s="93"/>
      <c r="E1856" s="98"/>
      <c r="F1856" s="100">
        <v>1852</v>
      </c>
      <c r="G1856" s="101">
        <f t="shared" si="113"/>
        <v>0</v>
      </c>
      <c r="H1856" s="101">
        <f t="shared" si="114"/>
        <v>0</v>
      </c>
      <c r="I1856" s="101">
        <f t="shared" si="115"/>
        <v>0</v>
      </c>
      <c r="J1856" s="101">
        <f t="shared" si="116"/>
        <v>0</v>
      </c>
    </row>
    <row r="1857" spans="2:10" x14ac:dyDescent="0.2">
      <c r="B1857" s="93"/>
      <c r="C1857" s="97"/>
      <c r="D1857" s="93"/>
      <c r="E1857" s="98"/>
      <c r="F1857" s="100">
        <v>1853</v>
      </c>
      <c r="G1857" s="101">
        <f t="shared" si="113"/>
        <v>0</v>
      </c>
      <c r="H1857" s="101">
        <f t="shared" si="114"/>
        <v>0</v>
      </c>
      <c r="I1857" s="101">
        <f t="shared" si="115"/>
        <v>0</v>
      </c>
      <c r="J1857" s="101">
        <f t="shared" si="116"/>
        <v>0</v>
      </c>
    </row>
    <row r="1858" spans="2:10" x14ac:dyDescent="0.2">
      <c r="B1858" s="93"/>
      <c r="C1858" s="97"/>
      <c r="D1858" s="93"/>
      <c r="E1858" s="98"/>
      <c r="F1858" s="100">
        <v>1854</v>
      </c>
      <c r="G1858" s="101">
        <f t="shared" si="113"/>
        <v>0</v>
      </c>
      <c r="H1858" s="101">
        <f t="shared" si="114"/>
        <v>0</v>
      </c>
      <c r="I1858" s="101">
        <f t="shared" si="115"/>
        <v>0</v>
      </c>
      <c r="J1858" s="101">
        <f t="shared" si="116"/>
        <v>0</v>
      </c>
    </row>
    <row r="1859" spans="2:10" x14ac:dyDescent="0.2">
      <c r="B1859" s="93"/>
      <c r="C1859" s="97"/>
      <c r="D1859" s="93"/>
      <c r="E1859" s="98"/>
      <c r="F1859" s="100">
        <v>1855</v>
      </c>
      <c r="G1859" s="101">
        <f t="shared" si="113"/>
        <v>0</v>
      </c>
      <c r="H1859" s="101">
        <f t="shared" si="114"/>
        <v>0</v>
      </c>
      <c r="I1859" s="101">
        <f t="shared" si="115"/>
        <v>0</v>
      </c>
      <c r="J1859" s="101">
        <f t="shared" si="116"/>
        <v>0</v>
      </c>
    </row>
    <row r="1860" spans="2:10" x14ac:dyDescent="0.2">
      <c r="B1860" s="93"/>
      <c r="C1860" s="97"/>
      <c r="D1860" s="93"/>
      <c r="E1860" s="98"/>
      <c r="F1860" s="100">
        <v>1856</v>
      </c>
      <c r="G1860" s="101">
        <f t="shared" si="113"/>
        <v>0</v>
      </c>
      <c r="H1860" s="101">
        <f t="shared" si="114"/>
        <v>0</v>
      </c>
      <c r="I1860" s="101">
        <f t="shared" si="115"/>
        <v>0</v>
      </c>
      <c r="J1860" s="101">
        <f t="shared" si="116"/>
        <v>0</v>
      </c>
    </row>
    <row r="1861" spans="2:10" x14ac:dyDescent="0.2">
      <c r="B1861" s="93"/>
      <c r="C1861" s="97"/>
      <c r="D1861" s="93"/>
      <c r="E1861" s="98"/>
      <c r="F1861" s="100">
        <v>1857</v>
      </c>
      <c r="G1861" s="101">
        <f t="shared" si="113"/>
        <v>0</v>
      </c>
      <c r="H1861" s="101">
        <f t="shared" si="114"/>
        <v>0</v>
      </c>
      <c r="I1861" s="101">
        <f t="shared" si="115"/>
        <v>0</v>
      </c>
      <c r="J1861" s="101">
        <f t="shared" si="116"/>
        <v>0</v>
      </c>
    </row>
    <row r="1862" spans="2:10" x14ac:dyDescent="0.2">
      <c r="B1862" s="93"/>
      <c r="C1862" s="97"/>
      <c r="D1862" s="93"/>
      <c r="E1862" s="98"/>
      <c r="F1862" s="100">
        <v>1858</v>
      </c>
      <c r="G1862" s="101">
        <f t="shared" ref="G1862:G1925" si="117">B1862</f>
        <v>0</v>
      </c>
      <c r="H1862" s="101">
        <f t="shared" ref="H1862:H1925" si="118">C1862</f>
        <v>0</v>
      </c>
      <c r="I1862" s="101">
        <f t="shared" ref="I1862:I1925" si="119">D1862</f>
        <v>0</v>
      </c>
      <c r="J1862" s="101">
        <f t="shared" ref="J1862:J1925" si="120">E1862</f>
        <v>0</v>
      </c>
    </row>
    <row r="1863" spans="2:10" x14ac:dyDescent="0.2">
      <c r="B1863" s="93"/>
      <c r="C1863" s="97"/>
      <c r="D1863" s="93"/>
      <c r="E1863" s="98"/>
      <c r="F1863" s="100">
        <v>1859</v>
      </c>
      <c r="G1863" s="101">
        <f t="shared" si="117"/>
        <v>0</v>
      </c>
      <c r="H1863" s="101">
        <f t="shared" si="118"/>
        <v>0</v>
      </c>
      <c r="I1863" s="101">
        <f t="shared" si="119"/>
        <v>0</v>
      </c>
      <c r="J1863" s="101">
        <f t="shared" si="120"/>
        <v>0</v>
      </c>
    </row>
    <row r="1864" spans="2:10" x14ac:dyDescent="0.2">
      <c r="B1864" s="93"/>
      <c r="C1864" s="97"/>
      <c r="D1864" s="93"/>
      <c r="E1864" s="98"/>
      <c r="F1864" s="100">
        <v>1860</v>
      </c>
      <c r="G1864" s="101">
        <f t="shared" si="117"/>
        <v>0</v>
      </c>
      <c r="H1864" s="101">
        <f t="shared" si="118"/>
        <v>0</v>
      </c>
      <c r="I1864" s="101">
        <f t="shared" si="119"/>
        <v>0</v>
      </c>
      <c r="J1864" s="101">
        <f t="shared" si="120"/>
        <v>0</v>
      </c>
    </row>
    <row r="1865" spans="2:10" x14ac:dyDescent="0.2">
      <c r="B1865" s="93"/>
      <c r="C1865" s="97"/>
      <c r="D1865" s="93"/>
      <c r="E1865" s="98"/>
      <c r="F1865" s="100">
        <v>1861</v>
      </c>
      <c r="G1865" s="101">
        <f t="shared" si="117"/>
        <v>0</v>
      </c>
      <c r="H1865" s="101">
        <f t="shared" si="118"/>
        <v>0</v>
      </c>
      <c r="I1865" s="101">
        <f t="shared" si="119"/>
        <v>0</v>
      </c>
      <c r="J1865" s="101">
        <f t="shared" si="120"/>
        <v>0</v>
      </c>
    </row>
    <row r="1866" spans="2:10" x14ac:dyDescent="0.2">
      <c r="B1866" s="93"/>
      <c r="C1866" s="97"/>
      <c r="D1866" s="93"/>
      <c r="E1866" s="98"/>
      <c r="F1866" s="100">
        <v>1862</v>
      </c>
      <c r="G1866" s="101">
        <f t="shared" si="117"/>
        <v>0</v>
      </c>
      <c r="H1866" s="101">
        <f t="shared" si="118"/>
        <v>0</v>
      </c>
      <c r="I1866" s="101">
        <f t="shared" si="119"/>
        <v>0</v>
      </c>
      <c r="J1866" s="101">
        <f t="shared" si="120"/>
        <v>0</v>
      </c>
    </row>
    <row r="1867" spans="2:10" x14ac:dyDescent="0.2">
      <c r="B1867" s="93"/>
      <c r="C1867" s="97"/>
      <c r="D1867" s="93"/>
      <c r="E1867" s="98"/>
      <c r="F1867" s="100">
        <v>1863</v>
      </c>
      <c r="G1867" s="101">
        <f t="shared" si="117"/>
        <v>0</v>
      </c>
      <c r="H1867" s="101">
        <f t="shared" si="118"/>
        <v>0</v>
      </c>
      <c r="I1867" s="101">
        <f t="shared" si="119"/>
        <v>0</v>
      </c>
      <c r="J1867" s="101">
        <f t="shared" si="120"/>
        <v>0</v>
      </c>
    </row>
    <row r="1868" spans="2:10" x14ac:dyDescent="0.2">
      <c r="B1868" s="93"/>
      <c r="C1868" s="97"/>
      <c r="D1868" s="93"/>
      <c r="E1868" s="98"/>
      <c r="F1868" s="100">
        <v>1864</v>
      </c>
      <c r="G1868" s="101">
        <f t="shared" si="117"/>
        <v>0</v>
      </c>
      <c r="H1868" s="101">
        <f t="shared" si="118"/>
        <v>0</v>
      </c>
      <c r="I1868" s="101">
        <f t="shared" si="119"/>
        <v>0</v>
      </c>
      <c r="J1868" s="101">
        <f t="shared" si="120"/>
        <v>0</v>
      </c>
    </row>
    <row r="1869" spans="2:10" x14ac:dyDescent="0.2">
      <c r="B1869" s="93"/>
      <c r="C1869" s="97"/>
      <c r="D1869" s="93"/>
      <c r="E1869" s="98"/>
      <c r="F1869" s="100">
        <v>1865</v>
      </c>
      <c r="G1869" s="101">
        <f t="shared" si="117"/>
        <v>0</v>
      </c>
      <c r="H1869" s="101">
        <f t="shared" si="118"/>
        <v>0</v>
      </c>
      <c r="I1869" s="101">
        <f t="shared" si="119"/>
        <v>0</v>
      </c>
      <c r="J1869" s="101">
        <f t="shared" si="120"/>
        <v>0</v>
      </c>
    </row>
    <row r="1870" spans="2:10" x14ac:dyDescent="0.2">
      <c r="B1870" s="93"/>
      <c r="C1870" s="97"/>
      <c r="D1870" s="93"/>
      <c r="E1870" s="98"/>
      <c r="F1870" s="100">
        <v>1866</v>
      </c>
      <c r="G1870" s="101">
        <f t="shared" si="117"/>
        <v>0</v>
      </c>
      <c r="H1870" s="101">
        <f t="shared" si="118"/>
        <v>0</v>
      </c>
      <c r="I1870" s="101">
        <f t="shared" si="119"/>
        <v>0</v>
      </c>
      <c r="J1870" s="101">
        <f t="shared" si="120"/>
        <v>0</v>
      </c>
    </row>
    <row r="1871" spans="2:10" x14ac:dyDescent="0.2">
      <c r="B1871" s="93"/>
      <c r="C1871" s="97"/>
      <c r="D1871" s="93"/>
      <c r="E1871" s="98"/>
      <c r="F1871" s="100">
        <v>1867</v>
      </c>
      <c r="G1871" s="101">
        <f t="shared" si="117"/>
        <v>0</v>
      </c>
      <c r="H1871" s="101">
        <f t="shared" si="118"/>
        <v>0</v>
      </c>
      <c r="I1871" s="101">
        <f t="shared" si="119"/>
        <v>0</v>
      </c>
      <c r="J1871" s="101">
        <f t="shared" si="120"/>
        <v>0</v>
      </c>
    </row>
    <row r="1872" spans="2:10" x14ac:dyDescent="0.2">
      <c r="B1872" s="93"/>
      <c r="C1872" s="97"/>
      <c r="D1872" s="93"/>
      <c r="E1872" s="98"/>
      <c r="F1872" s="100">
        <v>1868</v>
      </c>
      <c r="G1872" s="101">
        <f t="shared" si="117"/>
        <v>0</v>
      </c>
      <c r="H1872" s="101">
        <f t="shared" si="118"/>
        <v>0</v>
      </c>
      <c r="I1872" s="101">
        <f t="shared" si="119"/>
        <v>0</v>
      </c>
      <c r="J1872" s="101">
        <f t="shared" si="120"/>
        <v>0</v>
      </c>
    </row>
    <row r="1873" spans="2:10" x14ac:dyDescent="0.2">
      <c r="B1873" s="93"/>
      <c r="C1873" s="97"/>
      <c r="D1873" s="93"/>
      <c r="E1873" s="98"/>
      <c r="F1873" s="100">
        <v>1869</v>
      </c>
      <c r="G1873" s="101">
        <f t="shared" si="117"/>
        <v>0</v>
      </c>
      <c r="H1873" s="101">
        <f t="shared" si="118"/>
        <v>0</v>
      </c>
      <c r="I1873" s="101">
        <f t="shared" si="119"/>
        <v>0</v>
      </c>
      <c r="J1873" s="101">
        <f t="shared" si="120"/>
        <v>0</v>
      </c>
    </row>
    <row r="1874" spans="2:10" x14ac:dyDescent="0.2">
      <c r="B1874" s="93"/>
      <c r="C1874" s="97"/>
      <c r="D1874" s="93"/>
      <c r="E1874" s="98"/>
      <c r="F1874" s="100">
        <v>1870</v>
      </c>
      <c r="G1874" s="101">
        <f t="shared" si="117"/>
        <v>0</v>
      </c>
      <c r="H1874" s="101">
        <f t="shared" si="118"/>
        <v>0</v>
      </c>
      <c r="I1874" s="101">
        <f t="shared" si="119"/>
        <v>0</v>
      </c>
      <c r="J1874" s="101">
        <f t="shared" si="120"/>
        <v>0</v>
      </c>
    </row>
    <row r="1875" spans="2:10" x14ac:dyDescent="0.2">
      <c r="B1875" s="93"/>
      <c r="C1875" s="97"/>
      <c r="D1875" s="93"/>
      <c r="E1875" s="98"/>
      <c r="F1875" s="100">
        <v>1871</v>
      </c>
      <c r="G1875" s="101">
        <f t="shared" si="117"/>
        <v>0</v>
      </c>
      <c r="H1875" s="101">
        <f t="shared" si="118"/>
        <v>0</v>
      </c>
      <c r="I1875" s="101">
        <f t="shared" si="119"/>
        <v>0</v>
      </c>
      <c r="J1875" s="101">
        <f t="shared" si="120"/>
        <v>0</v>
      </c>
    </row>
    <row r="1876" spans="2:10" x14ac:dyDescent="0.2">
      <c r="B1876" s="93"/>
      <c r="C1876" s="97"/>
      <c r="D1876" s="93"/>
      <c r="E1876" s="98"/>
      <c r="F1876" s="100">
        <v>1872</v>
      </c>
      <c r="G1876" s="101">
        <f t="shared" si="117"/>
        <v>0</v>
      </c>
      <c r="H1876" s="101">
        <f t="shared" si="118"/>
        <v>0</v>
      </c>
      <c r="I1876" s="101">
        <f t="shared" si="119"/>
        <v>0</v>
      </c>
      <c r="J1876" s="101">
        <f t="shared" si="120"/>
        <v>0</v>
      </c>
    </row>
    <row r="1877" spans="2:10" x14ac:dyDescent="0.2">
      <c r="B1877" s="93"/>
      <c r="C1877" s="97"/>
      <c r="D1877" s="93"/>
      <c r="E1877" s="98"/>
      <c r="F1877" s="100">
        <v>1873</v>
      </c>
      <c r="G1877" s="101">
        <f t="shared" si="117"/>
        <v>0</v>
      </c>
      <c r="H1877" s="101">
        <f t="shared" si="118"/>
        <v>0</v>
      </c>
      <c r="I1877" s="101">
        <f t="shared" si="119"/>
        <v>0</v>
      </c>
      <c r="J1877" s="101">
        <f t="shared" si="120"/>
        <v>0</v>
      </c>
    </row>
    <row r="1878" spans="2:10" x14ac:dyDescent="0.2">
      <c r="B1878" s="93"/>
      <c r="C1878" s="97"/>
      <c r="D1878" s="93"/>
      <c r="E1878" s="98"/>
      <c r="F1878" s="100">
        <v>1874</v>
      </c>
      <c r="G1878" s="101">
        <f t="shared" si="117"/>
        <v>0</v>
      </c>
      <c r="H1878" s="101">
        <f t="shared" si="118"/>
        <v>0</v>
      </c>
      <c r="I1878" s="101">
        <f t="shared" si="119"/>
        <v>0</v>
      </c>
      <c r="J1878" s="101">
        <f t="shared" si="120"/>
        <v>0</v>
      </c>
    </row>
    <row r="1879" spans="2:10" x14ac:dyDescent="0.2">
      <c r="B1879" s="93"/>
      <c r="C1879" s="97"/>
      <c r="D1879" s="93"/>
      <c r="E1879" s="98"/>
      <c r="F1879" s="100">
        <v>1875</v>
      </c>
      <c r="G1879" s="101">
        <f t="shared" si="117"/>
        <v>0</v>
      </c>
      <c r="H1879" s="101">
        <f t="shared" si="118"/>
        <v>0</v>
      </c>
      <c r="I1879" s="101">
        <f t="shared" si="119"/>
        <v>0</v>
      </c>
      <c r="J1879" s="101">
        <f t="shared" si="120"/>
        <v>0</v>
      </c>
    </row>
    <row r="1880" spans="2:10" x14ac:dyDescent="0.2">
      <c r="B1880" s="93"/>
      <c r="C1880" s="97"/>
      <c r="D1880" s="93"/>
      <c r="E1880" s="98"/>
      <c r="F1880" s="100">
        <v>1876</v>
      </c>
      <c r="G1880" s="101">
        <f t="shared" si="117"/>
        <v>0</v>
      </c>
      <c r="H1880" s="101">
        <f t="shared" si="118"/>
        <v>0</v>
      </c>
      <c r="I1880" s="101">
        <f t="shared" si="119"/>
        <v>0</v>
      </c>
      <c r="J1880" s="101">
        <f t="shared" si="120"/>
        <v>0</v>
      </c>
    </row>
    <row r="1881" spans="2:10" x14ac:dyDescent="0.2">
      <c r="B1881" s="93"/>
      <c r="C1881" s="97"/>
      <c r="D1881" s="93"/>
      <c r="E1881" s="98"/>
      <c r="F1881" s="100">
        <v>1877</v>
      </c>
      <c r="G1881" s="101">
        <f t="shared" si="117"/>
        <v>0</v>
      </c>
      <c r="H1881" s="101">
        <f t="shared" si="118"/>
        <v>0</v>
      </c>
      <c r="I1881" s="101">
        <f t="shared" si="119"/>
        <v>0</v>
      </c>
      <c r="J1881" s="101">
        <f t="shared" si="120"/>
        <v>0</v>
      </c>
    </row>
    <row r="1882" spans="2:10" x14ac:dyDescent="0.2">
      <c r="B1882" s="93"/>
      <c r="C1882" s="97"/>
      <c r="D1882" s="93"/>
      <c r="E1882" s="98"/>
      <c r="F1882" s="100">
        <v>1878</v>
      </c>
      <c r="G1882" s="101">
        <f t="shared" si="117"/>
        <v>0</v>
      </c>
      <c r="H1882" s="101">
        <f t="shared" si="118"/>
        <v>0</v>
      </c>
      <c r="I1882" s="101">
        <f t="shared" si="119"/>
        <v>0</v>
      </c>
      <c r="J1882" s="101">
        <f t="shared" si="120"/>
        <v>0</v>
      </c>
    </row>
    <row r="1883" spans="2:10" x14ac:dyDescent="0.2">
      <c r="B1883" s="93"/>
      <c r="C1883" s="97"/>
      <c r="D1883" s="93"/>
      <c r="E1883" s="98"/>
      <c r="F1883" s="100">
        <v>1879</v>
      </c>
      <c r="G1883" s="101">
        <f t="shared" si="117"/>
        <v>0</v>
      </c>
      <c r="H1883" s="101">
        <f t="shared" si="118"/>
        <v>0</v>
      </c>
      <c r="I1883" s="101">
        <f t="shared" si="119"/>
        <v>0</v>
      </c>
      <c r="J1883" s="101">
        <f t="shared" si="120"/>
        <v>0</v>
      </c>
    </row>
    <row r="1884" spans="2:10" x14ac:dyDescent="0.2">
      <c r="B1884" s="93"/>
      <c r="C1884" s="97"/>
      <c r="D1884" s="93"/>
      <c r="E1884" s="98"/>
      <c r="F1884" s="100">
        <v>1880</v>
      </c>
      <c r="G1884" s="101">
        <f t="shared" si="117"/>
        <v>0</v>
      </c>
      <c r="H1884" s="101">
        <f t="shared" si="118"/>
        <v>0</v>
      </c>
      <c r="I1884" s="101">
        <f t="shared" si="119"/>
        <v>0</v>
      </c>
      <c r="J1884" s="101">
        <f t="shared" si="120"/>
        <v>0</v>
      </c>
    </row>
    <row r="1885" spans="2:10" x14ac:dyDescent="0.2">
      <c r="B1885" s="93"/>
      <c r="C1885" s="97"/>
      <c r="D1885" s="93"/>
      <c r="E1885" s="98"/>
      <c r="F1885" s="100">
        <v>1881</v>
      </c>
      <c r="G1885" s="101">
        <f t="shared" si="117"/>
        <v>0</v>
      </c>
      <c r="H1885" s="101">
        <f t="shared" si="118"/>
        <v>0</v>
      </c>
      <c r="I1885" s="101">
        <f t="shared" si="119"/>
        <v>0</v>
      </c>
      <c r="J1885" s="101">
        <f t="shared" si="120"/>
        <v>0</v>
      </c>
    </row>
    <row r="1886" spans="2:10" x14ac:dyDescent="0.2">
      <c r="B1886" s="93"/>
      <c r="C1886" s="97"/>
      <c r="D1886" s="93"/>
      <c r="E1886" s="98"/>
      <c r="F1886" s="100">
        <v>1882</v>
      </c>
      <c r="G1886" s="101">
        <f t="shared" si="117"/>
        <v>0</v>
      </c>
      <c r="H1886" s="101">
        <f t="shared" si="118"/>
        <v>0</v>
      </c>
      <c r="I1886" s="101">
        <f t="shared" si="119"/>
        <v>0</v>
      </c>
      <c r="J1886" s="101">
        <f t="shared" si="120"/>
        <v>0</v>
      </c>
    </row>
    <row r="1887" spans="2:10" x14ac:dyDescent="0.2">
      <c r="B1887" s="93"/>
      <c r="C1887" s="97"/>
      <c r="D1887" s="93"/>
      <c r="E1887" s="98"/>
      <c r="F1887" s="100">
        <v>1883</v>
      </c>
      <c r="G1887" s="101">
        <f t="shared" si="117"/>
        <v>0</v>
      </c>
      <c r="H1887" s="101">
        <f t="shared" si="118"/>
        <v>0</v>
      </c>
      <c r="I1887" s="101">
        <f t="shared" si="119"/>
        <v>0</v>
      </c>
      <c r="J1887" s="101">
        <f t="shared" si="120"/>
        <v>0</v>
      </c>
    </row>
    <row r="1888" spans="2:10" x14ac:dyDescent="0.2">
      <c r="B1888" s="93"/>
      <c r="C1888" s="97"/>
      <c r="D1888" s="93"/>
      <c r="E1888" s="98"/>
      <c r="F1888" s="100">
        <v>1884</v>
      </c>
      <c r="G1888" s="101">
        <f t="shared" si="117"/>
        <v>0</v>
      </c>
      <c r="H1888" s="101">
        <f t="shared" si="118"/>
        <v>0</v>
      </c>
      <c r="I1888" s="101">
        <f t="shared" si="119"/>
        <v>0</v>
      </c>
      <c r="J1888" s="101">
        <f t="shared" si="120"/>
        <v>0</v>
      </c>
    </row>
    <row r="1889" spans="2:10" x14ac:dyDescent="0.2">
      <c r="B1889" s="93"/>
      <c r="C1889" s="97"/>
      <c r="D1889" s="93"/>
      <c r="E1889" s="98"/>
      <c r="F1889" s="100">
        <v>1885</v>
      </c>
      <c r="G1889" s="101">
        <f t="shared" si="117"/>
        <v>0</v>
      </c>
      <c r="H1889" s="101">
        <f t="shared" si="118"/>
        <v>0</v>
      </c>
      <c r="I1889" s="101">
        <f t="shared" si="119"/>
        <v>0</v>
      </c>
      <c r="J1889" s="101">
        <f t="shared" si="120"/>
        <v>0</v>
      </c>
    </row>
    <row r="1890" spans="2:10" x14ac:dyDescent="0.2">
      <c r="B1890" s="93"/>
      <c r="C1890" s="97"/>
      <c r="D1890" s="93"/>
      <c r="E1890" s="98"/>
      <c r="F1890" s="100">
        <v>1886</v>
      </c>
      <c r="G1890" s="101">
        <f t="shared" si="117"/>
        <v>0</v>
      </c>
      <c r="H1890" s="101">
        <f t="shared" si="118"/>
        <v>0</v>
      </c>
      <c r="I1890" s="101">
        <f t="shared" si="119"/>
        <v>0</v>
      </c>
      <c r="J1890" s="101">
        <f t="shared" si="120"/>
        <v>0</v>
      </c>
    </row>
    <row r="1891" spans="2:10" x14ac:dyDescent="0.2">
      <c r="B1891" s="93"/>
      <c r="C1891" s="97"/>
      <c r="D1891" s="93"/>
      <c r="E1891" s="98"/>
      <c r="F1891" s="100">
        <v>1887</v>
      </c>
      <c r="G1891" s="101">
        <f t="shared" si="117"/>
        <v>0</v>
      </c>
      <c r="H1891" s="101">
        <f t="shared" si="118"/>
        <v>0</v>
      </c>
      <c r="I1891" s="101">
        <f t="shared" si="119"/>
        <v>0</v>
      </c>
      <c r="J1891" s="101">
        <f t="shared" si="120"/>
        <v>0</v>
      </c>
    </row>
    <row r="1892" spans="2:10" x14ac:dyDescent="0.2">
      <c r="B1892" s="93"/>
      <c r="C1892" s="97"/>
      <c r="D1892" s="93"/>
      <c r="E1892" s="98"/>
      <c r="F1892" s="100">
        <v>1888</v>
      </c>
      <c r="G1892" s="101">
        <f t="shared" si="117"/>
        <v>0</v>
      </c>
      <c r="H1892" s="101">
        <f t="shared" si="118"/>
        <v>0</v>
      </c>
      <c r="I1892" s="101">
        <f t="shared" si="119"/>
        <v>0</v>
      </c>
      <c r="J1892" s="101">
        <f t="shared" si="120"/>
        <v>0</v>
      </c>
    </row>
    <row r="1893" spans="2:10" x14ac:dyDescent="0.2">
      <c r="B1893" s="93"/>
      <c r="C1893" s="97"/>
      <c r="D1893" s="93"/>
      <c r="E1893" s="98"/>
      <c r="F1893" s="100">
        <v>1889</v>
      </c>
      <c r="G1893" s="101">
        <f t="shared" si="117"/>
        <v>0</v>
      </c>
      <c r="H1893" s="101">
        <f t="shared" si="118"/>
        <v>0</v>
      </c>
      <c r="I1893" s="101">
        <f t="shared" si="119"/>
        <v>0</v>
      </c>
      <c r="J1893" s="101">
        <f t="shared" si="120"/>
        <v>0</v>
      </c>
    </row>
    <row r="1894" spans="2:10" x14ac:dyDescent="0.2">
      <c r="B1894" s="93"/>
      <c r="C1894" s="97"/>
      <c r="D1894" s="93"/>
      <c r="E1894" s="98"/>
      <c r="F1894" s="100">
        <v>1890</v>
      </c>
      <c r="G1894" s="101">
        <f t="shared" si="117"/>
        <v>0</v>
      </c>
      <c r="H1894" s="101">
        <f t="shared" si="118"/>
        <v>0</v>
      </c>
      <c r="I1894" s="101">
        <f t="shared" si="119"/>
        <v>0</v>
      </c>
      <c r="J1894" s="101">
        <f t="shared" si="120"/>
        <v>0</v>
      </c>
    </row>
    <row r="1895" spans="2:10" x14ac:dyDescent="0.2">
      <c r="B1895" s="93"/>
      <c r="C1895" s="97"/>
      <c r="D1895" s="93"/>
      <c r="E1895" s="98"/>
      <c r="F1895" s="100">
        <v>1891</v>
      </c>
      <c r="G1895" s="101">
        <f t="shared" si="117"/>
        <v>0</v>
      </c>
      <c r="H1895" s="101">
        <f t="shared" si="118"/>
        <v>0</v>
      </c>
      <c r="I1895" s="101">
        <f t="shared" si="119"/>
        <v>0</v>
      </c>
      <c r="J1895" s="101">
        <f t="shared" si="120"/>
        <v>0</v>
      </c>
    </row>
    <row r="1896" spans="2:10" x14ac:dyDescent="0.2">
      <c r="B1896" s="93"/>
      <c r="C1896" s="97"/>
      <c r="D1896" s="93"/>
      <c r="E1896" s="98"/>
      <c r="F1896" s="100">
        <v>1892</v>
      </c>
      <c r="G1896" s="101">
        <f t="shared" si="117"/>
        <v>0</v>
      </c>
      <c r="H1896" s="101">
        <f t="shared" si="118"/>
        <v>0</v>
      </c>
      <c r="I1896" s="101">
        <f t="shared" si="119"/>
        <v>0</v>
      </c>
      <c r="J1896" s="101">
        <f t="shared" si="120"/>
        <v>0</v>
      </c>
    </row>
    <row r="1897" spans="2:10" x14ac:dyDescent="0.2">
      <c r="B1897" s="93"/>
      <c r="C1897" s="97"/>
      <c r="D1897" s="93"/>
      <c r="E1897" s="98"/>
      <c r="F1897" s="100">
        <v>1893</v>
      </c>
      <c r="G1897" s="101">
        <f t="shared" si="117"/>
        <v>0</v>
      </c>
      <c r="H1897" s="101">
        <f t="shared" si="118"/>
        <v>0</v>
      </c>
      <c r="I1897" s="101">
        <f t="shared" si="119"/>
        <v>0</v>
      </c>
      <c r="J1897" s="101">
        <f t="shared" si="120"/>
        <v>0</v>
      </c>
    </row>
    <row r="1898" spans="2:10" x14ac:dyDescent="0.2">
      <c r="B1898" s="93"/>
      <c r="C1898" s="97"/>
      <c r="D1898" s="93"/>
      <c r="E1898" s="98"/>
      <c r="F1898" s="100">
        <v>1894</v>
      </c>
      <c r="G1898" s="101">
        <f t="shared" si="117"/>
        <v>0</v>
      </c>
      <c r="H1898" s="101">
        <f t="shared" si="118"/>
        <v>0</v>
      </c>
      <c r="I1898" s="101">
        <f t="shared" si="119"/>
        <v>0</v>
      </c>
      <c r="J1898" s="101">
        <f t="shared" si="120"/>
        <v>0</v>
      </c>
    </row>
    <row r="1899" spans="2:10" x14ac:dyDescent="0.2">
      <c r="B1899" s="93"/>
      <c r="C1899" s="97"/>
      <c r="D1899" s="93"/>
      <c r="E1899" s="98"/>
      <c r="F1899" s="100">
        <v>1895</v>
      </c>
      <c r="G1899" s="101">
        <f t="shared" si="117"/>
        <v>0</v>
      </c>
      <c r="H1899" s="101">
        <f t="shared" si="118"/>
        <v>0</v>
      </c>
      <c r="I1899" s="101">
        <f t="shared" si="119"/>
        <v>0</v>
      </c>
      <c r="J1899" s="101">
        <f t="shared" si="120"/>
        <v>0</v>
      </c>
    </row>
    <row r="1900" spans="2:10" x14ac:dyDescent="0.2">
      <c r="B1900" s="93"/>
      <c r="C1900" s="97"/>
      <c r="D1900" s="93"/>
      <c r="E1900" s="98"/>
      <c r="F1900" s="100">
        <v>1896</v>
      </c>
      <c r="G1900" s="101">
        <f t="shared" si="117"/>
        <v>0</v>
      </c>
      <c r="H1900" s="101">
        <f t="shared" si="118"/>
        <v>0</v>
      </c>
      <c r="I1900" s="101">
        <f t="shared" si="119"/>
        <v>0</v>
      </c>
      <c r="J1900" s="101">
        <f t="shared" si="120"/>
        <v>0</v>
      </c>
    </row>
    <row r="1901" spans="2:10" x14ac:dyDescent="0.2">
      <c r="B1901" s="93"/>
      <c r="C1901" s="97"/>
      <c r="D1901" s="93"/>
      <c r="E1901" s="98"/>
      <c r="F1901" s="100">
        <v>1897</v>
      </c>
      <c r="G1901" s="101">
        <f t="shared" si="117"/>
        <v>0</v>
      </c>
      <c r="H1901" s="101">
        <f t="shared" si="118"/>
        <v>0</v>
      </c>
      <c r="I1901" s="101">
        <f t="shared" si="119"/>
        <v>0</v>
      </c>
      <c r="J1901" s="101">
        <f t="shared" si="120"/>
        <v>0</v>
      </c>
    </row>
    <row r="1902" spans="2:10" x14ac:dyDescent="0.2">
      <c r="B1902" s="93"/>
      <c r="C1902" s="97"/>
      <c r="D1902" s="93"/>
      <c r="E1902" s="98"/>
      <c r="F1902" s="100">
        <v>1898</v>
      </c>
      <c r="G1902" s="101">
        <f t="shared" si="117"/>
        <v>0</v>
      </c>
      <c r="H1902" s="101">
        <f t="shared" si="118"/>
        <v>0</v>
      </c>
      <c r="I1902" s="101">
        <f t="shared" si="119"/>
        <v>0</v>
      </c>
      <c r="J1902" s="101">
        <f t="shared" si="120"/>
        <v>0</v>
      </c>
    </row>
    <row r="1903" spans="2:10" x14ac:dyDescent="0.2">
      <c r="B1903" s="93"/>
      <c r="C1903" s="97"/>
      <c r="D1903" s="93"/>
      <c r="E1903" s="98"/>
      <c r="F1903" s="100">
        <v>1899</v>
      </c>
      <c r="G1903" s="101">
        <f t="shared" si="117"/>
        <v>0</v>
      </c>
      <c r="H1903" s="101">
        <f t="shared" si="118"/>
        <v>0</v>
      </c>
      <c r="I1903" s="101">
        <f t="shared" si="119"/>
        <v>0</v>
      </c>
      <c r="J1903" s="101">
        <f t="shared" si="120"/>
        <v>0</v>
      </c>
    </row>
    <row r="1904" spans="2:10" x14ac:dyDescent="0.2">
      <c r="B1904" s="93"/>
      <c r="C1904" s="97"/>
      <c r="D1904" s="93"/>
      <c r="E1904" s="98"/>
      <c r="F1904" s="100">
        <v>1900</v>
      </c>
      <c r="G1904" s="101">
        <f t="shared" si="117"/>
        <v>0</v>
      </c>
      <c r="H1904" s="101">
        <f t="shared" si="118"/>
        <v>0</v>
      </c>
      <c r="I1904" s="101">
        <f t="shared" si="119"/>
        <v>0</v>
      </c>
      <c r="J1904" s="101">
        <f t="shared" si="120"/>
        <v>0</v>
      </c>
    </row>
    <row r="1905" spans="2:10" x14ac:dyDescent="0.2">
      <c r="B1905" s="93"/>
      <c r="C1905" s="97"/>
      <c r="D1905" s="93"/>
      <c r="E1905" s="98"/>
      <c r="F1905" s="100">
        <v>1901</v>
      </c>
      <c r="G1905" s="101">
        <f t="shared" si="117"/>
        <v>0</v>
      </c>
      <c r="H1905" s="101">
        <f t="shared" si="118"/>
        <v>0</v>
      </c>
      <c r="I1905" s="101">
        <f t="shared" si="119"/>
        <v>0</v>
      </c>
      <c r="J1905" s="101">
        <f t="shared" si="120"/>
        <v>0</v>
      </c>
    </row>
    <row r="1906" spans="2:10" x14ac:dyDescent="0.2">
      <c r="B1906" s="93"/>
      <c r="C1906" s="97"/>
      <c r="D1906" s="93"/>
      <c r="E1906" s="98"/>
      <c r="F1906" s="100">
        <v>1902</v>
      </c>
      <c r="G1906" s="101">
        <f t="shared" si="117"/>
        <v>0</v>
      </c>
      <c r="H1906" s="101">
        <f t="shared" si="118"/>
        <v>0</v>
      </c>
      <c r="I1906" s="101">
        <f t="shared" si="119"/>
        <v>0</v>
      </c>
      <c r="J1906" s="101">
        <f t="shared" si="120"/>
        <v>0</v>
      </c>
    </row>
    <row r="1907" spans="2:10" x14ac:dyDescent="0.2">
      <c r="B1907" s="93"/>
      <c r="C1907" s="97"/>
      <c r="D1907" s="93"/>
      <c r="E1907" s="98"/>
      <c r="F1907" s="100">
        <v>1903</v>
      </c>
      <c r="G1907" s="101">
        <f t="shared" si="117"/>
        <v>0</v>
      </c>
      <c r="H1907" s="101">
        <f t="shared" si="118"/>
        <v>0</v>
      </c>
      <c r="I1907" s="101">
        <f t="shared" si="119"/>
        <v>0</v>
      </c>
      <c r="J1907" s="101">
        <f t="shared" si="120"/>
        <v>0</v>
      </c>
    </row>
    <row r="1908" spans="2:10" x14ac:dyDescent="0.2">
      <c r="B1908" s="93"/>
      <c r="C1908" s="97"/>
      <c r="D1908" s="93"/>
      <c r="E1908" s="98"/>
      <c r="F1908" s="100">
        <v>1904</v>
      </c>
      <c r="G1908" s="101">
        <f t="shared" si="117"/>
        <v>0</v>
      </c>
      <c r="H1908" s="101">
        <f t="shared" si="118"/>
        <v>0</v>
      </c>
      <c r="I1908" s="101">
        <f t="shared" si="119"/>
        <v>0</v>
      </c>
      <c r="J1908" s="101">
        <f t="shared" si="120"/>
        <v>0</v>
      </c>
    </row>
    <row r="1909" spans="2:10" x14ac:dyDescent="0.2">
      <c r="B1909" s="93"/>
      <c r="C1909" s="97"/>
      <c r="D1909" s="93"/>
      <c r="E1909" s="98"/>
      <c r="F1909" s="100">
        <v>1905</v>
      </c>
      <c r="G1909" s="101">
        <f t="shared" si="117"/>
        <v>0</v>
      </c>
      <c r="H1909" s="101">
        <f t="shared" si="118"/>
        <v>0</v>
      </c>
      <c r="I1909" s="101">
        <f t="shared" si="119"/>
        <v>0</v>
      </c>
      <c r="J1909" s="101">
        <f t="shared" si="120"/>
        <v>0</v>
      </c>
    </row>
    <row r="1910" spans="2:10" x14ac:dyDescent="0.2">
      <c r="B1910" s="93"/>
      <c r="C1910" s="97"/>
      <c r="D1910" s="93"/>
      <c r="E1910" s="98"/>
      <c r="F1910" s="100">
        <v>1906</v>
      </c>
      <c r="G1910" s="101">
        <f t="shared" si="117"/>
        <v>0</v>
      </c>
      <c r="H1910" s="101">
        <f t="shared" si="118"/>
        <v>0</v>
      </c>
      <c r="I1910" s="101">
        <f t="shared" si="119"/>
        <v>0</v>
      </c>
      <c r="J1910" s="101">
        <f t="shared" si="120"/>
        <v>0</v>
      </c>
    </row>
    <row r="1911" spans="2:10" x14ac:dyDescent="0.2">
      <c r="B1911" s="93"/>
      <c r="C1911" s="97"/>
      <c r="D1911" s="93"/>
      <c r="E1911" s="98"/>
      <c r="F1911" s="100">
        <v>1907</v>
      </c>
      <c r="G1911" s="101">
        <f t="shared" si="117"/>
        <v>0</v>
      </c>
      <c r="H1911" s="101">
        <f t="shared" si="118"/>
        <v>0</v>
      </c>
      <c r="I1911" s="101">
        <f t="shared" si="119"/>
        <v>0</v>
      </c>
      <c r="J1911" s="101">
        <f t="shared" si="120"/>
        <v>0</v>
      </c>
    </row>
    <row r="1912" spans="2:10" x14ac:dyDescent="0.2">
      <c r="B1912" s="93"/>
      <c r="C1912" s="97"/>
      <c r="D1912" s="93"/>
      <c r="E1912" s="98"/>
      <c r="F1912" s="100">
        <v>1908</v>
      </c>
      <c r="G1912" s="101">
        <f t="shared" si="117"/>
        <v>0</v>
      </c>
      <c r="H1912" s="101">
        <f t="shared" si="118"/>
        <v>0</v>
      </c>
      <c r="I1912" s="101">
        <f t="shared" si="119"/>
        <v>0</v>
      </c>
      <c r="J1912" s="101">
        <f t="shared" si="120"/>
        <v>0</v>
      </c>
    </row>
    <row r="1913" spans="2:10" x14ac:dyDescent="0.2">
      <c r="B1913" s="93"/>
      <c r="C1913" s="97"/>
      <c r="D1913" s="93"/>
      <c r="E1913" s="98"/>
      <c r="F1913" s="100">
        <v>1909</v>
      </c>
      <c r="G1913" s="101">
        <f t="shared" si="117"/>
        <v>0</v>
      </c>
      <c r="H1913" s="101">
        <f t="shared" si="118"/>
        <v>0</v>
      </c>
      <c r="I1913" s="101">
        <f t="shared" si="119"/>
        <v>0</v>
      </c>
      <c r="J1913" s="101">
        <f t="shared" si="120"/>
        <v>0</v>
      </c>
    </row>
    <row r="1914" spans="2:10" x14ac:dyDescent="0.2">
      <c r="B1914" s="93"/>
      <c r="C1914" s="97"/>
      <c r="D1914" s="93"/>
      <c r="E1914" s="98"/>
      <c r="F1914" s="100">
        <v>1910</v>
      </c>
      <c r="G1914" s="101">
        <f t="shared" si="117"/>
        <v>0</v>
      </c>
      <c r="H1914" s="101">
        <f t="shared" si="118"/>
        <v>0</v>
      </c>
      <c r="I1914" s="101">
        <f t="shared" si="119"/>
        <v>0</v>
      </c>
      <c r="J1914" s="101">
        <f t="shared" si="120"/>
        <v>0</v>
      </c>
    </row>
    <row r="1915" spans="2:10" x14ac:dyDescent="0.2">
      <c r="B1915" s="93"/>
      <c r="C1915" s="97"/>
      <c r="D1915" s="93"/>
      <c r="E1915" s="98"/>
      <c r="F1915" s="100">
        <v>1911</v>
      </c>
      <c r="G1915" s="101">
        <f t="shared" si="117"/>
        <v>0</v>
      </c>
      <c r="H1915" s="101">
        <f t="shared" si="118"/>
        <v>0</v>
      </c>
      <c r="I1915" s="101">
        <f t="shared" si="119"/>
        <v>0</v>
      </c>
      <c r="J1915" s="101">
        <f t="shared" si="120"/>
        <v>0</v>
      </c>
    </row>
    <row r="1916" spans="2:10" x14ac:dyDescent="0.2">
      <c r="B1916" s="93"/>
      <c r="C1916" s="97"/>
      <c r="D1916" s="93"/>
      <c r="E1916" s="98"/>
      <c r="F1916" s="100">
        <v>1912</v>
      </c>
      <c r="G1916" s="101">
        <f t="shared" si="117"/>
        <v>0</v>
      </c>
      <c r="H1916" s="101">
        <f t="shared" si="118"/>
        <v>0</v>
      </c>
      <c r="I1916" s="101">
        <f t="shared" si="119"/>
        <v>0</v>
      </c>
      <c r="J1916" s="101">
        <f t="shared" si="120"/>
        <v>0</v>
      </c>
    </row>
    <row r="1917" spans="2:10" x14ac:dyDescent="0.2">
      <c r="B1917" s="93"/>
      <c r="C1917" s="97"/>
      <c r="D1917" s="93"/>
      <c r="E1917" s="98"/>
      <c r="F1917" s="100">
        <v>1913</v>
      </c>
      <c r="G1917" s="101">
        <f t="shared" si="117"/>
        <v>0</v>
      </c>
      <c r="H1917" s="101">
        <f t="shared" si="118"/>
        <v>0</v>
      </c>
      <c r="I1917" s="101">
        <f t="shared" si="119"/>
        <v>0</v>
      </c>
      <c r="J1917" s="101">
        <f t="shared" si="120"/>
        <v>0</v>
      </c>
    </row>
    <row r="1918" spans="2:10" x14ac:dyDescent="0.2">
      <c r="B1918" s="93"/>
      <c r="C1918" s="97"/>
      <c r="D1918" s="93"/>
      <c r="E1918" s="98"/>
      <c r="F1918" s="100">
        <v>1914</v>
      </c>
      <c r="G1918" s="101">
        <f t="shared" si="117"/>
        <v>0</v>
      </c>
      <c r="H1918" s="101">
        <f t="shared" si="118"/>
        <v>0</v>
      </c>
      <c r="I1918" s="101">
        <f t="shared" si="119"/>
        <v>0</v>
      </c>
      <c r="J1918" s="101">
        <f t="shared" si="120"/>
        <v>0</v>
      </c>
    </row>
    <row r="1919" spans="2:10" x14ac:dyDescent="0.2">
      <c r="B1919" s="93"/>
      <c r="C1919" s="97"/>
      <c r="D1919" s="93"/>
      <c r="E1919" s="98"/>
      <c r="F1919" s="100">
        <v>1915</v>
      </c>
      <c r="G1919" s="101">
        <f t="shared" si="117"/>
        <v>0</v>
      </c>
      <c r="H1919" s="101">
        <f t="shared" si="118"/>
        <v>0</v>
      </c>
      <c r="I1919" s="101">
        <f t="shared" si="119"/>
        <v>0</v>
      </c>
      <c r="J1919" s="101">
        <f t="shared" si="120"/>
        <v>0</v>
      </c>
    </row>
    <row r="1920" spans="2:10" x14ac:dyDescent="0.2">
      <c r="B1920" s="93"/>
      <c r="C1920" s="97"/>
      <c r="D1920" s="93"/>
      <c r="E1920" s="98"/>
      <c r="F1920" s="100">
        <v>1916</v>
      </c>
      <c r="G1920" s="101">
        <f t="shared" si="117"/>
        <v>0</v>
      </c>
      <c r="H1920" s="101">
        <f t="shared" si="118"/>
        <v>0</v>
      </c>
      <c r="I1920" s="101">
        <f t="shared" si="119"/>
        <v>0</v>
      </c>
      <c r="J1920" s="101">
        <f t="shared" si="120"/>
        <v>0</v>
      </c>
    </row>
    <row r="1921" spans="2:10" x14ac:dyDescent="0.2">
      <c r="B1921" s="93"/>
      <c r="C1921" s="97"/>
      <c r="D1921" s="93"/>
      <c r="E1921" s="98"/>
      <c r="F1921" s="100">
        <v>1917</v>
      </c>
      <c r="G1921" s="101">
        <f t="shared" si="117"/>
        <v>0</v>
      </c>
      <c r="H1921" s="101">
        <f t="shared" si="118"/>
        <v>0</v>
      </c>
      <c r="I1921" s="101">
        <f t="shared" si="119"/>
        <v>0</v>
      </c>
      <c r="J1921" s="101">
        <f t="shared" si="120"/>
        <v>0</v>
      </c>
    </row>
    <row r="1922" spans="2:10" x14ac:dyDescent="0.2">
      <c r="B1922" s="93"/>
      <c r="C1922" s="97"/>
      <c r="D1922" s="93"/>
      <c r="E1922" s="98"/>
      <c r="F1922" s="100">
        <v>1918</v>
      </c>
      <c r="G1922" s="101">
        <f t="shared" si="117"/>
        <v>0</v>
      </c>
      <c r="H1922" s="101">
        <f t="shared" si="118"/>
        <v>0</v>
      </c>
      <c r="I1922" s="101">
        <f t="shared" si="119"/>
        <v>0</v>
      </c>
      <c r="J1922" s="101">
        <f t="shared" si="120"/>
        <v>0</v>
      </c>
    </row>
    <row r="1923" spans="2:10" x14ac:dyDescent="0.2">
      <c r="B1923" s="93"/>
      <c r="C1923" s="97"/>
      <c r="D1923" s="93"/>
      <c r="E1923" s="98"/>
      <c r="F1923" s="100">
        <v>1919</v>
      </c>
      <c r="G1923" s="101">
        <f t="shared" si="117"/>
        <v>0</v>
      </c>
      <c r="H1923" s="101">
        <f t="shared" si="118"/>
        <v>0</v>
      </c>
      <c r="I1923" s="101">
        <f t="shared" si="119"/>
        <v>0</v>
      </c>
      <c r="J1923" s="101">
        <f t="shared" si="120"/>
        <v>0</v>
      </c>
    </row>
    <row r="1924" spans="2:10" x14ac:dyDescent="0.2">
      <c r="B1924" s="93"/>
      <c r="C1924" s="97"/>
      <c r="D1924" s="93"/>
      <c r="E1924" s="98"/>
      <c r="F1924" s="100">
        <v>1920</v>
      </c>
      <c r="G1924" s="101">
        <f t="shared" si="117"/>
        <v>0</v>
      </c>
      <c r="H1924" s="101">
        <f t="shared" si="118"/>
        <v>0</v>
      </c>
      <c r="I1924" s="101">
        <f t="shared" si="119"/>
        <v>0</v>
      </c>
      <c r="J1924" s="101">
        <f t="shared" si="120"/>
        <v>0</v>
      </c>
    </row>
    <row r="1925" spans="2:10" x14ac:dyDescent="0.2">
      <c r="B1925" s="93"/>
      <c r="C1925" s="97"/>
      <c r="D1925" s="93"/>
      <c r="E1925" s="98"/>
      <c r="F1925" s="100">
        <v>1921</v>
      </c>
      <c r="G1925" s="101">
        <f t="shared" si="117"/>
        <v>0</v>
      </c>
      <c r="H1925" s="101">
        <f t="shared" si="118"/>
        <v>0</v>
      </c>
      <c r="I1925" s="101">
        <f t="shared" si="119"/>
        <v>0</v>
      </c>
      <c r="J1925" s="101">
        <f t="shared" si="120"/>
        <v>0</v>
      </c>
    </row>
    <row r="1926" spans="2:10" x14ac:dyDescent="0.2">
      <c r="B1926" s="93"/>
      <c r="C1926" s="97"/>
      <c r="D1926" s="93"/>
      <c r="E1926" s="98"/>
      <c r="F1926" s="100">
        <v>1922</v>
      </c>
      <c r="G1926" s="101">
        <f t="shared" ref="G1926:G1989" si="121">B1926</f>
        <v>0</v>
      </c>
      <c r="H1926" s="101">
        <f t="shared" ref="H1926:H1989" si="122">C1926</f>
        <v>0</v>
      </c>
      <c r="I1926" s="101">
        <f t="shared" ref="I1926:I1989" si="123">D1926</f>
        <v>0</v>
      </c>
      <c r="J1926" s="101">
        <f t="shared" ref="J1926:J1989" si="124">E1926</f>
        <v>0</v>
      </c>
    </row>
    <row r="1927" spans="2:10" x14ac:dyDescent="0.2">
      <c r="B1927" s="93"/>
      <c r="C1927" s="97"/>
      <c r="D1927" s="93"/>
      <c r="E1927" s="98"/>
      <c r="F1927" s="100">
        <v>1923</v>
      </c>
      <c r="G1927" s="101">
        <f t="shared" si="121"/>
        <v>0</v>
      </c>
      <c r="H1927" s="101">
        <f t="shared" si="122"/>
        <v>0</v>
      </c>
      <c r="I1927" s="101">
        <f t="shared" si="123"/>
        <v>0</v>
      </c>
      <c r="J1927" s="101">
        <f t="shared" si="124"/>
        <v>0</v>
      </c>
    </row>
    <row r="1928" spans="2:10" x14ac:dyDescent="0.2">
      <c r="B1928" s="93"/>
      <c r="C1928" s="97"/>
      <c r="D1928" s="93"/>
      <c r="E1928" s="98"/>
      <c r="F1928" s="100">
        <v>1924</v>
      </c>
      <c r="G1928" s="101">
        <f t="shared" si="121"/>
        <v>0</v>
      </c>
      <c r="H1928" s="101">
        <f t="shared" si="122"/>
        <v>0</v>
      </c>
      <c r="I1928" s="101">
        <f t="shared" si="123"/>
        <v>0</v>
      </c>
      <c r="J1928" s="101">
        <f t="shared" si="124"/>
        <v>0</v>
      </c>
    </row>
    <row r="1929" spans="2:10" x14ac:dyDescent="0.2">
      <c r="B1929" s="93"/>
      <c r="C1929" s="97"/>
      <c r="D1929" s="93"/>
      <c r="E1929" s="98"/>
      <c r="F1929" s="100">
        <v>1925</v>
      </c>
      <c r="G1929" s="101">
        <f t="shared" si="121"/>
        <v>0</v>
      </c>
      <c r="H1929" s="101">
        <f t="shared" si="122"/>
        <v>0</v>
      </c>
      <c r="I1929" s="101">
        <f t="shared" si="123"/>
        <v>0</v>
      </c>
      <c r="J1929" s="101">
        <f t="shared" si="124"/>
        <v>0</v>
      </c>
    </row>
    <row r="1930" spans="2:10" x14ac:dyDescent="0.2">
      <c r="B1930" s="93"/>
      <c r="C1930" s="97"/>
      <c r="D1930" s="93"/>
      <c r="E1930" s="98"/>
      <c r="F1930" s="100">
        <v>1926</v>
      </c>
      <c r="G1930" s="101">
        <f t="shared" si="121"/>
        <v>0</v>
      </c>
      <c r="H1930" s="101">
        <f t="shared" si="122"/>
        <v>0</v>
      </c>
      <c r="I1930" s="101">
        <f t="shared" si="123"/>
        <v>0</v>
      </c>
      <c r="J1930" s="101">
        <f t="shared" si="124"/>
        <v>0</v>
      </c>
    </row>
    <row r="1931" spans="2:10" x14ac:dyDescent="0.2">
      <c r="B1931" s="93"/>
      <c r="C1931" s="97"/>
      <c r="D1931" s="93"/>
      <c r="E1931" s="98"/>
      <c r="F1931" s="100">
        <v>1927</v>
      </c>
      <c r="G1931" s="101">
        <f t="shared" si="121"/>
        <v>0</v>
      </c>
      <c r="H1931" s="101">
        <f t="shared" si="122"/>
        <v>0</v>
      </c>
      <c r="I1931" s="101">
        <f t="shared" si="123"/>
        <v>0</v>
      </c>
      <c r="J1931" s="101">
        <f t="shared" si="124"/>
        <v>0</v>
      </c>
    </row>
    <row r="1932" spans="2:10" x14ac:dyDescent="0.2">
      <c r="B1932" s="93"/>
      <c r="C1932" s="97"/>
      <c r="D1932" s="93"/>
      <c r="E1932" s="98"/>
      <c r="F1932" s="100">
        <v>1928</v>
      </c>
      <c r="G1932" s="101">
        <f t="shared" si="121"/>
        <v>0</v>
      </c>
      <c r="H1932" s="101">
        <f t="shared" si="122"/>
        <v>0</v>
      </c>
      <c r="I1932" s="101">
        <f t="shared" si="123"/>
        <v>0</v>
      </c>
      <c r="J1932" s="101">
        <f t="shared" si="124"/>
        <v>0</v>
      </c>
    </row>
    <row r="1933" spans="2:10" x14ac:dyDescent="0.2">
      <c r="B1933" s="93"/>
      <c r="C1933" s="97"/>
      <c r="D1933" s="93"/>
      <c r="E1933" s="98"/>
      <c r="F1933" s="100">
        <v>1929</v>
      </c>
      <c r="G1933" s="101">
        <f t="shared" si="121"/>
        <v>0</v>
      </c>
      <c r="H1933" s="101">
        <f t="shared" si="122"/>
        <v>0</v>
      </c>
      <c r="I1933" s="101">
        <f t="shared" si="123"/>
        <v>0</v>
      </c>
      <c r="J1933" s="101">
        <f t="shared" si="124"/>
        <v>0</v>
      </c>
    </row>
    <row r="1934" spans="2:10" x14ac:dyDescent="0.2">
      <c r="B1934" s="93"/>
      <c r="C1934" s="97"/>
      <c r="D1934" s="93"/>
      <c r="E1934" s="98"/>
      <c r="F1934" s="100">
        <v>1930</v>
      </c>
      <c r="G1934" s="101">
        <f t="shared" si="121"/>
        <v>0</v>
      </c>
      <c r="H1934" s="101">
        <f t="shared" si="122"/>
        <v>0</v>
      </c>
      <c r="I1934" s="101">
        <f t="shared" si="123"/>
        <v>0</v>
      </c>
      <c r="J1934" s="101">
        <f t="shared" si="124"/>
        <v>0</v>
      </c>
    </row>
    <row r="1935" spans="2:10" x14ac:dyDescent="0.2">
      <c r="B1935" s="93"/>
      <c r="C1935" s="97"/>
      <c r="D1935" s="93"/>
      <c r="E1935" s="98"/>
      <c r="F1935" s="100">
        <v>1931</v>
      </c>
      <c r="G1935" s="101">
        <f t="shared" si="121"/>
        <v>0</v>
      </c>
      <c r="H1935" s="101">
        <f t="shared" si="122"/>
        <v>0</v>
      </c>
      <c r="I1935" s="101">
        <f t="shared" si="123"/>
        <v>0</v>
      </c>
      <c r="J1935" s="101">
        <f t="shared" si="124"/>
        <v>0</v>
      </c>
    </row>
    <row r="1936" spans="2:10" x14ac:dyDescent="0.2">
      <c r="B1936" s="93"/>
      <c r="C1936" s="97"/>
      <c r="D1936" s="93"/>
      <c r="E1936" s="98"/>
      <c r="F1936" s="100">
        <v>1932</v>
      </c>
      <c r="G1936" s="101">
        <f t="shared" si="121"/>
        <v>0</v>
      </c>
      <c r="H1936" s="101">
        <f t="shared" si="122"/>
        <v>0</v>
      </c>
      <c r="I1936" s="101">
        <f t="shared" si="123"/>
        <v>0</v>
      </c>
      <c r="J1936" s="101">
        <f t="shared" si="124"/>
        <v>0</v>
      </c>
    </row>
    <row r="1937" spans="2:10" x14ac:dyDescent="0.2">
      <c r="B1937" s="93"/>
      <c r="C1937" s="97"/>
      <c r="D1937" s="93"/>
      <c r="E1937" s="98"/>
      <c r="F1937" s="100">
        <v>1933</v>
      </c>
      <c r="G1937" s="101">
        <f t="shared" si="121"/>
        <v>0</v>
      </c>
      <c r="H1937" s="101">
        <f t="shared" si="122"/>
        <v>0</v>
      </c>
      <c r="I1937" s="101">
        <f t="shared" si="123"/>
        <v>0</v>
      </c>
      <c r="J1937" s="101">
        <f t="shared" si="124"/>
        <v>0</v>
      </c>
    </row>
    <row r="1938" spans="2:10" x14ac:dyDescent="0.2">
      <c r="B1938" s="93"/>
      <c r="C1938" s="97"/>
      <c r="D1938" s="93"/>
      <c r="E1938" s="98"/>
      <c r="F1938" s="100">
        <v>1934</v>
      </c>
      <c r="G1938" s="101">
        <f t="shared" si="121"/>
        <v>0</v>
      </c>
      <c r="H1938" s="101">
        <f t="shared" si="122"/>
        <v>0</v>
      </c>
      <c r="I1938" s="101">
        <f t="shared" si="123"/>
        <v>0</v>
      </c>
      <c r="J1938" s="101">
        <f t="shared" si="124"/>
        <v>0</v>
      </c>
    </row>
    <row r="1939" spans="2:10" x14ac:dyDescent="0.2">
      <c r="B1939" s="93"/>
      <c r="C1939" s="97"/>
      <c r="D1939" s="93"/>
      <c r="E1939" s="98"/>
      <c r="F1939" s="100">
        <v>1935</v>
      </c>
      <c r="G1939" s="101">
        <f t="shared" si="121"/>
        <v>0</v>
      </c>
      <c r="H1939" s="101">
        <f t="shared" si="122"/>
        <v>0</v>
      </c>
      <c r="I1939" s="101">
        <f t="shared" si="123"/>
        <v>0</v>
      </c>
      <c r="J1939" s="101">
        <f t="shared" si="124"/>
        <v>0</v>
      </c>
    </row>
    <row r="1940" spans="2:10" x14ac:dyDescent="0.2">
      <c r="B1940" s="93"/>
      <c r="C1940" s="97"/>
      <c r="D1940" s="93"/>
      <c r="E1940" s="98"/>
      <c r="F1940" s="100">
        <v>1936</v>
      </c>
      <c r="G1940" s="101">
        <f t="shared" si="121"/>
        <v>0</v>
      </c>
      <c r="H1940" s="101">
        <f t="shared" si="122"/>
        <v>0</v>
      </c>
      <c r="I1940" s="101">
        <f t="shared" si="123"/>
        <v>0</v>
      </c>
      <c r="J1940" s="101">
        <f t="shared" si="124"/>
        <v>0</v>
      </c>
    </row>
    <row r="1941" spans="2:10" x14ac:dyDescent="0.2">
      <c r="B1941" s="93"/>
      <c r="C1941" s="97"/>
      <c r="D1941" s="93"/>
      <c r="E1941" s="98"/>
      <c r="F1941" s="100">
        <v>1937</v>
      </c>
      <c r="G1941" s="101">
        <f t="shared" si="121"/>
        <v>0</v>
      </c>
      <c r="H1941" s="101">
        <f t="shared" si="122"/>
        <v>0</v>
      </c>
      <c r="I1941" s="101">
        <f t="shared" si="123"/>
        <v>0</v>
      </c>
      <c r="J1941" s="101">
        <f t="shared" si="124"/>
        <v>0</v>
      </c>
    </row>
    <row r="1942" spans="2:10" x14ac:dyDescent="0.2">
      <c r="B1942" s="93"/>
      <c r="C1942" s="97"/>
      <c r="D1942" s="93"/>
      <c r="E1942" s="98"/>
      <c r="F1942" s="100">
        <v>1938</v>
      </c>
      <c r="G1942" s="101">
        <f t="shared" si="121"/>
        <v>0</v>
      </c>
      <c r="H1942" s="101">
        <f t="shared" si="122"/>
        <v>0</v>
      </c>
      <c r="I1942" s="101">
        <f t="shared" si="123"/>
        <v>0</v>
      </c>
      <c r="J1942" s="101">
        <f t="shared" si="124"/>
        <v>0</v>
      </c>
    </row>
    <row r="1943" spans="2:10" x14ac:dyDescent="0.2">
      <c r="B1943" s="93"/>
      <c r="C1943" s="97"/>
      <c r="D1943" s="93"/>
      <c r="E1943" s="98"/>
      <c r="F1943" s="100">
        <v>1939</v>
      </c>
      <c r="G1943" s="101">
        <f t="shared" si="121"/>
        <v>0</v>
      </c>
      <c r="H1943" s="101">
        <f t="shared" si="122"/>
        <v>0</v>
      </c>
      <c r="I1943" s="101">
        <f t="shared" si="123"/>
        <v>0</v>
      </c>
      <c r="J1943" s="101">
        <f t="shared" si="124"/>
        <v>0</v>
      </c>
    </row>
    <row r="1944" spans="2:10" x14ac:dyDescent="0.2">
      <c r="B1944" s="93"/>
      <c r="C1944" s="97"/>
      <c r="D1944" s="93"/>
      <c r="E1944" s="98"/>
      <c r="F1944" s="100">
        <v>1940</v>
      </c>
      <c r="G1944" s="101">
        <f t="shared" si="121"/>
        <v>0</v>
      </c>
      <c r="H1944" s="101">
        <f t="shared" si="122"/>
        <v>0</v>
      </c>
      <c r="I1944" s="101">
        <f t="shared" si="123"/>
        <v>0</v>
      </c>
      <c r="J1944" s="101">
        <f t="shared" si="124"/>
        <v>0</v>
      </c>
    </row>
    <row r="1945" spans="2:10" x14ac:dyDescent="0.2">
      <c r="B1945" s="93"/>
      <c r="C1945" s="97"/>
      <c r="D1945" s="93"/>
      <c r="E1945" s="98"/>
      <c r="F1945" s="100">
        <v>1941</v>
      </c>
      <c r="G1945" s="101">
        <f t="shared" si="121"/>
        <v>0</v>
      </c>
      <c r="H1945" s="101">
        <f t="shared" si="122"/>
        <v>0</v>
      </c>
      <c r="I1945" s="101">
        <f t="shared" si="123"/>
        <v>0</v>
      </c>
      <c r="J1945" s="101">
        <f t="shared" si="124"/>
        <v>0</v>
      </c>
    </row>
    <row r="1946" spans="2:10" x14ac:dyDescent="0.2">
      <c r="B1946" s="93"/>
      <c r="C1946" s="97"/>
      <c r="D1946" s="93"/>
      <c r="E1946" s="98"/>
      <c r="F1946" s="100">
        <v>1942</v>
      </c>
      <c r="G1946" s="101">
        <f t="shared" si="121"/>
        <v>0</v>
      </c>
      <c r="H1946" s="101">
        <f t="shared" si="122"/>
        <v>0</v>
      </c>
      <c r="I1946" s="101">
        <f t="shared" si="123"/>
        <v>0</v>
      </c>
      <c r="J1946" s="101">
        <f t="shared" si="124"/>
        <v>0</v>
      </c>
    </row>
    <row r="1947" spans="2:10" x14ac:dyDescent="0.2">
      <c r="B1947" s="93"/>
      <c r="C1947" s="97"/>
      <c r="D1947" s="93"/>
      <c r="E1947" s="98"/>
      <c r="F1947" s="100">
        <v>1943</v>
      </c>
      <c r="G1947" s="101">
        <f t="shared" si="121"/>
        <v>0</v>
      </c>
      <c r="H1947" s="101">
        <f t="shared" si="122"/>
        <v>0</v>
      </c>
      <c r="I1947" s="101">
        <f t="shared" si="123"/>
        <v>0</v>
      </c>
      <c r="J1947" s="101">
        <f t="shared" si="124"/>
        <v>0</v>
      </c>
    </row>
    <row r="1948" spans="2:10" x14ac:dyDescent="0.2">
      <c r="B1948" s="93"/>
      <c r="C1948" s="97"/>
      <c r="D1948" s="93"/>
      <c r="E1948" s="98"/>
      <c r="F1948" s="100">
        <v>1944</v>
      </c>
      <c r="G1948" s="101">
        <f t="shared" si="121"/>
        <v>0</v>
      </c>
      <c r="H1948" s="101">
        <f t="shared" si="122"/>
        <v>0</v>
      </c>
      <c r="I1948" s="101">
        <f t="shared" si="123"/>
        <v>0</v>
      </c>
      <c r="J1948" s="101">
        <f t="shared" si="124"/>
        <v>0</v>
      </c>
    </row>
    <row r="1949" spans="2:10" x14ac:dyDescent="0.2">
      <c r="B1949" s="93"/>
      <c r="C1949" s="97"/>
      <c r="D1949" s="93"/>
      <c r="E1949" s="98"/>
      <c r="F1949" s="100">
        <v>1945</v>
      </c>
      <c r="G1949" s="101">
        <f t="shared" si="121"/>
        <v>0</v>
      </c>
      <c r="H1949" s="101">
        <f t="shared" si="122"/>
        <v>0</v>
      </c>
      <c r="I1949" s="101">
        <f t="shared" si="123"/>
        <v>0</v>
      </c>
      <c r="J1949" s="101">
        <f t="shared" si="124"/>
        <v>0</v>
      </c>
    </row>
    <row r="1950" spans="2:10" x14ac:dyDescent="0.2">
      <c r="B1950" s="93"/>
      <c r="C1950" s="97"/>
      <c r="D1950" s="93"/>
      <c r="E1950" s="98"/>
      <c r="F1950" s="100">
        <v>1946</v>
      </c>
      <c r="G1950" s="101">
        <f t="shared" si="121"/>
        <v>0</v>
      </c>
      <c r="H1950" s="101">
        <f t="shared" si="122"/>
        <v>0</v>
      </c>
      <c r="I1950" s="101">
        <f t="shared" si="123"/>
        <v>0</v>
      </c>
      <c r="J1950" s="101">
        <f t="shared" si="124"/>
        <v>0</v>
      </c>
    </row>
    <row r="1951" spans="2:10" x14ac:dyDescent="0.2">
      <c r="B1951" s="93"/>
      <c r="C1951" s="97"/>
      <c r="D1951" s="93"/>
      <c r="E1951" s="98"/>
      <c r="F1951" s="100">
        <v>1947</v>
      </c>
      <c r="G1951" s="101">
        <f t="shared" si="121"/>
        <v>0</v>
      </c>
      <c r="H1951" s="101">
        <f t="shared" si="122"/>
        <v>0</v>
      </c>
      <c r="I1951" s="101">
        <f t="shared" si="123"/>
        <v>0</v>
      </c>
      <c r="J1951" s="101">
        <f t="shared" si="124"/>
        <v>0</v>
      </c>
    </row>
    <row r="1952" spans="2:10" x14ac:dyDescent="0.2">
      <c r="B1952" s="93"/>
      <c r="C1952" s="97"/>
      <c r="D1952" s="93"/>
      <c r="E1952" s="98"/>
      <c r="F1952" s="100">
        <v>1948</v>
      </c>
      <c r="G1952" s="101">
        <f t="shared" si="121"/>
        <v>0</v>
      </c>
      <c r="H1952" s="101">
        <f t="shared" si="122"/>
        <v>0</v>
      </c>
      <c r="I1952" s="101">
        <f t="shared" si="123"/>
        <v>0</v>
      </c>
      <c r="J1952" s="101">
        <f t="shared" si="124"/>
        <v>0</v>
      </c>
    </row>
    <row r="1953" spans="2:10" x14ac:dyDescent="0.2">
      <c r="B1953" s="93"/>
      <c r="C1953" s="97"/>
      <c r="D1953" s="93"/>
      <c r="E1953" s="98"/>
      <c r="F1953" s="100">
        <v>1949</v>
      </c>
      <c r="G1953" s="101">
        <f t="shared" si="121"/>
        <v>0</v>
      </c>
      <c r="H1953" s="101">
        <f t="shared" si="122"/>
        <v>0</v>
      </c>
      <c r="I1953" s="101">
        <f t="shared" si="123"/>
        <v>0</v>
      </c>
      <c r="J1953" s="101">
        <f t="shared" si="124"/>
        <v>0</v>
      </c>
    </row>
    <row r="1954" spans="2:10" x14ac:dyDescent="0.2">
      <c r="B1954" s="93"/>
      <c r="C1954" s="97"/>
      <c r="D1954" s="93"/>
      <c r="E1954" s="98"/>
      <c r="F1954" s="100">
        <v>1950</v>
      </c>
      <c r="G1954" s="101">
        <f t="shared" si="121"/>
        <v>0</v>
      </c>
      <c r="H1954" s="101">
        <f t="shared" si="122"/>
        <v>0</v>
      </c>
      <c r="I1954" s="101">
        <f t="shared" si="123"/>
        <v>0</v>
      </c>
      <c r="J1954" s="101">
        <f t="shared" si="124"/>
        <v>0</v>
      </c>
    </row>
    <row r="1955" spans="2:10" x14ac:dyDescent="0.2">
      <c r="B1955" s="93"/>
      <c r="C1955" s="97"/>
      <c r="D1955" s="93"/>
      <c r="E1955" s="98"/>
      <c r="F1955" s="100">
        <v>1951</v>
      </c>
      <c r="G1955" s="101">
        <f t="shared" si="121"/>
        <v>0</v>
      </c>
      <c r="H1955" s="101">
        <f t="shared" si="122"/>
        <v>0</v>
      </c>
      <c r="I1955" s="101">
        <f t="shared" si="123"/>
        <v>0</v>
      </c>
      <c r="J1955" s="101">
        <f t="shared" si="124"/>
        <v>0</v>
      </c>
    </row>
    <row r="1956" spans="2:10" x14ac:dyDescent="0.2">
      <c r="B1956" s="93"/>
      <c r="C1956" s="97"/>
      <c r="D1956" s="93"/>
      <c r="E1956" s="98"/>
      <c r="F1956" s="100">
        <v>1952</v>
      </c>
      <c r="G1956" s="101">
        <f t="shared" si="121"/>
        <v>0</v>
      </c>
      <c r="H1956" s="101">
        <f t="shared" si="122"/>
        <v>0</v>
      </c>
      <c r="I1956" s="101">
        <f t="shared" si="123"/>
        <v>0</v>
      </c>
      <c r="J1956" s="101">
        <f t="shared" si="124"/>
        <v>0</v>
      </c>
    </row>
    <row r="1957" spans="2:10" x14ac:dyDescent="0.2">
      <c r="B1957" s="93"/>
      <c r="C1957" s="97"/>
      <c r="D1957" s="93"/>
      <c r="E1957" s="98"/>
      <c r="F1957" s="100">
        <v>1953</v>
      </c>
      <c r="G1957" s="101">
        <f t="shared" si="121"/>
        <v>0</v>
      </c>
      <c r="H1957" s="101">
        <f t="shared" si="122"/>
        <v>0</v>
      </c>
      <c r="I1957" s="101">
        <f t="shared" si="123"/>
        <v>0</v>
      </c>
      <c r="J1957" s="101">
        <f t="shared" si="124"/>
        <v>0</v>
      </c>
    </row>
    <row r="1958" spans="2:10" x14ac:dyDescent="0.2">
      <c r="B1958" s="93"/>
      <c r="C1958" s="97"/>
      <c r="D1958" s="93"/>
      <c r="E1958" s="98"/>
      <c r="F1958" s="100">
        <v>1954</v>
      </c>
      <c r="G1958" s="101">
        <f t="shared" si="121"/>
        <v>0</v>
      </c>
      <c r="H1958" s="101">
        <f t="shared" si="122"/>
        <v>0</v>
      </c>
      <c r="I1958" s="101">
        <f t="shared" si="123"/>
        <v>0</v>
      </c>
      <c r="J1958" s="101">
        <f t="shared" si="124"/>
        <v>0</v>
      </c>
    </row>
    <row r="1959" spans="2:10" x14ac:dyDescent="0.2">
      <c r="B1959" s="93"/>
      <c r="C1959" s="97"/>
      <c r="D1959" s="93"/>
      <c r="E1959" s="98"/>
      <c r="F1959" s="100">
        <v>1955</v>
      </c>
      <c r="G1959" s="101">
        <f t="shared" si="121"/>
        <v>0</v>
      </c>
      <c r="H1959" s="101">
        <f t="shared" si="122"/>
        <v>0</v>
      </c>
      <c r="I1959" s="101">
        <f t="shared" si="123"/>
        <v>0</v>
      </c>
      <c r="J1959" s="101">
        <f t="shared" si="124"/>
        <v>0</v>
      </c>
    </row>
    <row r="1960" spans="2:10" x14ac:dyDescent="0.2">
      <c r="B1960" s="93"/>
      <c r="C1960" s="97"/>
      <c r="D1960" s="93"/>
      <c r="E1960" s="98"/>
      <c r="F1960" s="100">
        <v>1956</v>
      </c>
      <c r="G1960" s="101">
        <f t="shared" si="121"/>
        <v>0</v>
      </c>
      <c r="H1960" s="101">
        <f t="shared" si="122"/>
        <v>0</v>
      </c>
      <c r="I1960" s="101">
        <f t="shared" si="123"/>
        <v>0</v>
      </c>
      <c r="J1960" s="101">
        <f t="shared" si="124"/>
        <v>0</v>
      </c>
    </row>
    <row r="1961" spans="2:10" x14ac:dyDescent="0.2">
      <c r="B1961" s="93"/>
      <c r="C1961" s="97"/>
      <c r="D1961" s="93"/>
      <c r="E1961" s="98"/>
      <c r="F1961" s="100">
        <v>1957</v>
      </c>
      <c r="G1961" s="101">
        <f t="shared" si="121"/>
        <v>0</v>
      </c>
      <c r="H1961" s="101">
        <f t="shared" si="122"/>
        <v>0</v>
      </c>
      <c r="I1961" s="101">
        <f t="shared" si="123"/>
        <v>0</v>
      </c>
      <c r="J1961" s="101">
        <f t="shared" si="124"/>
        <v>0</v>
      </c>
    </row>
    <row r="1962" spans="2:10" x14ac:dyDescent="0.2">
      <c r="B1962" s="93"/>
      <c r="C1962" s="97"/>
      <c r="D1962" s="93"/>
      <c r="E1962" s="98"/>
      <c r="F1962" s="100">
        <v>1958</v>
      </c>
      <c r="G1962" s="101">
        <f t="shared" si="121"/>
        <v>0</v>
      </c>
      <c r="H1962" s="101">
        <f t="shared" si="122"/>
        <v>0</v>
      </c>
      <c r="I1962" s="101">
        <f t="shared" si="123"/>
        <v>0</v>
      </c>
      <c r="J1962" s="101">
        <f t="shared" si="124"/>
        <v>0</v>
      </c>
    </row>
    <row r="1963" spans="2:10" x14ac:dyDescent="0.2">
      <c r="B1963" s="93"/>
      <c r="C1963" s="97"/>
      <c r="D1963" s="93"/>
      <c r="E1963" s="98"/>
      <c r="F1963" s="100">
        <v>1959</v>
      </c>
      <c r="G1963" s="101">
        <f t="shared" si="121"/>
        <v>0</v>
      </c>
      <c r="H1963" s="101">
        <f t="shared" si="122"/>
        <v>0</v>
      </c>
      <c r="I1963" s="101">
        <f t="shared" si="123"/>
        <v>0</v>
      </c>
      <c r="J1963" s="101">
        <f t="shared" si="124"/>
        <v>0</v>
      </c>
    </row>
    <row r="1964" spans="2:10" x14ac:dyDescent="0.2">
      <c r="B1964" s="93"/>
      <c r="C1964" s="97"/>
      <c r="D1964" s="93"/>
      <c r="E1964" s="98"/>
      <c r="F1964" s="100">
        <v>1960</v>
      </c>
      <c r="G1964" s="101">
        <f t="shared" si="121"/>
        <v>0</v>
      </c>
      <c r="H1964" s="101">
        <f t="shared" si="122"/>
        <v>0</v>
      </c>
      <c r="I1964" s="101">
        <f t="shared" si="123"/>
        <v>0</v>
      </c>
      <c r="J1964" s="101">
        <f t="shared" si="124"/>
        <v>0</v>
      </c>
    </row>
    <row r="1965" spans="2:10" x14ac:dyDescent="0.2">
      <c r="B1965" s="93"/>
      <c r="C1965" s="97"/>
      <c r="D1965" s="93"/>
      <c r="E1965" s="98"/>
      <c r="F1965" s="100">
        <v>1961</v>
      </c>
      <c r="G1965" s="101">
        <f t="shared" si="121"/>
        <v>0</v>
      </c>
      <c r="H1965" s="101">
        <f t="shared" si="122"/>
        <v>0</v>
      </c>
      <c r="I1965" s="101">
        <f t="shared" si="123"/>
        <v>0</v>
      </c>
      <c r="J1965" s="101">
        <f t="shared" si="124"/>
        <v>0</v>
      </c>
    </row>
    <row r="1966" spans="2:10" x14ac:dyDescent="0.2">
      <c r="B1966" s="93"/>
      <c r="C1966" s="97"/>
      <c r="D1966" s="93"/>
      <c r="E1966" s="98"/>
      <c r="F1966" s="100">
        <v>1962</v>
      </c>
      <c r="G1966" s="101">
        <f t="shared" si="121"/>
        <v>0</v>
      </c>
      <c r="H1966" s="101">
        <f t="shared" si="122"/>
        <v>0</v>
      </c>
      <c r="I1966" s="101">
        <f t="shared" si="123"/>
        <v>0</v>
      </c>
      <c r="J1966" s="101">
        <f t="shared" si="124"/>
        <v>0</v>
      </c>
    </row>
    <row r="1967" spans="2:10" x14ac:dyDescent="0.2">
      <c r="B1967" s="93"/>
      <c r="C1967" s="97"/>
      <c r="D1967" s="93"/>
      <c r="E1967" s="98"/>
      <c r="F1967" s="100">
        <v>1963</v>
      </c>
      <c r="G1967" s="101">
        <f t="shared" si="121"/>
        <v>0</v>
      </c>
      <c r="H1967" s="101">
        <f t="shared" si="122"/>
        <v>0</v>
      </c>
      <c r="I1967" s="101">
        <f t="shared" si="123"/>
        <v>0</v>
      </c>
      <c r="J1967" s="101">
        <f t="shared" si="124"/>
        <v>0</v>
      </c>
    </row>
    <row r="1968" spans="2:10" x14ac:dyDescent="0.2">
      <c r="B1968" s="93"/>
      <c r="C1968" s="97"/>
      <c r="D1968" s="93"/>
      <c r="E1968" s="98"/>
      <c r="F1968" s="100">
        <v>1964</v>
      </c>
      <c r="G1968" s="101">
        <f t="shared" si="121"/>
        <v>0</v>
      </c>
      <c r="H1968" s="101">
        <f t="shared" si="122"/>
        <v>0</v>
      </c>
      <c r="I1968" s="101">
        <f t="shared" si="123"/>
        <v>0</v>
      </c>
      <c r="J1968" s="101">
        <f t="shared" si="124"/>
        <v>0</v>
      </c>
    </row>
    <row r="1969" spans="2:10" x14ac:dyDescent="0.2">
      <c r="B1969" s="93"/>
      <c r="C1969" s="97"/>
      <c r="D1969" s="93"/>
      <c r="E1969" s="98"/>
      <c r="F1969" s="100">
        <v>1965</v>
      </c>
      <c r="G1969" s="101">
        <f t="shared" si="121"/>
        <v>0</v>
      </c>
      <c r="H1969" s="101">
        <f t="shared" si="122"/>
        <v>0</v>
      </c>
      <c r="I1969" s="101">
        <f t="shared" si="123"/>
        <v>0</v>
      </c>
      <c r="J1969" s="101">
        <f t="shared" si="124"/>
        <v>0</v>
      </c>
    </row>
    <row r="1970" spans="2:10" x14ac:dyDescent="0.2">
      <c r="B1970" s="93"/>
      <c r="C1970" s="97"/>
      <c r="D1970" s="93"/>
      <c r="E1970" s="98"/>
      <c r="F1970" s="100">
        <v>1966</v>
      </c>
      <c r="G1970" s="101">
        <f t="shared" si="121"/>
        <v>0</v>
      </c>
      <c r="H1970" s="101">
        <f t="shared" si="122"/>
        <v>0</v>
      </c>
      <c r="I1970" s="101">
        <f t="shared" si="123"/>
        <v>0</v>
      </c>
      <c r="J1970" s="101">
        <f t="shared" si="124"/>
        <v>0</v>
      </c>
    </row>
    <row r="1971" spans="2:10" x14ac:dyDescent="0.2">
      <c r="B1971" s="93"/>
      <c r="C1971" s="97"/>
      <c r="D1971" s="93"/>
      <c r="E1971" s="98"/>
      <c r="F1971" s="100">
        <v>1967</v>
      </c>
      <c r="G1971" s="101">
        <f t="shared" si="121"/>
        <v>0</v>
      </c>
      <c r="H1971" s="101">
        <f t="shared" si="122"/>
        <v>0</v>
      </c>
      <c r="I1971" s="101">
        <f t="shared" si="123"/>
        <v>0</v>
      </c>
      <c r="J1971" s="101">
        <f t="shared" si="124"/>
        <v>0</v>
      </c>
    </row>
    <row r="1972" spans="2:10" x14ac:dyDescent="0.2">
      <c r="B1972" s="93"/>
      <c r="C1972" s="97"/>
      <c r="D1972" s="93"/>
      <c r="E1972" s="98"/>
      <c r="F1972" s="100">
        <v>1968</v>
      </c>
      <c r="G1972" s="101">
        <f t="shared" si="121"/>
        <v>0</v>
      </c>
      <c r="H1972" s="101">
        <f t="shared" si="122"/>
        <v>0</v>
      </c>
      <c r="I1972" s="101">
        <f t="shared" si="123"/>
        <v>0</v>
      </c>
      <c r="J1972" s="101">
        <f t="shared" si="124"/>
        <v>0</v>
      </c>
    </row>
    <row r="1973" spans="2:10" x14ac:dyDescent="0.2">
      <c r="B1973" s="93"/>
      <c r="C1973" s="97"/>
      <c r="D1973" s="93"/>
      <c r="E1973" s="98"/>
      <c r="F1973" s="100">
        <v>1969</v>
      </c>
      <c r="G1973" s="101">
        <f t="shared" si="121"/>
        <v>0</v>
      </c>
      <c r="H1973" s="101">
        <f t="shared" si="122"/>
        <v>0</v>
      </c>
      <c r="I1973" s="101">
        <f t="shared" si="123"/>
        <v>0</v>
      </c>
      <c r="J1973" s="101">
        <f t="shared" si="124"/>
        <v>0</v>
      </c>
    </row>
    <row r="1974" spans="2:10" x14ac:dyDescent="0.2">
      <c r="B1974" s="93"/>
      <c r="C1974" s="97"/>
      <c r="D1974" s="93"/>
      <c r="E1974" s="98"/>
      <c r="F1974" s="100">
        <v>1970</v>
      </c>
      <c r="G1974" s="101">
        <f t="shared" si="121"/>
        <v>0</v>
      </c>
      <c r="H1974" s="101">
        <f t="shared" si="122"/>
        <v>0</v>
      </c>
      <c r="I1974" s="101">
        <f t="shared" si="123"/>
        <v>0</v>
      </c>
      <c r="J1974" s="101">
        <f t="shared" si="124"/>
        <v>0</v>
      </c>
    </row>
    <row r="1975" spans="2:10" x14ac:dyDescent="0.2">
      <c r="B1975" s="93"/>
      <c r="C1975" s="97"/>
      <c r="D1975" s="93"/>
      <c r="E1975" s="98"/>
      <c r="F1975" s="100">
        <v>1971</v>
      </c>
      <c r="G1975" s="101">
        <f t="shared" si="121"/>
        <v>0</v>
      </c>
      <c r="H1975" s="101">
        <f t="shared" si="122"/>
        <v>0</v>
      </c>
      <c r="I1975" s="101">
        <f t="shared" si="123"/>
        <v>0</v>
      </c>
      <c r="J1975" s="101">
        <f t="shared" si="124"/>
        <v>0</v>
      </c>
    </row>
    <row r="1976" spans="2:10" x14ac:dyDescent="0.2">
      <c r="B1976" s="93"/>
      <c r="C1976" s="97"/>
      <c r="D1976" s="93"/>
      <c r="E1976" s="98"/>
      <c r="F1976" s="100">
        <v>1972</v>
      </c>
      <c r="G1976" s="101">
        <f t="shared" si="121"/>
        <v>0</v>
      </c>
      <c r="H1976" s="101">
        <f t="shared" si="122"/>
        <v>0</v>
      </c>
      <c r="I1976" s="101">
        <f t="shared" si="123"/>
        <v>0</v>
      </c>
      <c r="J1976" s="101">
        <f t="shared" si="124"/>
        <v>0</v>
      </c>
    </row>
    <row r="1977" spans="2:10" x14ac:dyDescent="0.2">
      <c r="B1977" s="93"/>
      <c r="C1977" s="97"/>
      <c r="D1977" s="93"/>
      <c r="E1977" s="98"/>
      <c r="F1977" s="100">
        <v>1973</v>
      </c>
      <c r="G1977" s="101">
        <f t="shared" si="121"/>
        <v>0</v>
      </c>
      <c r="H1977" s="101">
        <f t="shared" si="122"/>
        <v>0</v>
      </c>
      <c r="I1977" s="101">
        <f t="shared" si="123"/>
        <v>0</v>
      </c>
      <c r="J1977" s="101">
        <f t="shared" si="124"/>
        <v>0</v>
      </c>
    </row>
    <row r="1978" spans="2:10" x14ac:dyDescent="0.2">
      <c r="B1978" s="93"/>
      <c r="C1978" s="97"/>
      <c r="D1978" s="93"/>
      <c r="E1978" s="98"/>
      <c r="F1978" s="100">
        <v>1974</v>
      </c>
      <c r="G1978" s="101">
        <f t="shared" si="121"/>
        <v>0</v>
      </c>
      <c r="H1978" s="101">
        <f t="shared" si="122"/>
        <v>0</v>
      </c>
      <c r="I1978" s="101">
        <f t="shared" si="123"/>
        <v>0</v>
      </c>
      <c r="J1978" s="101">
        <f t="shared" si="124"/>
        <v>0</v>
      </c>
    </row>
    <row r="1979" spans="2:10" x14ac:dyDescent="0.2">
      <c r="B1979" s="93"/>
      <c r="C1979" s="97"/>
      <c r="D1979" s="93"/>
      <c r="E1979" s="98"/>
      <c r="F1979" s="100">
        <v>1975</v>
      </c>
      <c r="G1979" s="101">
        <f t="shared" si="121"/>
        <v>0</v>
      </c>
      <c r="H1979" s="101">
        <f t="shared" si="122"/>
        <v>0</v>
      </c>
      <c r="I1979" s="101">
        <f t="shared" si="123"/>
        <v>0</v>
      </c>
      <c r="J1979" s="101">
        <f t="shared" si="124"/>
        <v>0</v>
      </c>
    </row>
    <row r="1980" spans="2:10" x14ac:dyDescent="0.2">
      <c r="B1980" s="93"/>
      <c r="C1980" s="97"/>
      <c r="D1980" s="93"/>
      <c r="E1980" s="98"/>
      <c r="F1980" s="100">
        <v>1976</v>
      </c>
      <c r="G1980" s="101">
        <f t="shared" si="121"/>
        <v>0</v>
      </c>
      <c r="H1980" s="101">
        <f t="shared" si="122"/>
        <v>0</v>
      </c>
      <c r="I1980" s="101">
        <f t="shared" si="123"/>
        <v>0</v>
      </c>
      <c r="J1980" s="101">
        <f t="shared" si="124"/>
        <v>0</v>
      </c>
    </row>
    <row r="1981" spans="2:10" x14ac:dyDescent="0.2">
      <c r="B1981" s="93"/>
      <c r="C1981" s="97"/>
      <c r="D1981" s="93"/>
      <c r="E1981" s="98"/>
      <c r="F1981" s="100">
        <v>1977</v>
      </c>
      <c r="G1981" s="101">
        <f t="shared" si="121"/>
        <v>0</v>
      </c>
      <c r="H1981" s="101">
        <f t="shared" si="122"/>
        <v>0</v>
      </c>
      <c r="I1981" s="101">
        <f t="shared" si="123"/>
        <v>0</v>
      </c>
      <c r="J1981" s="101">
        <f t="shared" si="124"/>
        <v>0</v>
      </c>
    </row>
    <row r="1982" spans="2:10" x14ac:dyDescent="0.2">
      <c r="B1982" s="93"/>
      <c r="C1982" s="97"/>
      <c r="D1982" s="93"/>
      <c r="E1982" s="98"/>
      <c r="F1982" s="100">
        <v>1978</v>
      </c>
      <c r="G1982" s="101">
        <f t="shared" si="121"/>
        <v>0</v>
      </c>
      <c r="H1982" s="101">
        <f t="shared" si="122"/>
        <v>0</v>
      </c>
      <c r="I1982" s="101">
        <f t="shared" si="123"/>
        <v>0</v>
      </c>
      <c r="J1982" s="101">
        <f t="shared" si="124"/>
        <v>0</v>
      </c>
    </row>
    <row r="1983" spans="2:10" x14ac:dyDescent="0.2">
      <c r="B1983" s="93"/>
      <c r="C1983" s="97"/>
      <c r="D1983" s="93"/>
      <c r="E1983" s="98"/>
      <c r="F1983" s="100">
        <v>1979</v>
      </c>
      <c r="G1983" s="101">
        <f t="shared" si="121"/>
        <v>0</v>
      </c>
      <c r="H1983" s="101">
        <f t="shared" si="122"/>
        <v>0</v>
      </c>
      <c r="I1983" s="101">
        <f t="shared" si="123"/>
        <v>0</v>
      </c>
      <c r="J1983" s="101">
        <f t="shared" si="124"/>
        <v>0</v>
      </c>
    </row>
    <row r="1984" spans="2:10" x14ac:dyDescent="0.2">
      <c r="B1984" s="93"/>
      <c r="C1984" s="97"/>
      <c r="D1984" s="93"/>
      <c r="E1984" s="98"/>
      <c r="F1984" s="100">
        <v>1980</v>
      </c>
      <c r="G1984" s="101">
        <f t="shared" si="121"/>
        <v>0</v>
      </c>
      <c r="H1984" s="101">
        <f t="shared" si="122"/>
        <v>0</v>
      </c>
      <c r="I1984" s="101">
        <f t="shared" si="123"/>
        <v>0</v>
      </c>
      <c r="J1984" s="101">
        <f t="shared" si="124"/>
        <v>0</v>
      </c>
    </row>
    <row r="1985" spans="2:10" x14ac:dyDescent="0.2">
      <c r="B1985" s="93"/>
      <c r="C1985" s="97"/>
      <c r="D1985" s="93"/>
      <c r="E1985" s="98"/>
      <c r="F1985" s="100">
        <v>1981</v>
      </c>
      <c r="G1985" s="101">
        <f t="shared" si="121"/>
        <v>0</v>
      </c>
      <c r="H1985" s="101">
        <f t="shared" si="122"/>
        <v>0</v>
      </c>
      <c r="I1985" s="101">
        <f t="shared" si="123"/>
        <v>0</v>
      </c>
      <c r="J1985" s="101">
        <f t="shared" si="124"/>
        <v>0</v>
      </c>
    </row>
    <row r="1986" spans="2:10" x14ac:dyDescent="0.2">
      <c r="B1986" s="93"/>
      <c r="C1986" s="97"/>
      <c r="D1986" s="93"/>
      <c r="E1986" s="98"/>
      <c r="F1986" s="100">
        <v>1982</v>
      </c>
      <c r="G1986" s="101">
        <f t="shared" si="121"/>
        <v>0</v>
      </c>
      <c r="H1986" s="101">
        <f t="shared" si="122"/>
        <v>0</v>
      </c>
      <c r="I1986" s="101">
        <f t="shared" si="123"/>
        <v>0</v>
      </c>
      <c r="J1986" s="101">
        <f t="shared" si="124"/>
        <v>0</v>
      </c>
    </row>
    <row r="1987" spans="2:10" x14ac:dyDescent="0.2">
      <c r="B1987" s="93"/>
      <c r="C1987" s="97"/>
      <c r="D1987" s="93"/>
      <c r="E1987" s="98"/>
      <c r="F1987" s="100">
        <v>1983</v>
      </c>
      <c r="G1987" s="101">
        <f t="shared" si="121"/>
        <v>0</v>
      </c>
      <c r="H1987" s="101">
        <f t="shared" si="122"/>
        <v>0</v>
      </c>
      <c r="I1987" s="101">
        <f t="shared" si="123"/>
        <v>0</v>
      </c>
      <c r="J1987" s="101">
        <f t="shared" si="124"/>
        <v>0</v>
      </c>
    </row>
    <row r="1988" spans="2:10" x14ac:dyDescent="0.2">
      <c r="B1988" s="93"/>
      <c r="C1988" s="97"/>
      <c r="D1988" s="93"/>
      <c r="E1988" s="98"/>
      <c r="F1988" s="100">
        <v>1984</v>
      </c>
      <c r="G1988" s="101">
        <f t="shared" si="121"/>
        <v>0</v>
      </c>
      <c r="H1988" s="101">
        <f t="shared" si="122"/>
        <v>0</v>
      </c>
      <c r="I1988" s="101">
        <f t="shared" si="123"/>
        <v>0</v>
      </c>
      <c r="J1988" s="101">
        <f t="shared" si="124"/>
        <v>0</v>
      </c>
    </row>
    <row r="1989" spans="2:10" x14ac:dyDescent="0.2">
      <c r="B1989" s="93"/>
      <c r="C1989" s="97"/>
      <c r="D1989" s="93"/>
      <c r="E1989" s="98"/>
      <c r="F1989" s="100">
        <v>1985</v>
      </c>
      <c r="G1989" s="101">
        <f t="shared" si="121"/>
        <v>0</v>
      </c>
      <c r="H1989" s="101">
        <f t="shared" si="122"/>
        <v>0</v>
      </c>
      <c r="I1989" s="101">
        <f t="shared" si="123"/>
        <v>0</v>
      </c>
      <c r="J1989" s="101">
        <f t="shared" si="124"/>
        <v>0</v>
      </c>
    </row>
    <row r="1990" spans="2:10" x14ac:dyDescent="0.2">
      <c r="B1990" s="93"/>
      <c r="C1990" s="97"/>
      <c r="D1990" s="93"/>
      <c r="E1990" s="98"/>
      <c r="F1990" s="100">
        <v>1986</v>
      </c>
      <c r="G1990" s="101">
        <f t="shared" ref="G1990:G2053" si="125">B1990</f>
        <v>0</v>
      </c>
      <c r="H1990" s="101">
        <f t="shared" ref="H1990:H2053" si="126">C1990</f>
        <v>0</v>
      </c>
      <c r="I1990" s="101">
        <f t="shared" ref="I1990:I2053" si="127">D1990</f>
        <v>0</v>
      </c>
      <c r="J1990" s="101">
        <f t="shared" ref="J1990:J2053" si="128">E1990</f>
        <v>0</v>
      </c>
    </row>
    <row r="1991" spans="2:10" x14ac:dyDescent="0.2">
      <c r="B1991" s="93"/>
      <c r="C1991" s="97"/>
      <c r="D1991" s="93"/>
      <c r="E1991" s="98"/>
      <c r="F1991" s="100">
        <v>1987</v>
      </c>
      <c r="G1991" s="101">
        <f t="shared" si="125"/>
        <v>0</v>
      </c>
      <c r="H1991" s="101">
        <f t="shared" si="126"/>
        <v>0</v>
      </c>
      <c r="I1991" s="101">
        <f t="shared" si="127"/>
        <v>0</v>
      </c>
      <c r="J1991" s="101">
        <f t="shared" si="128"/>
        <v>0</v>
      </c>
    </row>
    <row r="1992" spans="2:10" x14ac:dyDescent="0.2">
      <c r="B1992" s="93"/>
      <c r="C1992" s="97"/>
      <c r="D1992" s="93"/>
      <c r="E1992" s="98"/>
      <c r="F1992" s="100">
        <v>1988</v>
      </c>
      <c r="G1992" s="101">
        <f t="shared" si="125"/>
        <v>0</v>
      </c>
      <c r="H1992" s="101">
        <f t="shared" si="126"/>
        <v>0</v>
      </c>
      <c r="I1992" s="101">
        <f t="shared" si="127"/>
        <v>0</v>
      </c>
      <c r="J1992" s="101">
        <f t="shared" si="128"/>
        <v>0</v>
      </c>
    </row>
    <row r="1993" spans="2:10" x14ac:dyDescent="0.2">
      <c r="B1993" s="93"/>
      <c r="C1993" s="97"/>
      <c r="D1993" s="93"/>
      <c r="E1993" s="98"/>
      <c r="F1993" s="100">
        <v>1989</v>
      </c>
      <c r="G1993" s="101">
        <f t="shared" si="125"/>
        <v>0</v>
      </c>
      <c r="H1993" s="101">
        <f t="shared" si="126"/>
        <v>0</v>
      </c>
      <c r="I1993" s="101">
        <f t="shared" si="127"/>
        <v>0</v>
      </c>
      <c r="J1993" s="101">
        <f t="shared" si="128"/>
        <v>0</v>
      </c>
    </row>
    <row r="1994" spans="2:10" x14ac:dyDescent="0.2">
      <c r="B1994" s="93"/>
      <c r="C1994" s="97"/>
      <c r="D1994" s="93"/>
      <c r="E1994" s="98"/>
      <c r="F1994" s="100">
        <v>1990</v>
      </c>
      <c r="G1994" s="101">
        <f t="shared" si="125"/>
        <v>0</v>
      </c>
      <c r="H1994" s="101">
        <f t="shared" si="126"/>
        <v>0</v>
      </c>
      <c r="I1994" s="101">
        <f t="shared" si="127"/>
        <v>0</v>
      </c>
      <c r="J1994" s="101">
        <f t="shared" si="128"/>
        <v>0</v>
      </c>
    </row>
    <row r="1995" spans="2:10" x14ac:dyDescent="0.2">
      <c r="B1995" s="93"/>
      <c r="C1995" s="97"/>
      <c r="D1995" s="93"/>
      <c r="E1995" s="98"/>
      <c r="F1995" s="100">
        <v>1991</v>
      </c>
      <c r="G1995" s="101">
        <f t="shared" si="125"/>
        <v>0</v>
      </c>
      <c r="H1995" s="101">
        <f t="shared" si="126"/>
        <v>0</v>
      </c>
      <c r="I1995" s="101">
        <f t="shared" si="127"/>
        <v>0</v>
      </c>
      <c r="J1995" s="101">
        <f t="shared" si="128"/>
        <v>0</v>
      </c>
    </row>
    <row r="1996" spans="2:10" x14ac:dyDescent="0.2">
      <c r="B1996" s="93"/>
      <c r="C1996" s="97"/>
      <c r="D1996" s="93"/>
      <c r="E1996" s="98"/>
      <c r="F1996" s="100">
        <v>1992</v>
      </c>
      <c r="G1996" s="101">
        <f t="shared" si="125"/>
        <v>0</v>
      </c>
      <c r="H1996" s="101">
        <f t="shared" si="126"/>
        <v>0</v>
      </c>
      <c r="I1996" s="101">
        <f t="shared" si="127"/>
        <v>0</v>
      </c>
      <c r="J1996" s="101">
        <f t="shared" si="128"/>
        <v>0</v>
      </c>
    </row>
    <row r="1997" spans="2:10" x14ac:dyDescent="0.2">
      <c r="B1997" s="93"/>
      <c r="C1997" s="97"/>
      <c r="D1997" s="93"/>
      <c r="E1997" s="98"/>
      <c r="F1997" s="100">
        <v>1993</v>
      </c>
      <c r="G1997" s="101">
        <f t="shared" si="125"/>
        <v>0</v>
      </c>
      <c r="H1997" s="101">
        <f t="shared" si="126"/>
        <v>0</v>
      </c>
      <c r="I1997" s="101">
        <f t="shared" si="127"/>
        <v>0</v>
      </c>
      <c r="J1997" s="101">
        <f t="shared" si="128"/>
        <v>0</v>
      </c>
    </row>
    <row r="1998" spans="2:10" x14ac:dyDescent="0.2">
      <c r="B1998" s="93"/>
      <c r="C1998" s="97"/>
      <c r="D1998" s="93"/>
      <c r="E1998" s="98"/>
      <c r="F1998" s="100">
        <v>1994</v>
      </c>
      <c r="G1998" s="101">
        <f t="shared" si="125"/>
        <v>0</v>
      </c>
      <c r="H1998" s="101">
        <f t="shared" si="126"/>
        <v>0</v>
      </c>
      <c r="I1998" s="101">
        <f t="shared" si="127"/>
        <v>0</v>
      </c>
      <c r="J1998" s="101">
        <f t="shared" si="128"/>
        <v>0</v>
      </c>
    </row>
    <row r="1999" spans="2:10" x14ac:dyDescent="0.2">
      <c r="B1999" s="93"/>
      <c r="C1999" s="97"/>
      <c r="D1999" s="93"/>
      <c r="E1999" s="98"/>
      <c r="F1999" s="100">
        <v>1995</v>
      </c>
      <c r="G1999" s="101">
        <f t="shared" si="125"/>
        <v>0</v>
      </c>
      <c r="H1999" s="101">
        <f t="shared" si="126"/>
        <v>0</v>
      </c>
      <c r="I1999" s="101">
        <f t="shared" si="127"/>
        <v>0</v>
      </c>
      <c r="J1999" s="101">
        <f t="shared" si="128"/>
        <v>0</v>
      </c>
    </row>
    <row r="2000" spans="2:10" x14ac:dyDescent="0.2">
      <c r="B2000" s="93"/>
      <c r="C2000" s="97"/>
      <c r="D2000" s="93"/>
      <c r="E2000" s="98"/>
      <c r="F2000" s="100">
        <v>1996</v>
      </c>
      <c r="G2000" s="101">
        <f t="shared" si="125"/>
        <v>0</v>
      </c>
      <c r="H2000" s="101">
        <f t="shared" si="126"/>
        <v>0</v>
      </c>
      <c r="I2000" s="101">
        <f t="shared" si="127"/>
        <v>0</v>
      </c>
      <c r="J2000" s="101">
        <f t="shared" si="128"/>
        <v>0</v>
      </c>
    </row>
    <row r="2001" spans="2:10" x14ac:dyDescent="0.2">
      <c r="B2001" s="93"/>
      <c r="C2001" s="97"/>
      <c r="D2001" s="93"/>
      <c r="E2001" s="98"/>
      <c r="F2001" s="100">
        <v>1997</v>
      </c>
      <c r="G2001" s="101">
        <f t="shared" si="125"/>
        <v>0</v>
      </c>
      <c r="H2001" s="101">
        <f t="shared" si="126"/>
        <v>0</v>
      </c>
      <c r="I2001" s="101">
        <f t="shared" si="127"/>
        <v>0</v>
      </c>
      <c r="J2001" s="101">
        <f t="shared" si="128"/>
        <v>0</v>
      </c>
    </row>
    <row r="2002" spans="2:10" x14ac:dyDescent="0.2">
      <c r="B2002" s="93"/>
      <c r="C2002" s="97"/>
      <c r="D2002" s="93"/>
      <c r="E2002" s="98"/>
      <c r="F2002" s="100">
        <v>1998</v>
      </c>
      <c r="G2002" s="101">
        <f t="shared" si="125"/>
        <v>0</v>
      </c>
      <c r="H2002" s="101">
        <f t="shared" si="126"/>
        <v>0</v>
      </c>
      <c r="I2002" s="101">
        <f t="shared" si="127"/>
        <v>0</v>
      </c>
      <c r="J2002" s="101">
        <f t="shared" si="128"/>
        <v>0</v>
      </c>
    </row>
    <row r="2003" spans="2:10" x14ac:dyDescent="0.2">
      <c r="B2003" s="93"/>
      <c r="C2003" s="97"/>
      <c r="D2003" s="93"/>
      <c r="E2003" s="98"/>
      <c r="F2003" s="100">
        <v>1999</v>
      </c>
      <c r="G2003" s="101">
        <f t="shared" si="125"/>
        <v>0</v>
      </c>
      <c r="H2003" s="101">
        <f t="shared" si="126"/>
        <v>0</v>
      </c>
      <c r="I2003" s="101">
        <f t="shared" si="127"/>
        <v>0</v>
      </c>
      <c r="J2003" s="101">
        <f t="shared" si="128"/>
        <v>0</v>
      </c>
    </row>
    <row r="2004" spans="2:10" x14ac:dyDescent="0.2">
      <c r="B2004" s="93"/>
      <c r="C2004" s="97"/>
      <c r="D2004" s="93"/>
      <c r="E2004" s="98"/>
      <c r="F2004" s="100">
        <v>2000</v>
      </c>
      <c r="G2004" s="101">
        <f t="shared" si="125"/>
        <v>0</v>
      </c>
      <c r="H2004" s="101">
        <f t="shared" si="126"/>
        <v>0</v>
      </c>
      <c r="I2004" s="101">
        <f t="shared" si="127"/>
        <v>0</v>
      </c>
      <c r="J2004" s="101">
        <f t="shared" si="128"/>
        <v>0</v>
      </c>
    </row>
    <row r="2005" spans="2:10" x14ac:dyDescent="0.2">
      <c r="B2005" s="93"/>
      <c r="C2005" s="97"/>
      <c r="D2005" s="93"/>
      <c r="E2005" s="98"/>
      <c r="F2005" s="100">
        <v>2001</v>
      </c>
      <c r="G2005" s="101">
        <f t="shared" si="125"/>
        <v>0</v>
      </c>
      <c r="H2005" s="101">
        <f t="shared" si="126"/>
        <v>0</v>
      </c>
      <c r="I2005" s="101">
        <f t="shared" si="127"/>
        <v>0</v>
      </c>
      <c r="J2005" s="101">
        <f t="shared" si="128"/>
        <v>0</v>
      </c>
    </row>
    <row r="2006" spans="2:10" x14ac:dyDescent="0.2">
      <c r="B2006" s="93"/>
      <c r="C2006" s="97"/>
      <c r="D2006" s="93"/>
      <c r="E2006" s="98"/>
      <c r="F2006" s="100">
        <v>2002</v>
      </c>
      <c r="G2006" s="101">
        <f t="shared" si="125"/>
        <v>0</v>
      </c>
      <c r="H2006" s="101">
        <f t="shared" si="126"/>
        <v>0</v>
      </c>
      <c r="I2006" s="101">
        <f t="shared" si="127"/>
        <v>0</v>
      </c>
      <c r="J2006" s="101">
        <f t="shared" si="128"/>
        <v>0</v>
      </c>
    </row>
    <row r="2007" spans="2:10" x14ac:dyDescent="0.2">
      <c r="B2007" s="93"/>
      <c r="C2007" s="97"/>
      <c r="D2007" s="93"/>
      <c r="E2007" s="98"/>
      <c r="F2007" s="100">
        <v>2003</v>
      </c>
      <c r="G2007" s="101">
        <f t="shared" si="125"/>
        <v>0</v>
      </c>
      <c r="H2007" s="101">
        <f t="shared" si="126"/>
        <v>0</v>
      </c>
      <c r="I2007" s="101">
        <f t="shared" si="127"/>
        <v>0</v>
      </c>
      <c r="J2007" s="101">
        <f t="shared" si="128"/>
        <v>0</v>
      </c>
    </row>
    <row r="2008" spans="2:10" x14ac:dyDescent="0.2">
      <c r="B2008" s="93"/>
      <c r="C2008" s="97"/>
      <c r="D2008" s="93"/>
      <c r="E2008" s="98"/>
      <c r="F2008" s="100">
        <v>2004</v>
      </c>
      <c r="G2008" s="101">
        <f t="shared" si="125"/>
        <v>0</v>
      </c>
      <c r="H2008" s="101">
        <f t="shared" si="126"/>
        <v>0</v>
      </c>
      <c r="I2008" s="101">
        <f t="shared" si="127"/>
        <v>0</v>
      </c>
      <c r="J2008" s="101">
        <f t="shared" si="128"/>
        <v>0</v>
      </c>
    </row>
    <row r="2009" spans="2:10" x14ac:dyDescent="0.2">
      <c r="B2009" s="93"/>
      <c r="C2009" s="97"/>
      <c r="D2009" s="93"/>
      <c r="E2009" s="98"/>
      <c r="F2009" s="100">
        <v>2005</v>
      </c>
      <c r="G2009" s="101">
        <f t="shared" si="125"/>
        <v>0</v>
      </c>
      <c r="H2009" s="101">
        <f t="shared" si="126"/>
        <v>0</v>
      </c>
      <c r="I2009" s="101">
        <f t="shared" si="127"/>
        <v>0</v>
      </c>
      <c r="J2009" s="101">
        <f t="shared" si="128"/>
        <v>0</v>
      </c>
    </row>
    <row r="2010" spans="2:10" x14ac:dyDescent="0.2">
      <c r="B2010" s="93"/>
      <c r="C2010" s="97"/>
      <c r="D2010" s="93"/>
      <c r="E2010" s="98"/>
      <c r="F2010" s="100">
        <v>2006</v>
      </c>
      <c r="G2010" s="101">
        <f t="shared" si="125"/>
        <v>0</v>
      </c>
      <c r="H2010" s="101">
        <f t="shared" si="126"/>
        <v>0</v>
      </c>
      <c r="I2010" s="101">
        <f t="shared" si="127"/>
        <v>0</v>
      </c>
      <c r="J2010" s="101">
        <f t="shared" si="128"/>
        <v>0</v>
      </c>
    </row>
    <row r="2011" spans="2:10" x14ac:dyDescent="0.2">
      <c r="B2011" s="93"/>
      <c r="C2011" s="97"/>
      <c r="D2011" s="93"/>
      <c r="E2011" s="98"/>
      <c r="F2011" s="100">
        <v>2007</v>
      </c>
      <c r="G2011" s="101">
        <f t="shared" si="125"/>
        <v>0</v>
      </c>
      <c r="H2011" s="101">
        <f t="shared" si="126"/>
        <v>0</v>
      </c>
      <c r="I2011" s="101">
        <f t="shared" si="127"/>
        <v>0</v>
      </c>
      <c r="J2011" s="101">
        <f t="shared" si="128"/>
        <v>0</v>
      </c>
    </row>
    <row r="2012" spans="2:10" x14ac:dyDescent="0.2">
      <c r="B2012" s="93"/>
      <c r="C2012" s="97"/>
      <c r="D2012" s="93"/>
      <c r="E2012" s="98"/>
      <c r="F2012" s="100">
        <v>2008</v>
      </c>
      <c r="G2012" s="101">
        <f t="shared" si="125"/>
        <v>0</v>
      </c>
      <c r="H2012" s="101">
        <f t="shared" si="126"/>
        <v>0</v>
      </c>
      <c r="I2012" s="101">
        <f t="shared" si="127"/>
        <v>0</v>
      </c>
      <c r="J2012" s="101">
        <f t="shared" si="128"/>
        <v>0</v>
      </c>
    </row>
    <row r="2013" spans="2:10" x14ac:dyDescent="0.2">
      <c r="B2013" s="93"/>
      <c r="C2013" s="97"/>
      <c r="D2013" s="93"/>
      <c r="E2013" s="98"/>
      <c r="F2013" s="100">
        <v>2009</v>
      </c>
      <c r="G2013" s="101">
        <f t="shared" si="125"/>
        <v>0</v>
      </c>
      <c r="H2013" s="101">
        <f t="shared" si="126"/>
        <v>0</v>
      </c>
      <c r="I2013" s="101">
        <f t="shared" si="127"/>
        <v>0</v>
      </c>
      <c r="J2013" s="101">
        <f t="shared" si="128"/>
        <v>0</v>
      </c>
    </row>
    <row r="2014" spans="2:10" x14ac:dyDescent="0.2">
      <c r="B2014" s="93"/>
      <c r="C2014" s="97"/>
      <c r="D2014" s="93"/>
      <c r="E2014" s="98"/>
      <c r="F2014" s="100">
        <v>2010</v>
      </c>
      <c r="G2014" s="101">
        <f t="shared" si="125"/>
        <v>0</v>
      </c>
      <c r="H2014" s="101">
        <f t="shared" si="126"/>
        <v>0</v>
      </c>
      <c r="I2014" s="101">
        <f t="shared" si="127"/>
        <v>0</v>
      </c>
      <c r="J2014" s="101">
        <f t="shared" si="128"/>
        <v>0</v>
      </c>
    </row>
    <row r="2015" spans="2:10" x14ac:dyDescent="0.2">
      <c r="B2015" s="93"/>
      <c r="C2015" s="97"/>
      <c r="D2015" s="93"/>
      <c r="E2015" s="98"/>
      <c r="F2015" s="100">
        <v>2011</v>
      </c>
      <c r="G2015" s="101">
        <f t="shared" si="125"/>
        <v>0</v>
      </c>
      <c r="H2015" s="101">
        <f t="shared" si="126"/>
        <v>0</v>
      </c>
      <c r="I2015" s="101">
        <f t="shared" si="127"/>
        <v>0</v>
      </c>
      <c r="J2015" s="101">
        <f t="shared" si="128"/>
        <v>0</v>
      </c>
    </row>
    <row r="2016" spans="2:10" x14ac:dyDescent="0.2">
      <c r="B2016" s="93"/>
      <c r="C2016" s="97"/>
      <c r="D2016" s="93"/>
      <c r="E2016" s="98"/>
      <c r="F2016" s="100">
        <v>2012</v>
      </c>
      <c r="G2016" s="101">
        <f t="shared" si="125"/>
        <v>0</v>
      </c>
      <c r="H2016" s="101">
        <f t="shared" si="126"/>
        <v>0</v>
      </c>
      <c r="I2016" s="101">
        <f t="shared" si="127"/>
        <v>0</v>
      </c>
      <c r="J2016" s="101">
        <f t="shared" si="128"/>
        <v>0</v>
      </c>
    </row>
    <row r="2017" spans="2:10" x14ac:dyDescent="0.2">
      <c r="B2017" s="93"/>
      <c r="C2017" s="97"/>
      <c r="D2017" s="93"/>
      <c r="E2017" s="98"/>
      <c r="F2017" s="100">
        <v>2013</v>
      </c>
      <c r="G2017" s="101">
        <f t="shared" si="125"/>
        <v>0</v>
      </c>
      <c r="H2017" s="101">
        <f t="shared" si="126"/>
        <v>0</v>
      </c>
      <c r="I2017" s="101">
        <f t="shared" si="127"/>
        <v>0</v>
      </c>
      <c r="J2017" s="101">
        <f t="shared" si="128"/>
        <v>0</v>
      </c>
    </row>
    <row r="2018" spans="2:10" x14ac:dyDescent="0.2">
      <c r="B2018" s="93"/>
      <c r="C2018" s="97"/>
      <c r="D2018" s="93"/>
      <c r="E2018" s="98"/>
      <c r="F2018" s="100">
        <v>2014</v>
      </c>
      <c r="G2018" s="101">
        <f t="shared" si="125"/>
        <v>0</v>
      </c>
      <c r="H2018" s="101">
        <f t="shared" si="126"/>
        <v>0</v>
      </c>
      <c r="I2018" s="101">
        <f t="shared" si="127"/>
        <v>0</v>
      </c>
      <c r="J2018" s="101">
        <f t="shared" si="128"/>
        <v>0</v>
      </c>
    </row>
    <row r="2019" spans="2:10" x14ac:dyDescent="0.2">
      <c r="B2019" s="93"/>
      <c r="C2019" s="97"/>
      <c r="D2019" s="93"/>
      <c r="E2019" s="98"/>
      <c r="F2019" s="100">
        <v>2015</v>
      </c>
      <c r="G2019" s="101">
        <f t="shared" si="125"/>
        <v>0</v>
      </c>
      <c r="H2019" s="101">
        <f t="shared" si="126"/>
        <v>0</v>
      </c>
      <c r="I2019" s="101">
        <f t="shared" si="127"/>
        <v>0</v>
      </c>
      <c r="J2019" s="101">
        <f t="shared" si="128"/>
        <v>0</v>
      </c>
    </row>
    <row r="2020" spans="2:10" x14ac:dyDescent="0.2">
      <c r="B2020" s="93"/>
      <c r="C2020" s="97"/>
      <c r="D2020" s="93"/>
      <c r="E2020" s="98"/>
      <c r="F2020" s="100">
        <v>2016</v>
      </c>
      <c r="G2020" s="101">
        <f t="shared" si="125"/>
        <v>0</v>
      </c>
      <c r="H2020" s="101">
        <f t="shared" si="126"/>
        <v>0</v>
      </c>
      <c r="I2020" s="101">
        <f t="shared" si="127"/>
        <v>0</v>
      </c>
      <c r="J2020" s="101">
        <f t="shared" si="128"/>
        <v>0</v>
      </c>
    </row>
    <row r="2021" spans="2:10" x14ac:dyDescent="0.2">
      <c r="B2021" s="93"/>
      <c r="C2021" s="97"/>
      <c r="D2021" s="93"/>
      <c r="E2021" s="98"/>
      <c r="F2021" s="100">
        <v>2017</v>
      </c>
      <c r="G2021" s="101">
        <f t="shared" si="125"/>
        <v>0</v>
      </c>
      <c r="H2021" s="101">
        <f t="shared" si="126"/>
        <v>0</v>
      </c>
      <c r="I2021" s="101">
        <f t="shared" si="127"/>
        <v>0</v>
      </c>
      <c r="J2021" s="101">
        <f t="shared" si="128"/>
        <v>0</v>
      </c>
    </row>
    <row r="2022" spans="2:10" x14ac:dyDescent="0.2">
      <c r="B2022" s="93"/>
      <c r="C2022" s="97"/>
      <c r="D2022" s="93"/>
      <c r="E2022" s="98"/>
      <c r="F2022" s="100">
        <v>2018</v>
      </c>
      <c r="G2022" s="101">
        <f t="shared" si="125"/>
        <v>0</v>
      </c>
      <c r="H2022" s="101">
        <f t="shared" si="126"/>
        <v>0</v>
      </c>
      <c r="I2022" s="101">
        <f t="shared" si="127"/>
        <v>0</v>
      </c>
      <c r="J2022" s="101">
        <f t="shared" si="128"/>
        <v>0</v>
      </c>
    </row>
    <row r="2023" spans="2:10" x14ac:dyDescent="0.2">
      <c r="B2023" s="93"/>
      <c r="C2023" s="97"/>
      <c r="D2023" s="93"/>
      <c r="E2023" s="98"/>
      <c r="F2023" s="100">
        <v>2019</v>
      </c>
      <c r="G2023" s="101">
        <f t="shared" si="125"/>
        <v>0</v>
      </c>
      <c r="H2023" s="101">
        <f t="shared" si="126"/>
        <v>0</v>
      </c>
      <c r="I2023" s="101">
        <f t="shared" si="127"/>
        <v>0</v>
      </c>
      <c r="J2023" s="101">
        <f t="shared" si="128"/>
        <v>0</v>
      </c>
    </row>
    <row r="2024" spans="2:10" x14ac:dyDescent="0.2">
      <c r="B2024" s="93"/>
      <c r="C2024" s="97"/>
      <c r="D2024" s="93"/>
      <c r="E2024" s="98"/>
      <c r="F2024" s="100">
        <v>2020</v>
      </c>
      <c r="G2024" s="101">
        <f t="shared" si="125"/>
        <v>0</v>
      </c>
      <c r="H2024" s="101">
        <f t="shared" si="126"/>
        <v>0</v>
      </c>
      <c r="I2024" s="101">
        <f t="shared" si="127"/>
        <v>0</v>
      </c>
      <c r="J2024" s="101">
        <f t="shared" si="128"/>
        <v>0</v>
      </c>
    </row>
    <row r="2025" spans="2:10" x14ac:dyDescent="0.2">
      <c r="B2025" s="93"/>
      <c r="C2025" s="97"/>
      <c r="D2025" s="93"/>
      <c r="E2025" s="98"/>
      <c r="F2025" s="100">
        <v>2021</v>
      </c>
      <c r="G2025" s="101">
        <f t="shared" si="125"/>
        <v>0</v>
      </c>
      <c r="H2025" s="101">
        <f t="shared" si="126"/>
        <v>0</v>
      </c>
      <c r="I2025" s="101">
        <f t="shared" si="127"/>
        <v>0</v>
      </c>
      <c r="J2025" s="101">
        <f t="shared" si="128"/>
        <v>0</v>
      </c>
    </row>
    <row r="2026" spans="2:10" x14ac:dyDescent="0.2">
      <c r="B2026" s="93"/>
      <c r="C2026" s="97"/>
      <c r="D2026" s="93"/>
      <c r="E2026" s="98"/>
      <c r="F2026" s="100">
        <v>2022</v>
      </c>
      <c r="G2026" s="101">
        <f t="shared" si="125"/>
        <v>0</v>
      </c>
      <c r="H2026" s="101">
        <f t="shared" si="126"/>
        <v>0</v>
      </c>
      <c r="I2026" s="101">
        <f t="shared" si="127"/>
        <v>0</v>
      </c>
      <c r="J2026" s="101">
        <f t="shared" si="128"/>
        <v>0</v>
      </c>
    </row>
    <row r="2027" spans="2:10" x14ac:dyDescent="0.2">
      <c r="B2027" s="93"/>
      <c r="C2027" s="97"/>
      <c r="D2027" s="93"/>
      <c r="E2027" s="98"/>
      <c r="F2027" s="100">
        <v>2023</v>
      </c>
      <c r="G2027" s="101">
        <f t="shared" si="125"/>
        <v>0</v>
      </c>
      <c r="H2027" s="101">
        <f t="shared" si="126"/>
        <v>0</v>
      </c>
      <c r="I2027" s="101">
        <f t="shared" si="127"/>
        <v>0</v>
      </c>
      <c r="J2027" s="101">
        <f t="shared" si="128"/>
        <v>0</v>
      </c>
    </row>
    <row r="2028" spans="2:10" x14ac:dyDescent="0.2">
      <c r="B2028" s="93"/>
      <c r="C2028" s="97"/>
      <c r="D2028" s="93"/>
      <c r="E2028" s="98"/>
      <c r="F2028" s="100">
        <v>2024</v>
      </c>
      <c r="G2028" s="101">
        <f t="shared" si="125"/>
        <v>0</v>
      </c>
      <c r="H2028" s="101">
        <f t="shared" si="126"/>
        <v>0</v>
      </c>
      <c r="I2028" s="101">
        <f t="shared" si="127"/>
        <v>0</v>
      </c>
      <c r="J2028" s="101">
        <f t="shared" si="128"/>
        <v>0</v>
      </c>
    </row>
    <row r="2029" spans="2:10" x14ac:dyDescent="0.2">
      <c r="B2029" s="93"/>
      <c r="C2029" s="97"/>
      <c r="D2029" s="93"/>
      <c r="E2029" s="98"/>
      <c r="F2029" s="100">
        <v>2025</v>
      </c>
      <c r="G2029" s="101">
        <f t="shared" si="125"/>
        <v>0</v>
      </c>
      <c r="H2029" s="101">
        <f t="shared" si="126"/>
        <v>0</v>
      </c>
      <c r="I2029" s="101">
        <f t="shared" si="127"/>
        <v>0</v>
      </c>
      <c r="J2029" s="101">
        <f t="shared" si="128"/>
        <v>0</v>
      </c>
    </row>
    <row r="2030" spans="2:10" x14ac:dyDescent="0.2">
      <c r="B2030" s="93"/>
      <c r="C2030" s="97"/>
      <c r="D2030" s="93"/>
      <c r="E2030" s="98"/>
      <c r="F2030" s="100">
        <v>2026</v>
      </c>
      <c r="G2030" s="101">
        <f t="shared" si="125"/>
        <v>0</v>
      </c>
      <c r="H2030" s="101">
        <f t="shared" si="126"/>
        <v>0</v>
      </c>
      <c r="I2030" s="101">
        <f t="shared" si="127"/>
        <v>0</v>
      </c>
      <c r="J2030" s="101">
        <f t="shared" si="128"/>
        <v>0</v>
      </c>
    </row>
    <row r="2031" spans="2:10" x14ac:dyDescent="0.2">
      <c r="B2031" s="93"/>
      <c r="C2031" s="97"/>
      <c r="D2031" s="93"/>
      <c r="E2031" s="98"/>
      <c r="F2031" s="100">
        <v>2027</v>
      </c>
      <c r="G2031" s="101">
        <f t="shared" si="125"/>
        <v>0</v>
      </c>
      <c r="H2031" s="101">
        <f t="shared" si="126"/>
        <v>0</v>
      </c>
      <c r="I2031" s="101">
        <f t="shared" si="127"/>
        <v>0</v>
      </c>
      <c r="J2031" s="101">
        <f t="shared" si="128"/>
        <v>0</v>
      </c>
    </row>
    <row r="2032" spans="2:10" x14ac:dyDescent="0.2">
      <c r="B2032" s="93"/>
      <c r="C2032" s="97"/>
      <c r="D2032" s="93"/>
      <c r="E2032" s="98"/>
      <c r="F2032" s="100">
        <v>2028</v>
      </c>
      <c r="G2032" s="101">
        <f t="shared" si="125"/>
        <v>0</v>
      </c>
      <c r="H2032" s="101">
        <f t="shared" si="126"/>
        <v>0</v>
      </c>
      <c r="I2032" s="101">
        <f t="shared" si="127"/>
        <v>0</v>
      </c>
      <c r="J2032" s="101">
        <f t="shared" si="128"/>
        <v>0</v>
      </c>
    </row>
    <row r="2033" spans="2:10" x14ac:dyDescent="0.2">
      <c r="B2033" s="93"/>
      <c r="C2033" s="97"/>
      <c r="D2033" s="93"/>
      <c r="E2033" s="98"/>
      <c r="F2033" s="100">
        <v>2029</v>
      </c>
      <c r="G2033" s="101">
        <f t="shared" si="125"/>
        <v>0</v>
      </c>
      <c r="H2033" s="101">
        <f t="shared" si="126"/>
        <v>0</v>
      </c>
      <c r="I2033" s="101">
        <f t="shared" si="127"/>
        <v>0</v>
      </c>
      <c r="J2033" s="101">
        <f t="shared" si="128"/>
        <v>0</v>
      </c>
    </row>
    <row r="2034" spans="2:10" x14ac:dyDescent="0.2">
      <c r="B2034" s="93"/>
      <c r="C2034" s="97"/>
      <c r="D2034" s="93"/>
      <c r="E2034" s="98"/>
      <c r="F2034" s="100">
        <v>2030</v>
      </c>
      <c r="G2034" s="101">
        <f t="shared" si="125"/>
        <v>0</v>
      </c>
      <c r="H2034" s="101">
        <f t="shared" si="126"/>
        <v>0</v>
      </c>
      <c r="I2034" s="101">
        <f t="shared" si="127"/>
        <v>0</v>
      </c>
      <c r="J2034" s="101">
        <f t="shared" si="128"/>
        <v>0</v>
      </c>
    </row>
    <row r="2035" spans="2:10" x14ac:dyDescent="0.2">
      <c r="B2035" s="93"/>
      <c r="C2035" s="97"/>
      <c r="D2035" s="93"/>
      <c r="E2035" s="98"/>
      <c r="F2035" s="100">
        <v>2031</v>
      </c>
      <c r="G2035" s="101">
        <f t="shared" si="125"/>
        <v>0</v>
      </c>
      <c r="H2035" s="101">
        <f t="shared" si="126"/>
        <v>0</v>
      </c>
      <c r="I2035" s="101">
        <f t="shared" si="127"/>
        <v>0</v>
      </c>
      <c r="J2035" s="101">
        <f t="shared" si="128"/>
        <v>0</v>
      </c>
    </row>
    <row r="2036" spans="2:10" x14ac:dyDescent="0.2">
      <c r="B2036" s="93"/>
      <c r="C2036" s="97"/>
      <c r="D2036" s="93"/>
      <c r="E2036" s="98"/>
      <c r="F2036" s="100">
        <v>2032</v>
      </c>
      <c r="G2036" s="101">
        <f t="shared" si="125"/>
        <v>0</v>
      </c>
      <c r="H2036" s="101">
        <f t="shared" si="126"/>
        <v>0</v>
      </c>
      <c r="I2036" s="101">
        <f t="shared" si="127"/>
        <v>0</v>
      </c>
      <c r="J2036" s="101">
        <f t="shared" si="128"/>
        <v>0</v>
      </c>
    </row>
    <row r="2037" spans="2:10" x14ac:dyDescent="0.2">
      <c r="B2037" s="93"/>
      <c r="C2037" s="97"/>
      <c r="D2037" s="93"/>
      <c r="E2037" s="98"/>
      <c r="F2037" s="100">
        <v>2033</v>
      </c>
      <c r="G2037" s="101">
        <f t="shared" si="125"/>
        <v>0</v>
      </c>
      <c r="H2037" s="101">
        <f t="shared" si="126"/>
        <v>0</v>
      </c>
      <c r="I2037" s="101">
        <f t="shared" si="127"/>
        <v>0</v>
      </c>
      <c r="J2037" s="101">
        <f t="shared" si="128"/>
        <v>0</v>
      </c>
    </row>
    <row r="2038" spans="2:10" x14ac:dyDescent="0.2">
      <c r="B2038" s="93"/>
      <c r="C2038" s="97"/>
      <c r="D2038" s="93"/>
      <c r="E2038" s="98"/>
      <c r="F2038" s="100">
        <v>2034</v>
      </c>
      <c r="G2038" s="101">
        <f t="shared" si="125"/>
        <v>0</v>
      </c>
      <c r="H2038" s="101">
        <f t="shared" si="126"/>
        <v>0</v>
      </c>
      <c r="I2038" s="101">
        <f t="shared" si="127"/>
        <v>0</v>
      </c>
      <c r="J2038" s="101">
        <f t="shared" si="128"/>
        <v>0</v>
      </c>
    </row>
    <row r="2039" spans="2:10" x14ac:dyDescent="0.2">
      <c r="B2039" s="93"/>
      <c r="C2039" s="97"/>
      <c r="D2039" s="93"/>
      <c r="E2039" s="98"/>
      <c r="F2039" s="100">
        <v>2035</v>
      </c>
      <c r="G2039" s="101">
        <f t="shared" si="125"/>
        <v>0</v>
      </c>
      <c r="H2039" s="101">
        <f t="shared" si="126"/>
        <v>0</v>
      </c>
      <c r="I2039" s="101">
        <f t="shared" si="127"/>
        <v>0</v>
      </c>
      <c r="J2039" s="101">
        <f t="shared" si="128"/>
        <v>0</v>
      </c>
    </row>
    <row r="2040" spans="2:10" x14ac:dyDescent="0.2">
      <c r="B2040" s="93"/>
      <c r="C2040" s="97"/>
      <c r="D2040" s="93"/>
      <c r="E2040" s="98"/>
      <c r="F2040" s="100">
        <v>2036</v>
      </c>
      <c r="G2040" s="101">
        <f t="shared" si="125"/>
        <v>0</v>
      </c>
      <c r="H2040" s="101">
        <f t="shared" si="126"/>
        <v>0</v>
      </c>
      <c r="I2040" s="101">
        <f t="shared" si="127"/>
        <v>0</v>
      </c>
      <c r="J2040" s="101">
        <f t="shared" si="128"/>
        <v>0</v>
      </c>
    </row>
    <row r="2041" spans="2:10" x14ac:dyDescent="0.2">
      <c r="B2041" s="93"/>
      <c r="C2041" s="97"/>
      <c r="D2041" s="93"/>
      <c r="E2041" s="98"/>
      <c r="F2041" s="100">
        <v>2037</v>
      </c>
      <c r="G2041" s="101">
        <f t="shared" si="125"/>
        <v>0</v>
      </c>
      <c r="H2041" s="101">
        <f t="shared" si="126"/>
        <v>0</v>
      </c>
      <c r="I2041" s="101">
        <f t="shared" si="127"/>
        <v>0</v>
      </c>
      <c r="J2041" s="101">
        <f t="shared" si="128"/>
        <v>0</v>
      </c>
    </row>
    <row r="2042" spans="2:10" x14ac:dyDescent="0.2">
      <c r="B2042" s="93"/>
      <c r="C2042" s="97"/>
      <c r="D2042" s="93"/>
      <c r="E2042" s="98"/>
      <c r="F2042" s="100">
        <v>2038</v>
      </c>
      <c r="G2042" s="101">
        <f t="shared" si="125"/>
        <v>0</v>
      </c>
      <c r="H2042" s="101">
        <f t="shared" si="126"/>
        <v>0</v>
      </c>
      <c r="I2042" s="101">
        <f t="shared" si="127"/>
        <v>0</v>
      </c>
      <c r="J2042" s="101">
        <f t="shared" si="128"/>
        <v>0</v>
      </c>
    </row>
    <row r="2043" spans="2:10" x14ac:dyDescent="0.2">
      <c r="B2043" s="93"/>
      <c r="C2043" s="97"/>
      <c r="D2043" s="93"/>
      <c r="E2043" s="98"/>
      <c r="F2043" s="100">
        <v>2039</v>
      </c>
      <c r="G2043" s="101">
        <f t="shared" si="125"/>
        <v>0</v>
      </c>
      <c r="H2043" s="101">
        <f t="shared" si="126"/>
        <v>0</v>
      </c>
      <c r="I2043" s="101">
        <f t="shared" si="127"/>
        <v>0</v>
      </c>
      <c r="J2043" s="101">
        <f t="shared" si="128"/>
        <v>0</v>
      </c>
    </row>
    <row r="2044" spans="2:10" x14ac:dyDescent="0.2">
      <c r="B2044" s="93"/>
      <c r="C2044" s="97"/>
      <c r="D2044" s="93"/>
      <c r="E2044" s="98"/>
      <c r="F2044" s="100">
        <v>2040</v>
      </c>
      <c r="G2044" s="101">
        <f t="shared" si="125"/>
        <v>0</v>
      </c>
      <c r="H2044" s="101">
        <f t="shared" si="126"/>
        <v>0</v>
      </c>
      <c r="I2044" s="101">
        <f t="shared" si="127"/>
        <v>0</v>
      </c>
      <c r="J2044" s="101">
        <f t="shared" si="128"/>
        <v>0</v>
      </c>
    </row>
    <row r="2045" spans="2:10" x14ac:dyDescent="0.2">
      <c r="B2045" s="93"/>
      <c r="C2045" s="97"/>
      <c r="D2045" s="93"/>
      <c r="E2045" s="98"/>
      <c r="F2045" s="100">
        <v>2041</v>
      </c>
      <c r="G2045" s="101">
        <f t="shared" si="125"/>
        <v>0</v>
      </c>
      <c r="H2045" s="101">
        <f t="shared" si="126"/>
        <v>0</v>
      </c>
      <c r="I2045" s="101">
        <f t="shared" si="127"/>
        <v>0</v>
      </c>
      <c r="J2045" s="101">
        <f t="shared" si="128"/>
        <v>0</v>
      </c>
    </row>
    <row r="2046" spans="2:10" x14ac:dyDescent="0.2">
      <c r="B2046" s="93"/>
      <c r="C2046" s="97"/>
      <c r="D2046" s="93"/>
      <c r="E2046" s="98"/>
      <c r="F2046" s="100">
        <v>2042</v>
      </c>
      <c r="G2046" s="101">
        <f t="shared" si="125"/>
        <v>0</v>
      </c>
      <c r="H2046" s="101">
        <f t="shared" si="126"/>
        <v>0</v>
      </c>
      <c r="I2046" s="101">
        <f t="shared" si="127"/>
        <v>0</v>
      </c>
      <c r="J2046" s="101">
        <f t="shared" si="128"/>
        <v>0</v>
      </c>
    </row>
    <row r="2047" spans="2:10" x14ac:dyDescent="0.2">
      <c r="B2047" s="93"/>
      <c r="C2047" s="97"/>
      <c r="D2047" s="93"/>
      <c r="E2047" s="98"/>
      <c r="F2047" s="100">
        <v>2043</v>
      </c>
      <c r="G2047" s="101">
        <f t="shared" si="125"/>
        <v>0</v>
      </c>
      <c r="H2047" s="101">
        <f t="shared" si="126"/>
        <v>0</v>
      </c>
      <c r="I2047" s="101">
        <f t="shared" si="127"/>
        <v>0</v>
      </c>
      <c r="J2047" s="101">
        <f t="shared" si="128"/>
        <v>0</v>
      </c>
    </row>
    <row r="2048" spans="2:10" x14ac:dyDescent="0.2">
      <c r="B2048" s="93"/>
      <c r="C2048" s="97"/>
      <c r="D2048" s="93"/>
      <c r="E2048" s="98"/>
      <c r="F2048" s="100">
        <v>2044</v>
      </c>
      <c r="G2048" s="101">
        <f t="shared" si="125"/>
        <v>0</v>
      </c>
      <c r="H2048" s="101">
        <f t="shared" si="126"/>
        <v>0</v>
      </c>
      <c r="I2048" s="101">
        <f t="shared" si="127"/>
        <v>0</v>
      </c>
      <c r="J2048" s="101">
        <f t="shared" si="128"/>
        <v>0</v>
      </c>
    </row>
    <row r="2049" spans="2:10" x14ac:dyDescent="0.2">
      <c r="B2049" s="93"/>
      <c r="C2049" s="97"/>
      <c r="D2049" s="93"/>
      <c r="E2049" s="98"/>
      <c r="F2049" s="100">
        <v>2045</v>
      </c>
      <c r="G2049" s="101">
        <f t="shared" si="125"/>
        <v>0</v>
      </c>
      <c r="H2049" s="101">
        <f t="shared" si="126"/>
        <v>0</v>
      </c>
      <c r="I2049" s="101">
        <f t="shared" si="127"/>
        <v>0</v>
      </c>
      <c r="J2049" s="101">
        <f t="shared" si="128"/>
        <v>0</v>
      </c>
    </row>
    <row r="2050" spans="2:10" x14ac:dyDescent="0.2">
      <c r="B2050" s="93"/>
      <c r="C2050" s="97"/>
      <c r="D2050" s="93"/>
      <c r="E2050" s="98"/>
      <c r="F2050" s="100">
        <v>2046</v>
      </c>
      <c r="G2050" s="101">
        <f t="shared" si="125"/>
        <v>0</v>
      </c>
      <c r="H2050" s="101">
        <f t="shared" si="126"/>
        <v>0</v>
      </c>
      <c r="I2050" s="101">
        <f t="shared" si="127"/>
        <v>0</v>
      </c>
      <c r="J2050" s="101">
        <f t="shared" si="128"/>
        <v>0</v>
      </c>
    </row>
    <row r="2051" spans="2:10" x14ac:dyDescent="0.2">
      <c r="B2051" s="93"/>
      <c r="C2051" s="97"/>
      <c r="D2051" s="93"/>
      <c r="E2051" s="98"/>
      <c r="F2051" s="100">
        <v>2047</v>
      </c>
      <c r="G2051" s="101">
        <f t="shared" si="125"/>
        <v>0</v>
      </c>
      <c r="H2051" s="101">
        <f t="shared" si="126"/>
        <v>0</v>
      </c>
      <c r="I2051" s="101">
        <f t="shared" si="127"/>
        <v>0</v>
      </c>
      <c r="J2051" s="101">
        <f t="shared" si="128"/>
        <v>0</v>
      </c>
    </row>
    <row r="2052" spans="2:10" x14ac:dyDescent="0.2">
      <c r="B2052" s="93"/>
      <c r="C2052" s="97"/>
      <c r="D2052" s="93"/>
      <c r="E2052" s="98"/>
      <c r="F2052" s="100">
        <v>2048</v>
      </c>
      <c r="G2052" s="101">
        <f t="shared" si="125"/>
        <v>0</v>
      </c>
      <c r="H2052" s="101">
        <f t="shared" si="126"/>
        <v>0</v>
      </c>
      <c r="I2052" s="101">
        <f t="shared" si="127"/>
        <v>0</v>
      </c>
      <c r="J2052" s="101">
        <f t="shared" si="128"/>
        <v>0</v>
      </c>
    </row>
    <row r="2053" spans="2:10" x14ac:dyDescent="0.2">
      <c r="B2053" s="93"/>
      <c r="C2053" s="97"/>
      <c r="D2053" s="93"/>
      <c r="E2053" s="98"/>
      <c r="F2053" s="100">
        <v>2049</v>
      </c>
      <c r="G2053" s="101">
        <f t="shared" si="125"/>
        <v>0</v>
      </c>
      <c r="H2053" s="101">
        <f t="shared" si="126"/>
        <v>0</v>
      </c>
      <c r="I2053" s="101">
        <f t="shared" si="127"/>
        <v>0</v>
      </c>
      <c r="J2053" s="101">
        <f t="shared" si="128"/>
        <v>0</v>
      </c>
    </row>
    <row r="2054" spans="2:10" x14ac:dyDescent="0.2">
      <c r="B2054" s="93"/>
      <c r="C2054" s="97"/>
      <c r="D2054" s="93"/>
      <c r="E2054" s="98"/>
      <c r="F2054" s="100">
        <v>2050</v>
      </c>
      <c r="G2054" s="101">
        <f t="shared" ref="G2054:G2117" si="129">B2054</f>
        <v>0</v>
      </c>
      <c r="H2054" s="101">
        <f t="shared" ref="H2054:H2117" si="130">C2054</f>
        <v>0</v>
      </c>
      <c r="I2054" s="101">
        <f t="shared" ref="I2054:I2117" si="131">D2054</f>
        <v>0</v>
      </c>
      <c r="J2054" s="101">
        <f t="shared" ref="J2054:J2117" si="132">E2054</f>
        <v>0</v>
      </c>
    </row>
    <row r="2055" spans="2:10" x14ac:dyDescent="0.2">
      <c r="B2055" s="93"/>
      <c r="C2055" s="97"/>
      <c r="D2055" s="93"/>
      <c r="E2055" s="98"/>
      <c r="F2055" s="100">
        <v>2051</v>
      </c>
      <c r="G2055" s="101">
        <f t="shared" si="129"/>
        <v>0</v>
      </c>
      <c r="H2055" s="101">
        <f t="shared" si="130"/>
        <v>0</v>
      </c>
      <c r="I2055" s="101">
        <f t="shared" si="131"/>
        <v>0</v>
      </c>
      <c r="J2055" s="101">
        <f t="shared" si="132"/>
        <v>0</v>
      </c>
    </row>
    <row r="2056" spans="2:10" x14ac:dyDescent="0.2">
      <c r="B2056" s="93"/>
      <c r="C2056" s="97"/>
      <c r="D2056" s="93"/>
      <c r="E2056" s="98"/>
      <c r="F2056" s="100">
        <v>2052</v>
      </c>
      <c r="G2056" s="101">
        <f t="shared" si="129"/>
        <v>0</v>
      </c>
      <c r="H2056" s="101">
        <f t="shared" si="130"/>
        <v>0</v>
      </c>
      <c r="I2056" s="101">
        <f t="shared" si="131"/>
        <v>0</v>
      </c>
      <c r="J2056" s="101">
        <f t="shared" si="132"/>
        <v>0</v>
      </c>
    </row>
    <row r="2057" spans="2:10" x14ac:dyDescent="0.2">
      <c r="B2057" s="93"/>
      <c r="C2057" s="97"/>
      <c r="D2057" s="93"/>
      <c r="E2057" s="98"/>
      <c r="F2057" s="100">
        <v>2053</v>
      </c>
      <c r="G2057" s="101">
        <f t="shared" si="129"/>
        <v>0</v>
      </c>
      <c r="H2057" s="101">
        <f t="shared" si="130"/>
        <v>0</v>
      </c>
      <c r="I2057" s="101">
        <f t="shared" si="131"/>
        <v>0</v>
      </c>
      <c r="J2057" s="101">
        <f t="shared" si="132"/>
        <v>0</v>
      </c>
    </row>
    <row r="2058" spans="2:10" x14ac:dyDescent="0.2">
      <c r="B2058" s="93"/>
      <c r="C2058" s="97"/>
      <c r="D2058" s="93"/>
      <c r="E2058" s="98"/>
      <c r="F2058" s="100">
        <v>2054</v>
      </c>
      <c r="G2058" s="101">
        <f t="shared" si="129"/>
        <v>0</v>
      </c>
      <c r="H2058" s="101">
        <f t="shared" si="130"/>
        <v>0</v>
      </c>
      <c r="I2058" s="101">
        <f t="shared" si="131"/>
        <v>0</v>
      </c>
      <c r="J2058" s="101">
        <f t="shared" si="132"/>
        <v>0</v>
      </c>
    </row>
    <row r="2059" spans="2:10" x14ac:dyDescent="0.2">
      <c r="B2059" s="93"/>
      <c r="C2059" s="97"/>
      <c r="D2059" s="93"/>
      <c r="E2059" s="98"/>
      <c r="F2059" s="100">
        <v>2055</v>
      </c>
      <c r="G2059" s="101">
        <f t="shared" si="129"/>
        <v>0</v>
      </c>
      <c r="H2059" s="101">
        <f t="shared" si="130"/>
        <v>0</v>
      </c>
      <c r="I2059" s="101">
        <f t="shared" si="131"/>
        <v>0</v>
      </c>
      <c r="J2059" s="101">
        <f t="shared" si="132"/>
        <v>0</v>
      </c>
    </row>
    <row r="2060" spans="2:10" x14ac:dyDescent="0.2">
      <c r="B2060" s="93"/>
      <c r="C2060" s="97"/>
      <c r="D2060" s="93"/>
      <c r="E2060" s="98"/>
      <c r="F2060" s="100">
        <v>2056</v>
      </c>
      <c r="G2060" s="101">
        <f t="shared" si="129"/>
        <v>0</v>
      </c>
      <c r="H2060" s="101">
        <f t="shared" si="130"/>
        <v>0</v>
      </c>
      <c r="I2060" s="101">
        <f t="shared" si="131"/>
        <v>0</v>
      </c>
      <c r="J2060" s="101">
        <f t="shared" si="132"/>
        <v>0</v>
      </c>
    </row>
    <row r="2061" spans="2:10" x14ac:dyDescent="0.2">
      <c r="B2061" s="93"/>
      <c r="C2061" s="97"/>
      <c r="D2061" s="93"/>
      <c r="E2061" s="98"/>
      <c r="F2061" s="100">
        <v>2057</v>
      </c>
      <c r="G2061" s="101">
        <f t="shared" si="129"/>
        <v>0</v>
      </c>
      <c r="H2061" s="101">
        <f t="shared" si="130"/>
        <v>0</v>
      </c>
      <c r="I2061" s="101">
        <f t="shared" si="131"/>
        <v>0</v>
      </c>
      <c r="J2061" s="101">
        <f t="shared" si="132"/>
        <v>0</v>
      </c>
    </row>
    <row r="2062" spans="2:10" x14ac:dyDescent="0.2">
      <c r="B2062" s="93"/>
      <c r="C2062" s="97"/>
      <c r="D2062" s="93"/>
      <c r="E2062" s="98"/>
      <c r="F2062" s="100">
        <v>2058</v>
      </c>
      <c r="G2062" s="101">
        <f t="shared" si="129"/>
        <v>0</v>
      </c>
      <c r="H2062" s="101">
        <f t="shared" si="130"/>
        <v>0</v>
      </c>
      <c r="I2062" s="101">
        <f t="shared" si="131"/>
        <v>0</v>
      </c>
      <c r="J2062" s="101">
        <f t="shared" si="132"/>
        <v>0</v>
      </c>
    </row>
    <row r="2063" spans="2:10" x14ac:dyDescent="0.2">
      <c r="B2063" s="93"/>
      <c r="C2063" s="97"/>
      <c r="D2063" s="93"/>
      <c r="E2063" s="98"/>
      <c r="F2063" s="100">
        <v>2059</v>
      </c>
      <c r="G2063" s="101">
        <f t="shared" si="129"/>
        <v>0</v>
      </c>
      <c r="H2063" s="101">
        <f t="shared" si="130"/>
        <v>0</v>
      </c>
      <c r="I2063" s="101">
        <f t="shared" si="131"/>
        <v>0</v>
      </c>
      <c r="J2063" s="101">
        <f t="shared" si="132"/>
        <v>0</v>
      </c>
    </row>
    <row r="2064" spans="2:10" x14ac:dyDescent="0.2">
      <c r="B2064" s="93"/>
      <c r="C2064" s="97"/>
      <c r="D2064" s="93"/>
      <c r="E2064" s="98"/>
      <c r="F2064" s="100">
        <v>2060</v>
      </c>
      <c r="G2064" s="101">
        <f t="shared" si="129"/>
        <v>0</v>
      </c>
      <c r="H2064" s="101">
        <f t="shared" si="130"/>
        <v>0</v>
      </c>
      <c r="I2064" s="101">
        <f t="shared" si="131"/>
        <v>0</v>
      </c>
      <c r="J2064" s="101">
        <f t="shared" si="132"/>
        <v>0</v>
      </c>
    </row>
    <row r="2065" spans="2:10" x14ac:dyDescent="0.2">
      <c r="B2065" s="93"/>
      <c r="C2065" s="97"/>
      <c r="D2065" s="93"/>
      <c r="E2065" s="98"/>
      <c r="F2065" s="100">
        <v>2061</v>
      </c>
      <c r="G2065" s="101">
        <f t="shared" si="129"/>
        <v>0</v>
      </c>
      <c r="H2065" s="101">
        <f t="shared" si="130"/>
        <v>0</v>
      </c>
      <c r="I2065" s="101">
        <f t="shared" si="131"/>
        <v>0</v>
      </c>
      <c r="J2065" s="101">
        <f t="shared" si="132"/>
        <v>0</v>
      </c>
    </row>
    <row r="2066" spans="2:10" x14ac:dyDescent="0.2">
      <c r="B2066" s="93"/>
      <c r="C2066" s="97"/>
      <c r="D2066" s="93"/>
      <c r="E2066" s="98"/>
      <c r="F2066" s="100">
        <v>2062</v>
      </c>
      <c r="G2066" s="101">
        <f t="shared" si="129"/>
        <v>0</v>
      </c>
      <c r="H2066" s="101">
        <f t="shared" si="130"/>
        <v>0</v>
      </c>
      <c r="I2066" s="101">
        <f t="shared" si="131"/>
        <v>0</v>
      </c>
      <c r="J2066" s="101">
        <f t="shared" si="132"/>
        <v>0</v>
      </c>
    </row>
    <row r="2067" spans="2:10" x14ac:dyDescent="0.2">
      <c r="B2067" s="93"/>
      <c r="C2067" s="97"/>
      <c r="D2067" s="93"/>
      <c r="E2067" s="98"/>
      <c r="F2067" s="100">
        <v>2063</v>
      </c>
      <c r="G2067" s="101">
        <f t="shared" si="129"/>
        <v>0</v>
      </c>
      <c r="H2067" s="101">
        <f t="shared" si="130"/>
        <v>0</v>
      </c>
      <c r="I2067" s="101">
        <f t="shared" si="131"/>
        <v>0</v>
      </c>
      <c r="J2067" s="101">
        <f t="shared" si="132"/>
        <v>0</v>
      </c>
    </row>
    <row r="2068" spans="2:10" x14ac:dyDescent="0.2">
      <c r="B2068" s="93"/>
      <c r="C2068" s="97"/>
      <c r="D2068" s="93"/>
      <c r="E2068" s="98"/>
      <c r="F2068" s="100">
        <v>2064</v>
      </c>
      <c r="G2068" s="101">
        <f t="shared" si="129"/>
        <v>0</v>
      </c>
      <c r="H2068" s="101">
        <f t="shared" si="130"/>
        <v>0</v>
      </c>
      <c r="I2068" s="101">
        <f t="shared" si="131"/>
        <v>0</v>
      </c>
      <c r="J2068" s="101">
        <f t="shared" si="132"/>
        <v>0</v>
      </c>
    </row>
    <row r="2069" spans="2:10" x14ac:dyDescent="0.2">
      <c r="B2069" s="93"/>
      <c r="C2069" s="97"/>
      <c r="D2069" s="93"/>
      <c r="E2069" s="98"/>
      <c r="F2069" s="100">
        <v>2065</v>
      </c>
      <c r="G2069" s="101">
        <f t="shared" si="129"/>
        <v>0</v>
      </c>
      <c r="H2069" s="101">
        <f t="shared" si="130"/>
        <v>0</v>
      </c>
      <c r="I2069" s="101">
        <f t="shared" si="131"/>
        <v>0</v>
      </c>
      <c r="J2069" s="101">
        <f t="shared" si="132"/>
        <v>0</v>
      </c>
    </row>
    <row r="2070" spans="2:10" x14ac:dyDescent="0.2">
      <c r="B2070" s="93"/>
      <c r="C2070" s="97"/>
      <c r="D2070" s="93"/>
      <c r="E2070" s="98"/>
      <c r="F2070" s="100">
        <v>2066</v>
      </c>
      <c r="G2070" s="101">
        <f t="shared" si="129"/>
        <v>0</v>
      </c>
      <c r="H2070" s="101">
        <f t="shared" si="130"/>
        <v>0</v>
      </c>
      <c r="I2070" s="101">
        <f t="shared" si="131"/>
        <v>0</v>
      </c>
      <c r="J2070" s="101">
        <f t="shared" si="132"/>
        <v>0</v>
      </c>
    </row>
    <row r="2071" spans="2:10" x14ac:dyDescent="0.2">
      <c r="B2071" s="93"/>
      <c r="C2071" s="97"/>
      <c r="D2071" s="93"/>
      <c r="E2071" s="98"/>
      <c r="F2071" s="100">
        <v>2067</v>
      </c>
      <c r="G2071" s="101">
        <f t="shared" si="129"/>
        <v>0</v>
      </c>
      <c r="H2071" s="101">
        <f t="shared" si="130"/>
        <v>0</v>
      </c>
      <c r="I2071" s="101">
        <f t="shared" si="131"/>
        <v>0</v>
      </c>
      <c r="J2071" s="101">
        <f t="shared" si="132"/>
        <v>0</v>
      </c>
    </row>
    <row r="2072" spans="2:10" x14ac:dyDescent="0.2">
      <c r="B2072" s="93"/>
      <c r="C2072" s="97"/>
      <c r="D2072" s="93"/>
      <c r="E2072" s="98"/>
      <c r="F2072" s="100">
        <v>2068</v>
      </c>
      <c r="G2072" s="101">
        <f t="shared" si="129"/>
        <v>0</v>
      </c>
      <c r="H2072" s="101">
        <f t="shared" si="130"/>
        <v>0</v>
      </c>
      <c r="I2072" s="101">
        <f t="shared" si="131"/>
        <v>0</v>
      </c>
      <c r="J2072" s="101">
        <f t="shared" si="132"/>
        <v>0</v>
      </c>
    </row>
    <row r="2073" spans="2:10" x14ac:dyDescent="0.2">
      <c r="B2073" s="93"/>
      <c r="C2073" s="97"/>
      <c r="D2073" s="93"/>
      <c r="E2073" s="98"/>
      <c r="F2073" s="100">
        <v>2069</v>
      </c>
      <c r="G2073" s="101">
        <f t="shared" si="129"/>
        <v>0</v>
      </c>
      <c r="H2073" s="101">
        <f t="shared" si="130"/>
        <v>0</v>
      </c>
      <c r="I2073" s="101">
        <f t="shared" si="131"/>
        <v>0</v>
      </c>
      <c r="J2073" s="101">
        <f t="shared" si="132"/>
        <v>0</v>
      </c>
    </row>
    <row r="2074" spans="2:10" x14ac:dyDescent="0.2">
      <c r="B2074" s="93"/>
      <c r="C2074" s="97"/>
      <c r="D2074" s="93"/>
      <c r="E2074" s="98"/>
      <c r="F2074" s="100">
        <v>2070</v>
      </c>
      <c r="G2074" s="101">
        <f t="shared" si="129"/>
        <v>0</v>
      </c>
      <c r="H2074" s="101">
        <f t="shared" si="130"/>
        <v>0</v>
      </c>
      <c r="I2074" s="101">
        <f t="shared" si="131"/>
        <v>0</v>
      </c>
      <c r="J2074" s="101">
        <f t="shared" si="132"/>
        <v>0</v>
      </c>
    </row>
    <row r="2075" spans="2:10" x14ac:dyDescent="0.2">
      <c r="B2075" s="93"/>
      <c r="C2075" s="97"/>
      <c r="D2075" s="93"/>
      <c r="E2075" s="98"/>
      <c r="F2075" s="100">
        <v>2071</v>
      </c>
      <c r="G2075" s="101">
        <f t="shared" si="129"/>
        <v>0</v>
      </c>
      <c r="H2075" s="101">
        <f t="shared" si="130"/>
        <v>0</v>
      </c>
      <c r="I2075" s="101">
        <f t="shared" si="131"/>
        <v>0</v>
      </c>
      <c r="J2075" s="101">
        <f t="shared" si="132"/>
        <v>0</v>
      </c>
    </row>
    <row r="2076" spans="2:10" x14ac:dyDescent="0.2">
      <c r="B2076" s="93"/>
      <c r="C2076" s="97"/>
      <c r="D2076" s="93"/>
      <c r="E2076" s="98"/>
      <c r="F2076" s="100">
        <v>2072</v>
      </c>
      <c r="G2076" s="101">
        <f t="shared" si="129"/>
        <v>0</v>
      </c>
      <c r="H2076" s="101">
        <f t="shared" si="130"/>
        <v>0</v>
      </c>
      <c r="I2076" s="101">
        <f t="shared" si="131"/>
        <v>0</v>
      </c>
      <c r="J2076" s="101">
        <f t="shared" si="132"/>
        <v>0</v>
      </c>
    </row>
    <row r="2077" spans="2:10" x14ac:dyDescent="0.2">
      <c r="B2077" s="93"/>
      <c r="C2077" s="97"/>
      <c r="D2077" s="93"/>
      <c r="E2077" s="98"/>
      <c r="F2077" s="100">
        <v>2073</v>
      </c>
      <c r="G2077" s="101">
        <f t="shared" si="129"/>
        <v>0</v>
      </c>
      <c r="H2077" s="101">
        <f t="shared" si="130"/>
        <v>0</v>
      </c>
      <c r="I2077" s="101">
        <f t="shared" si="131"/>
        <v>0</v>
      </c>
      <c r="J2077" s="101">
        <f t="shared" si="132"/>
        <v>0</v>
      </c>
    </row>
    <row r="2078" spans="2:10" x14ac:dyDescent="0.2">
      <c r="B2078" s="93"/>
      <c r="C2078" s="97"/>
      <c r="D2078" s="93"/>
      <c r="E2078" s="98"/>
      <c r="F2078" s="100">
        <v>2074</v>
      </c>
      <c r="G2078" s="101">
        <f t="shared" si="129"/>
        <v>0</v>
      </c>
      <c r="H2078" s="101">
        <f t="shared" si="130"/>
        <v>0</v>
      </c>
      <c r="I2078" s="101">
        <f t="shared" si="131"/>
        <v>0</v>
      </c>
      <c r="J2078" s="101">
        <f t="shared" si="132"/>
        <v>0</v>
      </c>
    </row>
    <row r="2079" spans="2:10" x14ac:dyDescent="0.2">
      <c r="B2079" s="93"/>
      <c r="C2079" s="97"/>
      <c r="D2079" s="93"/>
      <c r="E2079" s="98"/>
      <c r="F2079" s="100">
        <v>2075</v>
      </c>
      <c r="G2079" s="101">
        <f t="shared" si="129"/>
        <v>0</v>
      </c>
      <c r="H2079" s="101">
        <f t="shared" si="130"/>
        <v>0</v>
      </c>
      <c r="I2079" s="101">
        <f t="shared" si="131"/>
        <v>0</v>
      </c>
      <c r="J2079" s="101">
        <f t="shared" si="132"/>
        <v>0</v>
      </c>
    </row>
    <row r="2080" spans="2:10" x14ac:dyDescent="0.2">
      <c r="B2080" s="93"/>
      <c r="C2080" s="97"/>
      <c r="D2080" s="93"/>
      <c r="E2080" s="98"/>
      <c r="F2080" s="100">
        <v>2076</v>
      </c>
      <c r="G2080" s="101">
        <f t="shared" si="129"/>
        <v>0</v>
      </c>
      <c r="H2080" s="101">
        <f t="shared" si="130"/>
        <v>0</v>
      </c>
      <c r="I2080" s="101">
        <f t="shared" si="131"/>
        <v>0</v>
      </c>
      <c r="J2080" s="101">
        <f t="shared" si="132"/>
        <v>0</v>
      </c>
    </row>
    <row r="2081" spans="2:10" x14ac:dyDescent="0.2">
      <c r="B2081" s="93"/>
      <c r="C2081" s="97"/>
      <c r="D2081" s="93"/>
      <c r="E2081" s="98"/>
      <c r="F2081" s="100">
        <v>2077</v>
      </c>
      <c r="G2081" s="101">
        <f t="shared" si="129"/>
        <v>0</v>
      </c>
      <c r="H2081" s="101">
        <f t="shared" si="130"/>
        <v>0</v>
      </c>
      <c r="I2081" s="101">
        <f t="shared" si="131"/>
        <v>0</v>
      </c>
      <c r="J2081" s="101">
        <f t="shared" si="132"/>
        <v>0</v>
      </c>
    </row>
    <row r="2082" spans="2:10" x14ac:dyDescent="0.2">
      <c r="B2082" s="93"/>
      <c r="C2082" s="97"/>
      <c r="D2082" s="93"/>
      <c r="E2082" s="98"/>
      <c r="F2082" s="100">
        <v>2078</v>
      </c>
      <c r="G2082" s="101">
        <f t="shared" si="129"/>
        <v>0</v>
      </c>
      <c r="H2082" s="101">
        <f t="shared" si="130"/>
        <v>0</v>
      </c>
      <c r="I2082" s="101">
        <f t="shared" si="131"/>
        <v>0</v>
      </c>
      <c r="J2082" s="101">
        <f t="shared" si="132"/>
        <v>0</v>
      </c>
    </row>
    <row r="2083" spans="2:10" x14ac:dyDescent="0.2">
      <c r="B2083" s="93"/>
      <c r="C2083" s="97"/>
      <c r="D2083" s="93"/>
      <c r="E2083" s="98"/>
      <c r="F2083" s="100">
        <v>2079</v>
      </c>
      <c r="G2083" s="101">
        <f t="shared" si="129"/>
        <v>0</v>
      </c>
      <c r="H2083" s="101">
        <f t="shared" si="130"/>
        <v>0</v>
      </c>
      <c r="I2083" s="101">
        <f t="shared" si="131"/>
        <v>0</v>
      </c>
      <c r="J2083" s="101">
        <f t="shared" si="132"/>
        <v>0</v>
      </c>
    </row>
    <row r="2084" spans="2:10" x14ac:dyDescent="0.2">
      <c r="B2084" s="93"/>
      <c r="C2084" s="97"/>
      <c r="D2084" s="93"/>
      <c r="E2084" s="98"/>
      <c r="F2084" s="100">
        <v>2080</v>
      </c>
      <c r="G2084" s="101">
        <f t="shared" si="129"/>
        <v>0</v>
      </c>
      <c r="H2084" s="101">
        <f t="shared" si="130"/>
        <v>0</v>
      </c>
      <c r="I2084" s="101">
        <f t="shared" si="131"/>
        <v>0</v>
      </c>
      <c r="J2084" s="101">
        <f t="shared" si="132"/>
        <v>0</v>
      </c>
    </row>
    <row r="2085" spans="2:10" x14ac:dyDescent="0.2">
      <c r="B2085" s="93"/>
      <c r="C2085" s="97"/>
      <c r="D2085" s="93"/>
      <c r="E2085" s="98"/>
      <c r="F2085" s="100">
        <v>2081</v>
      </c>
      <c r="G2085" s="101">
        <f t="shared" si="129"/>
        <v>0</v>
      </c>
      <c r="H2085" s="101">
        <f t="shared" si="130"/>
        <v>0</v>
      </c>
      <c r="I2085" s="101">
        <f t="shared" si="131"/>
        <v>0</v>
      </c>
      <c r="J2085" s="101">
        <f t="shared" si="132"/>
        <v>0</v>
      </c>
    </row>
    <row r="2086" spans="2:10" x14ac:dyDescent="0.2">
      <c r="B2086" s="93"/>
      <c r="C2086" s="97"/>
      <c r="D2086" s="93"/>
      <c r="E2086" s="98"/>
      <c r="F2086" s="100">
        <v>2082</v>
      </c>
      <c r="G2086" s="101">
        <f t="shared" si="129"/>
        <v>0</v>
      </c>
      <c r="H2086" s="101">
        <f t="shared" si="130"/>
        <v>0</v>
      </c>
      <c r="I2086" s="101">
        <f t="shared" si="131"/>
        <v>0</v>
      </c>
      <c r="J2086" s="101">
        <f t="shared" si="132"/>
        <v>0</v>
      </c>
    </row>
    <row r="2087" spans="2:10" x14ac:dyDescent="0.2">
      <c r="B2087" s="93"/>
      <c r="C2087" s="97"/>
      <c r="D2087" s="93"/>
      <c r="E2087" s="98"/>
      <c r="F2087" s="100">
        <v>2083</v>
      </c>
      <c r="G2087" s="101">
        <f t="shared" si="129"/>
        <v>0</v>
      </c>
      <c r="H2087" s="101">
        <f t="shared" si="130"/>
        <v>0</v>
      </c>
      <c r="I2087" s="101">
        <f t="shared" si="131"/>
        <v>0</v>
      </c>
      <c r="J2087" s="101">
        <f t="shared" si="132"/>
        <v>0</v>
      </c>
    </row>
    <row r="2088" spans="2:10" x14ac:dyDescent="0.2">
      <c r="B2088" s="93"/>
      <c r="C2088" s="97"/>
      <c r="D2088" s="93"/>
      <c r="E2088" s="98"/>
      <c r="F2088" s="100">
        <v>2084</v>
      </c>
      <c r="G2088" s="101">
        <f t="shared" si="129"/>
        <v>0</v>
      </c>
      <c r="H2088" s="101">
        <f t="shared" si="130"/>
        <v>0</v>
      </c>
      <c r="I2088" s="101">
        <f t="shared" si="131"/>
        <v>0</v>
      </c>
      <c r="J2088" s="101">
        <f t="shared" si="132"/>
        <v>0</v>
      </c>
    </row>
    <row r="2089" spans="2:10" x14ac:dyDescent="0.2">
      <c r="B2089" s="93"/>
      <c r="C2089" s="97"/>
      <c r="D2089" s="93"/>
      <c r="E2089" s="98"/>
      <c r="F2089" s="100">
        <v>2085</v>
      </c>
      <c r="G2089" s="101">
        <f t="shared" si="129"/>
        <v>0</v>
      </c>
      <c r="H2089" s="101">
        <f t="shared" si="130"/>
        <v>0</v>
      </c>
      <c r="I2089" s="101">
        <f t="shared" si="131"/>
        <v>0</v>
      </c>
      <c r="J2089" s="101">
        <f t="shared" si="132"/>
        <v>0</v>
      </c>
    </row>
    <row r="2090" spans="2:10" x14ac:dyDescent="0.2">
      <c r="B2090" s="93"/>
      <c r="C2090" s="97"/>
      <c r="D2090" s="93"/>
      <c r="E2090" s="98"/>
      <c r="F2090" s="100">
        <v>2086</v>
      </c>
      <c r="G2090" s="101">
        <f t="shared" si="129"/>
        <v>0</v>
      </c>
      <c r="H2090" s="101">
        <f t="shared" si="130"/>
        <v>0</v>
      </c>
      <c r="I2090" s="101">
        <f t="shared" si="131"/>
        <v>0</v>
      </c>
      <c r="J2090" s="101">
        <f t="shared" si="132"/>
        <v>0</v>
      </c>
    </row>
    <row r="2091" spans="2:10" x14ac:dyDescent="0.2">
      <c r="B2091" s="93"/>
      <c r="C2091" s="97"/>
      <c r="D2091" s="93"/>
      <c r="E2091" s="98"/>
      <c r="F2091" s="100">
        <v>2087</v>
      </c>
      <c r="G2091" s="101">
        <f t="shared" si="129"/>
        <v>0</v>
      </c>
      <c r="H2091" s="101">
        <f t="shared" si="130"/>
        <v>0</v>
      </c>
      <c r="I2091" s="101">
        <f t="shared" si="131"/>
        <v>0</v>
      </c>
      <c r="J2091" s="101">
        <f t="shared" si="132"/>
        <v>0</v>
      </c>
    </row>
    <row r="2092" spans="2:10" x14ac:dyDescent="0.2">
      <c r="B2092" s="93"/>
      <c r="C2092" s="97"/>
      <c r="D2092" s="93"/>
      <c r="E2092" s="98"/>
      <c r="F2092" s="100">
        <v>2088</v>
      </c>
      <c r="G2092" s="101">
        <f t="shared" si="129"/>
        <v>0</v>
      </c>
      <c r="H2092" s="101">
        <f t="shared" si="130"/>
        <v>0</v>
      </c>
      <c r="I2092" s="101">
        <f t="shared" si="131"/>
        <v>0</v>
      </c>
      <c r="J2092" s="101">
        <f t="shared" si="132"/>
        <v>0</v>
      </c>
    </row>
    <row r="2093" spans="2:10" x14ac:dyDescent="0.2">
      <c r="B2093" s="93"/>
      <c r="C2093" s="97"/>
      <c r="D2093" s="93"/>
      <c r="E2093" s="98"/>
      <c r="F2093" s="100">
        <v>2089</v>
      </c>
      <c r="G2093" s="101">
        <f t="shared" si="129"/>
        <v>0</v>
      </c>
      <c r="H2093" s="101">
        <f t="shared" si="130"/>
        <v>0</v>
      </c>
      <c r="I2093" s="101">
        <f t="shared" si="131"/>
        <v>0</v>
      </c>
      <c r="J2093" s="101">
        <f t="shared" si="132"/>
        <v>0</v>
      </c>
    </row>
    <row r="2094" spans="2:10" x14ac:dyDescent="0.2">
      <c r="B2094" s="93"/>
      <c r="C2094" s="97"/>
      <c r="D2094" s="93"/>
      <c r="E2094" s="98"/>
      <c r="F2094" s="100">
        <v>2090</v>
      </c>
      <c r="G2094" s="101">
        <f t="shared" si="129"/>
        <v>0</v>
      </c>
      <c r="H2094" s="101">
        <f t="shared" si="130"/>
        <v>0</v>
      </c>
      <c r="I2094" s="101">
        <f t="shared" si="131"/>
        <v>0</v>
      </c>
      <c r="J2094" s="101">
        <f t="shared" si="132"/>
        <v>0</v>
      </c>
    </row>
    <row r="2095" spans="2:10" x14ac:dyDescent="0.2">
      <c r="B2095" s="93"/>
      <c r="C2095" s="97"/>
      <c r="D2095" s="93"/>
      <c r="E2095" s="98"/>
      <c r="F2095" s="100">
        <v>2091</v>
      </c>
      <c r="G2095" s="101">
        <f t="shared" si="129"/>
        <v>0</v>
      </c>
      <c r="H2095" s="101">
        <f t="shared" si="130"/>
        <v>0</v>
      </c>
      <c r="I2095" s="101">
        <f t="shared" si="131"/>
        <v>0</v>
      </c>
      <c r="J2095" s="101">
        <f t="shared" si="132"/>
        <v>0</v>
      </c>
    </row>
    <row r="2096" spans="2:10" x14ac:dyDescent="0.2">
      <c r="B2096" s="93"/>
      <c r="C2096" s="97"/>
      <c r="D2096" s="93"/>
      <c r="E2096" s="98"/>
      <c r="F2096" s="100">
        <v>2092</v>
      </c>
      <c r="G2096" s="101">
        <f t="shared" si="129"/>
        <v>0</v>
      </c>
      <c r="H2096" s="101">
        <f t="shared" si="130"/>
        <v>0</v>
      </c>
      <c r="I2096" s="101">
        <f t="shared" si="131"/>
        <v>0</v>
      </c>
      <c r="J2096" s="101">
        <f t="shared" si="132"/>
        <v>0</v>
      </c>
    </row>
    <row r="2097" spans="2:10" x14ac:dyDescent="0.2">
      <c r="B2097" s="93"/>
      <c r="C2097" s="97"/>
      <c r="D2097" s="93"/>
      <c r="E2097" s="98"/>
      <c r="F2097" s="100">
        <v>2093</v>
      </c>
      <c r="G2097" s="101">
        <f t="shared" si="129"/>
        <v>0</v>
      </c>
      <c r="H2097" s="101">
        <f t="shared" si="130"/>
        <v>0</v>
      </c>
      <c r="I2097" s="101">
        <f t="shared" si="131"/>
        <v>0</v>
      </c>
      <c r="J2097" s="101">
        <f t="shared" si="132"/>
        <v>0</v>
      </c>
    </row>
    <row r="2098" spans="2:10" x14ac:dyDescent="0.2">
      <c r="B2098" s="93"/>
      <c r="C2098" s="97"/>
      <c r="D2098" s="93"/>
      <c r="E2098" s="98"/>
      <c r="F2098" s="100">
        <v>2094</v>
      </c>
      <c r="G2098" s="101">
        <f t="shared" si="129"/>
        <v>0</v>
      </c>
      <c r="H2098" s="101">
        <f t="shared" si="130"/>
        <v>0</v>
      </c>
      <c r="I2098" s="101">
        <f t="shared" si="131"/>
        <v>0</v>
      </c>
      <c r="J2098" s="101">
        <f t="shared" si="132"/>
        <v>0</v>
      </c>
    </row>
    <row r="2099" spans="2:10" x14ac:dyDescent="0.2">
      <c r="B2099" s="93"/>
      <c r="C2099" s="97"/>
      <c r="D2099" s="93"/>
      <c r="E2099" s="98"/>
      <c r="F2099" s="100">
        <v>2095</v>
      </c>
      <c r="G2099" s="101">
        <f t="shared" si="129"/>
        <v>0</v>
      </c>
      <c r="H2099" s="101">
        <f t="shared" si="130"/>
        <v>0</v>
      </c>
      <c r="I2099" s="101">
        <f t="shared" si="131"/>
        <v>0</v>
      </c>
      <c r="J2099" s="101">
        <f t="shared" si="132"/>
        <v>0</v>
      </c>
    </row>
    <row r="2100" spans="2:10" x14ac:dyDescent="0.2">
      <c r="B2100" s="93"/>
      <c r="C2100" s="97"/>
      <c r="D2100" s="93"/>
      <c r="E2100" s="98"/>
      <c r="F2100" s="100">
        <v>2096</v>
      </c>
      <c r="G2100" s="101">
        <f t="shared" si="129"/>
        <v>0</v>
      </c>
      <c r="H2100" s="101">
        <f t="shared" si="130"/>
        <v>0</v>
      </c>
      <c r="I2100" s="101">
        <f t="shared" si="131"/>
        <v>0</v>
      </c>
      <c r="J2100" s="101">
        <f t="shared" si="132"/>
        <v>0</v>
      </c>
    </row>
    <row r="2101" spans="2:10" x14ac:dyDescent="0.2">
      <c r="B2101" s="93"/>
      <c r="C2101" s="97"/>
      <c r="D2101" s="93"/>
      <c r="E2101" s="98"/>
      <c r="F2101" s="100">
        <v>2097</v>
      </c>
      <c r="G2101" s="101">
        <f t="shared" si="129"/>
        <v>0</v>
      </c>
      <c r="H2101" s="101">
        <f t="shared" si="130"/>
        <v>0</v>
      </c>
      <c r="I2101" s="101">
        <f t="shared" si="131"/>
        <v>0</v>
      </c>
      <c r="J2101" s="101">
        <f t="shared" si="132"/>
        <v>0</v>
      </c>
    </row>
    <row r="2102" spans="2:10" x14ac:dyDescent="0.2">
      <c r="B2102" s="93"/>
      <c r="C2102" s="97"/>
      <c r="D2102" s="93"/>
      <c r="E2102" s="98"/>
      <c r="F2102" s="100">
        <v>2098</v>
      </c>
      <c r="G2102" s="101">
        <f t="shared" si="129"/>
        <v>0</v>
      </c>
      <c r="H2102" s="101">
        <f t="shared" si="130"/>
        <v>0</v>
      </c>
      <c r="I2102" s="101">
        <f t="shared" si="131"/>
        <v>0</v>
      </c>
      <c r="J2102" s="101">
        <f t="shared" si="132"/>
        <v>0</v>
      </c>
    </row>
    <row r="2103" spans="2:10" x14ac:dyDescent="0.2">
      <c r="B2103" s="93"/>
      <c r="C2103" s="97"/>
      <c r="D2103" s="93"/>
      <c r="E2103" s="98"/>
      <c r="F2103" s="100">
        <v>2099</v>
      </c>
      <c r="G2103" s="101">
        <f t="shared" si="129"/>
        <v>0</v>
      </c>
      <c r="H2103" s="101">
        <f t="shared" si="130"/>
        <v>0</v>
      </c>
      <c r="I2103" s="101">
        <f t="shared" si="131"/>
        <v>0</v>
      </c>
      <c r="J2103" s="101">
        <f t="shared" si="132"/>
        <v>0</v>
      </c>
    </row>
    <row r="2104" spans="2:10" x14ac:dyDescent="0.2">
      <c r="B2104" s="93"/>
      <c r="C2104" s="97"/>
      <c r="D2104" s="93"/>
      <c r="E2104" s="98"/>
      <c r="F2104" s="100">
        <v>2100</v>
      </c>
      <c r="G2104" s="101">
        <f t="shared" si="129"/>
        <v>0</v>
      </c>
      <c r="H2104" s="101">
        <f t="shared" si="130"/>
        <v>0</v>
      </c>
      <c r="I2104" s="101">
        <f t="shared" si="131"/>
        <v>0</v>
      </c>
      <c r="J2104" s="101">
        <f t="shared" si="132"/>
        <v>0</v>
      </c>
    </row>
    <row r="2105" spans="2:10" x14ac:dyDescent="0.2">
      <c r="B2105" s="93"/>
      <c r="C2105" s="97"/>
      <c r="D2105" s="93"/>
      <c r="E2105" s="98"/>
      <c r="F2105" s="100">
        <v>2101</v>
      </c>
      <c r="G2105" s="101">
        <f t="shared" si="129"/>
        <v>0</v>
      </c>
      <c r="H2105" s="101">
        <f t="shared" si="130"/>
        <v>0</v>
      </c>
      <c r="I2105" s="101">
        <f t="shared" si="131"/>
        <v>0</v>
      </c>
      <c r="J2105" s="101">
        <f t="shared" si="132"/>
        <v>0</v>
      </c>
    </row>
    <row r="2106" spans="2:10" x14ac:dyDescent="0.2">
      <c r="B2106" s="93"/>
      <c r="C2106" s="97"/>
      <c r="D2106" s="93"/>
      <c r="E2106" s="98"/>
      <c r="F2106" s="100">
        <v>2102</v>
      </c>
      <c r="G2106" s="101">
        <f t="shared" si="129"/>
        <v>0</v>
      </c>
      <c r="H2106" s="101">
        <f t="shared" si="130"/>
        <v>0</v>
      </c>
      <c r="I2106" s="101">
        <f t="shared" si="131"/>
        <v>0</v>
      </c>
      <c r="J2106" s="101">
        <f t="shared" si="132"/>
        <v>0</v>
      </c>
    </row>
    <row r="2107" spans="2:10" x14ac:dyDescent="0.2">
      <c r="B2107" s="93"/>
      <c r="C2107" s="97"/>
      <c r="D2107" s="93"/>
      <c r="E2107" s="98"/>
      <c r="F2107" s="100">
        <v>2103</v>
      </c>
      <c r="G2107" s="101">
        <f t="shared" si="129"/>
        <v>0</v>
      </c>
      <c r="H2107" s="101">
        <f t="shared" si="130"/>
        <v>0</v>
      </c>
      <c r="I2107" s="101">
        <f t="shared" si="131"/>
        <v>0</v>
      </c>
      <c r="J2107" s="101">
        <f t="shared" si="132"/>
        <v>0</v>
      </c>
    </row>
    <row r="2108" spans="2:10" x14ac:dyDescent="0.2">
      <c r="B2108" s="93"/>
      <c r="C2108" s="97"/>
      <c r="D2108" s="93"/>
      <c r="E2108" s="98"/>
      <c r="F2108" s="100">
        <v>2104</v>
      </c>
      <c r="G2108" s="101">
        <f t="shared" si="129"/>
        <v>0</v>
      </c>
      <c r="H2108" s="101">
        <f t="shared" si="130"/>
        <v>0</v>
      </c>
      <c r="I2108" s="101">
        <f t="shared" si="131"/>
        <v>0</v>
      </c>
      <c r="J2108" s="101">
        <f t="shared" si="132"/>
        <v>0</v>
      </c>
    </row>
    <row r="2109" spans="2:10" x14ac:dyDescent="0.2">
      <c r="B2109" s="93"/>
      <c r="C2109" s="97"/>
      <c r="D2109" s="93"/>
      <c r="E2109" s="98"/>
      <c r="F2109" s="100">
        <v>2105</v>
      </c>
      <c r="G2109" s="101">
        <f t="shared" si="129"/>
        <v>0</v>
      </c>
      <c r="H2109" s="101">
        <f t="shared" si="130"/>
        <v>0</v>
      </c>
      <c r="I2109" s="101">
        <f t="shared" si="131"/>
        <v>0</v>
      </c>
      <c r="J2109" s="101">
        <f t="shared" si="132"/>
        <v>0</v>
      </c>
    </row>
    <row r="2110" spans="2:10" x14ac:dyDescent="0.2">
      <c r="B2110" s="93"/>
      <c r="C2110" s="97"/>
      <c r="D2110" s="93"/>
      <c r="E2110" s="98"/>
      <c r="F2110" s="100">
        <v>2106</v>
      </c>
      <c r="G2110" s="101">
        <f t="shared" si="129"/>
        <v>0</v>
      </c>
      <c r="H2110" s="101">
        <f t="shared" si="130"/>
        <v>0</v>
      </c>
      <c r="I2110" s="101">
        <f t="shared" si="131"/>
        <v>0</v>
      </c>
      <c r="J2110" s="101">
        <f t="shared" si="132"/>
        <v>0</v>
      </c>
    </row>
    <row r="2111" spans="2:10" x14ac:dyDescent="0.2">
      <c r="B2111" s="93"/>
      <c r="C2111" s="97"/>
      <c r="D2111" s="93"/>
      <c r="E2111" s="98"/>
      <c r="F2111" s="100">
        <v>2107</v>
      </c>
      <c r="G2111" s="101">
        <f t="shared" si="129"/>
        <v>0</v>
      </c>
      <c r="H2111" s="101">
        <f t="shared" si="130"/>
        <v>0</v>
      </c>
      <c r="I2111" s="101">
        <f t="shared" si="131"/>
        <v>0</v>
      </c>
      <c r="J2111" s="101">
        <f t="shared" si="132"/>
        <v>0</v>
      </c>
    </row>
    <row r="2112" spans="2:10" x14ac:dyDescent="0.2">
      <c r="B2112" s="93"/>
      <c r="C2112" s="97"/>
      <c r="D2112" s="93"/>
      <c r="E2112" s="98"/>
      <c r="F2112" s="100">
        <v>2108</v>
      </c>
      <c r="G2112" s="101">
        <f t="shared" si="129"/>
        <v>0</v>
      </c>
      <c r="H2112" s="101">
        <f t="shared" si="130"/>
        <v>0</v>
      </c>
      <c r="I2112" s="101">
        <f t="shared" si="131"/>
        <v>0</v>
      </c>
      <c r="J2112" s="101">
        <f t="shared" si="132"/>
        <v>0</v>
      </c>
    </row>
    <row r="2113" spans="2:10" x14ac:dyDescent="0.2">
      <c r="B2113" s="93"/>
      <c r="C2113" s="97"/>
      <c r="D2113" s="93"/>
      <c r="E2113" s="98"/>
      <c r="F2113" s="100">
        <v>2109</v>
      </c>
      <c r="G2113" s="101">
        <f t="shared" si="129"/>
        <v>0</v>
      </c>
      <c r="H2113" s="101">
        <f t="shared" si="130"/>
        <v>0</v>
      </c>
      <c r="I2113" s="101">
        <f t="shared" si="131"/>
        <v>0</v>
      </c>
      <c r="J2113" s="101">
        <f t="shared" si="132"/>
        <v>0</v>
      </c>
    </row>
    <row r="2114" spans="2:10" x14ac:dyDescent="0.2">
      <c r="B2114" s="93"/>
      <c r="C2114" s="97"/>
      <c r="D2114" s="93"/>
      <c r="E2114" s="98"/>
      <c r="F2114" s="100">
        <v>2110</v>
      </c>
      <c r="G2114" s="101">
        <f t="shared" si="129"/>
        <v>0</v>
      </c>
      <c r="H2114" s="101">
        <f t="shared" si="130"/>
        <v>0</v>
      </c>
      <c r="I2114" s="101">
        <f t="shared" si="131"/>
        <v>0</v>
      </c>
      <c r="J2114" s="101">
        <f t="shared" si="132"/>
        <v>0</v>
      </c>
    </row>
    <row r="2115" spans="2:10" x14ac:dyDescent="0.2">
      <c r="B2115" s="93"/>
      <c r="C2115" s="97"/>
      <c r="D2115" s="93"/>
      <c r="E2115" s="98"/>
      <c r="F2115" s="100">
        <v>2111</v>
      </c>
      <c r="G2115" s="101">
        <f t="shared" si="129"/>
        <v>0</v>
      </c>
      <c r="H2115" s="101">
        <f t="shared" si="130"/>
        <v>0</v>
      </c>
      <c r="I2115" s="101">
        <f t="shared" si="131"/>
        <v>0</v>
      </c>
      <c r="J2115" s="101">
        <f t="shared" si="132"/>
        <v>0</v>
      </c>
    </row>
    <row r="2116" spans="2:10" x14ac:dyDescent="0.2">
      <c r="B2116" s="93"/>
      <c r="C2116" s="97"/>
      <c r="D2116" s="93"/>
      <c r="E2116" s="98"/>
      <c r="F2116" s="100">
        <v>2112</v>
      </c>
      <c r="G2116" s="101">
        <f t="shared" si="129"/>
        <v>0</v>
      </c>
      <c r="H2116" s="101">
        <f t="shared" si="130"/>
        <v>0</v>
      </c>
      <c r="I2116" s="101">
        <f t="shared" si="131"/>
        <v>0</v>
      </c>
      <c r="J2116" s="101">
        <f t="shared" si="132"/>
        <v>0</v>
      </c>
    </row>
    <row r="2117" spans="2:10" x14ac:dyDescent="0.2">
      <c r="B2117" s="93"/>
      <c r="C2117" s="97"/>
      <c r="D2117" s="93"/>
      <c r="E2117" s="98"/>
      <c r="F2117" s="100">
        <v>2113</v>
      </c>
      <c r="G2117" s="101">
        <f t="shared" si="129"/>
        <v>0</v>
      </c>
      <c r="H2117" s="101">
        <f t="shared" si="130"/>
        <v>0</v>
      </c>
      <c r="I2117" s="101">
        <f t="shared" si="131"/>
        <v>0</v>
      </c>
      <c r="J2117" s="101">
        <f t="shared" si="132"/>
        <v>0</v>
      </c>
    </row>
    <row r="2118" spans="2:10" x14ac:dyDescent="0.2">
      <c r="B2118" s="93"/>
      <c r="C2118" s="97"/>
      <c r="D2118" s="93"/>
      <c r="E2118" s="98"/>
      <c r="F2118" s="100">
        <v>2114</v>
      </c>
      <c r="G2118" s="101">
        <f t="shared" ref="G2118:G2181" si="133">B2118</f>
        <v>0</v>
      </c>
      <c r="H2118" s="101">
        <f t="shared" ref="H2118:H2181" si="134">C2118</f>
        <v>0</v>
      </c>
      <c r="I2118" s="101">
        <f t="shared" ref="I2118:I2181" si="135">D2118</f>
        <v>0</v>
      </c>
      <c r="J2118" s="101">
        <f t="shared" ref="J2118:J2181" si="136">E2118</f>
        <v>0</v>
      </c>
    </row>
    <row r="2119" spans="2:10" x14ac:dyDescent="0.2">
      <c r="B2119" s="93"/>
      <c r="C2119" s="97"/>
      <c r="D2119" s="93"/>
      <c r="E2119" s="98"/>
      <c r="F2119" s="100">
        <v>2115</v>
      </c>
      <c r="G2119" s="101">
        <f t="shared" si="133"/>
        <v>0</v>
      </c>
      <c r="H2119" s="101">
        <f t="shared" si="134"/>
        <v>0</v>
      </c>
      <c r="I2119" s="101">
        <f t="shared" si="135"/>
        <v>0</v>
      </c>
      <c r="J2119" s="101">
        <f t="shared" si="136"/>
        <v>0</v>
      </c>
    </row>
    <row r="2120" spans="2:10" x14ac:dyDescent="0.2">
      <c r="B2120" s="93"/>
      <c r="C2120" s="97"/>
      <c r="D2120" s="93"/>
      <c r="E2120" s="98"/>
      <c r="F2120" s="100">
        <v>2116</v>
      </c>
      <c r="G2120" s="101">
        <f t="shared" si="133"/>
        <v>0</v>
      </c>
      <c r="H2120" s="101">
        <f t="shared" si="134"/>
        <v>0</v>
      </c>
      <c r="I2120" s="101">
        <f t="shared" si="135"/>
        <v>0</v>
      </c>
      <c r="J2120" s="101">
        <f t="shared" si="136"/>
        <v>0</v>
      </c>
    </row>
    <row r="2121" spans="2:10" x14ac:dyDescent="0.2">
      <c r="B2121" s="93"/>
      <c r="C2121" s="97"/>
      <c r="D2121" s="93"/>
      <c r="E2121" s="98"/>
      <c r="F2121" s="100">
        <v>2117</v>
      </c>
      <c r="G2121" s="101">
        <f t="shared" si="133"/>
        <v>0</v>
      </c>
      <c r="H2121" s="101">
        <f t="shared" si="134"/>
        <v>0</v>
      </c>
      <c r="I2121" s="101">
        <f t="shared" si="135"/>
        <v>0</v>
      </c>
      <c r="J2121" s="101">
        <f t="shared" si="136"/>
        <v>0</v>
      </c>
    </row>
    <row r="2122" spans="2:10" x14ac:dyDescent="0.2">
      <c r="B2122" s="93"/>
      <c r="C2122" s="97"/>
      <c r="D2122" s="93"/>
      <c r="E2122" s="98"/>
      <c r="F2122" s="100">
        <v>2118</v>
      </c>
      <c r="G2122" s="101">
        <f t="shared" si="133"/>
        <v>0</v>
      </c>
      <c r="H2122" s="101">
        <f t="shared" si="134"/>
        <v>0</v>
      </c>
      <c r="I2122" s="101">
        <f t="shared" si="135"/>
        <v>0</v>
      </c>
      <c r="J2122" s="101">
        <f t="shared" si="136"/>
        <v>0</v>
      </c>
    </row>
    <row r="2123" spans="2:10" x14ac:dyDescent="0.2">
      <c r="B2123" s="93"/>
      <c r="C2123" s="97"/>
      <c r="D2123" s="93"/>
      <c r="E2123" s="98"/>
      <c r="F2123" s="100">
        <v>2119</v>
      </c>
      <c r="G2123" s="101">
        <f t="shared" si="133"/>
        <v>0</v>
      </c>
      <c r="H2123" s="101">
        <f t="shared" si="134"/>
        <v>0</v>
      </c>
      <c r="I2123" s="101">
        <f t="shared" si="135"/>
        <v>0</v>
      </c>
      <c r="J2123" s="101">
        <f t="shared" si="136"/>
        <v>0</v>
      </c>
    </row>
    <row r="2124" spans="2:10" x14ac:dyDescent="0.2">
      <c r="B2124" s="93"/>
      <c r="C2124" s="97"/>
      <c r="D2124" s="93"/>
      <c r="E2124" s="98"/>
      <c r="F2124" s="100">
        <v>2120</v>
      </c>
      <c r="G2124" s="101">
        <f t="shared" si="133"/>
        <v>0</v>
      </c>
      <c r="H2124" s="101">
        <f t="shared" si="134"/>
        <v>0</v>
      </c>
      <c r="I2124" s="101">
        <f t="shared" si="135"/>
        <v>0</v>
      </c>
      <c r="J2124" s="101">
        <f t="shared" si="136"/>
        <v>0</v>
      </c>
    </row>
    <row r="2125" spans="2:10" x14ac:dyDescent="0.2">
      <c r="B2125" s="93"/>
      <c r="C2125" s="97"/>
      <c r="D2125" s="93"/>
      <c r="E2125" s="98"/>
      <c r="F2125" s="100">
        <v>2121</v>
      </c>
      <c r="G2125" s="101">
        <f t="shared" si="133"/>
        <v>0</v>
      </c>
      <c r="H2125" s="101">
        <f t="shared" si="134"/>
        <v>0</v>
      </c>
      <c r="I2125" s="101">
        <f t="shared" si="135"/>
        <v>0</v>
      </c>
      <c r="J2125" s="101">
        <f t="shared" si="136"/>
        <v>0</v>
      </c>
    </row>
    <row r="2126" spans="2:10" x14ac:dyDescent="0.2">
      <c r="B2126" s="93"/>
      <c r="C2126" s="97"/>
      <c r="D2126" s="93"/>
      <c r="E2126" s="98"/>
      <c r="F2126" s="100">
        <v>2122</v>
      </c>
      <c r="G2126" s="101">
        <f t="shared" si="133"/>
        <v>0</v>
      </c>
      <c r="H2126" s="101">
        <f t="shared" si="134"/>
        <v>0</v>
      </c>
      <c r="I2126" s="101">
        <f t="shared" si="135"/>
        <v>0</v>
      </c>
      <c r="J2126" s="101">
        <f t="shared" si="136"/>
        <v>0</v>
      </c>
    </row>
    <row r="2127" spans="2:10" x14ac:dyDescent="0.2">
      <c r="B2127" s="93"/>
      <c r="C2127" s="97"/>
      <c r="D2127" s="93"/>
      <c r="E2127" s="98"/>
      <c r="F2127" s="100">
        <v>2123</v>
      </c>
      <c r="G2127" s="101">
        <f t="shared" si="133"/>
        <v>0</v>
      </c>
      <c r="H2127" s="101">
        <f t="shared" si="134"/>
        <v>0</v>
      </c>
      <c r="I2127" s="101">
        <f t="shared" si="135"/>
        <v>0</v>
      </c>
      <c r="J2127" s="101">
        <f t="shared" si="136"/>
        <v>0</v>
      </c>
    </row>
    <row r="2128" spans="2:10" x14ac:dyDescent="0.2">
      <c r="B2128" s="93"/>
      <c r="C2128" s="97"/>
      <c r="D2128" s="93"/>
      <c r="E2128" s="98"/>
      <c r="F2128" s="100">
        <v>2124</v>
      </c>
      <c r="G2128" s="101">
        <f t="shared" si="133"/>
        <v>0</v>
      </c>
      <c r="H2128" s="101">
        <f t="shared" si="134"/>
        <v>0</v>
      </c>
      <c r="I2128" s="101">
        <f t="shared" si="135"/>
        <v>0</v>
      </c>
      <c r="J2128" s="101">
        <f t="shared" si="136"/>
        <v>0</v>
      </c>
    </row>
    <row r="2129" spans="2:10" x14ac:dyDescent="0.2">
      <c r="B2129" s="93"/>
      <c r="C2129" s="97"/>
      <c r="D2129" s="93"/>
      <c r="E2129" s="98"/>
      <c r="F2129" s="100">
        <v>2125</v>
      </c>
      <c r="G2129" s="101">
        <f t="shared" si="133"/>
        <v>0</v>
      </c>
      <c r="H2129" s="101">
        <f t="shared" si="134"/>
        <v>0</v>
      </c>
      <c r="I2129" s="101">
        <f t="shared" si="135"/>
        <v>0</v>
      </c>
      <c r="J2129" s="101">
        <f t="shared" si="136"/>
        <v>0</v>
      </c>
    </row>
    <row r="2130" spans="2:10" x14ac:dyDescent="0.2">
      <c r="B2130" s="93"/>
      <c r="C2130" s="97"/>
      <c r="D2130" s="93"/>
      <c r="E2130" s="98"/>
      <c r="F2130" s="100">
        <v>2126</v>
      </c>
      <c r="G2130" s="101">
        <f t="shared" si="133"/>
        <v>0</v>
      </c>
      <c r="H2130" s="101">
        <f t="shared" si="134"/>
        <v>0</v>
      </c>
      <c r="I2130" s="101">
        <f t="shared" si="135"/>
        <v>0</v>
      </c>
      <c r="J2130" s="101">
        <f t="shared" si="136"/>
        <v>0</v>
      </c>
    </row>
    <row r="2131" spans="2:10" x14ac:dyDescent="0.2">
      <c r="B2131" s="93"/>
      <c r="C2131" s="97"/>
      <c r="D2131" s="93"/>
      <c r="E2131" s="98"/>
      <c r="F2131" s="100">
        <v>2127</v>
      </c>
      <c r="G2131" s="101">
        <f t="shared" si="133"/>
        <v>0</v>
      </c>
      <c r="H2131" s="101">
        <f t="shared" si="134"/>
        <v>0</v>
      </c>
      <c r="I2131" s="101">
        <f t="shared" si="135"/>
        <v>0</v>
      </c>
      <c r="J2131" s="101">
        <f t="shared" si="136"/>
        <v>0</v>
      </c>
    </row>
    <row r="2132" spans="2:10" x14ac:dyDescent="0.2">
      <c r="B2132" s="93"/>
      <c r="C2132" s="97"/>
      <c r="D2132" s="93"/>
      <c r="E2132" s="98"/>
      <c r="F2132" s="100">
        <v>2128</v>
      </c>
      <c r="G2132" s="101">
        <f t="shared" si="133"/>
        <v>0</v>
      </c>
      <c r="H2132" s="101">
        <f t="shared" si="134"/>
        <v>0</v>
      </c>
      <c r="I2132" s="101">
        <f t="shared" si="135"/>
        <v>0</v>
      </c>
      <c r="J2132" s="101">
        <f t="shared" si="136"/>
        <v>0</v>
      </c>
    </row>
    <row r="2133" spans="2:10" x14ac:dyDescent="0.2">
      <c r="B2133" s="93"/>
      <c r="C2133" s="97"/>
      <c r="D2133" s="93"/>
      <c r="E2133" s="98"/>
      <c r="F2133" s="100">
        <v>2129</v>
      </c>
      <c r="G2133" s="101">
        <f t="shared" si="133"/>
        <v>0</v>
      </c>
      <c r="H2133" s="101">
        <f t="shared" si="134"/>
        <v>0</v>
      </c>
      <c r="I2133" s="101">
        <f t="shared" si="135"/>
        <v>0</v>
      </c>
      <c r="J2133" s="101">
        <f t="shared" si="136"/>
        <v>0</v>
      </c>
    </row>
    <row r="2134" spans="2:10" x14ac:dyDescent="0.2">
      <c r="B2134" s="93"/>
      <c r="C2134" s="97"/>
      <c r="D2134" s="93"/>
      <c r="E2134" s="98"/>
      <c r="F2134" s="100">
        <v>2130</v>
      </c>
      <c r="G2134" s="101">
        <f t="shared" si="133"/>
        <v>0</v>
      </c>
      <c r="H2134" s="101">
        <f t="shared" si="134"/>
        <v>0</v>
      </c>
      <c r="I2134" s="101">
        <f t="shared" si="135"/>
        <v>0</v>
      </c>
      <c r="J2134" s="101">
        <f t="shared" si="136"/>
        <v>0</v>
      </c>
    </row>
    <row r="2135" spans="2:10" x14ac:dyDescent="0.2">
      <c r="B2135" s="93"/>
      <c r="C2135" s="97"/>
      <c r="D2135" s="93"/>
      <c r="E2135" s="98"/>
      <c r="F2135" s="100">
        <v>2131</v>
      </c>
      <c r="G2135" s="101">
        <f t="shared" si="133"/>
        <v>0</v>
      </c>
      <c r="H2135" s="101">
        <f t="shared" si="134"/>
        <v>0</v>
      </c>
      <c r="I2135" s="101">
        <f t="shared" si="135"/>
        <v>0</v>
      </c>
      <c r="J2135" s="101">
        <f t="shared" si="136"/>
        <v>0</v>
      </c>
    </row>
    <row r="2136" spans="2:10" x14ac:dyDescent="0.2">
      <c r="B2136" s="93"/>
      <c r="C2136" s="97"/>
      <c r="D2136" s="93"/>
      <c r="E2136" s="98"/>
      <c r="F2136" s="100">
        <v>2132</v>
      </c>
      <c r="G2136" s="101">
        <f t="shared" si="133"/>
        <v>0</v>
      </c>
      <c r="H2136" s="101">
        <f t="shared" si="134"/>
        <v>0</v>
      </c>
      <c r="I2136" s="101">
        <f t="shared" si="135"/>
        <v>0</v>
      </c>
      <c r="J2136" s="101">
        <f t="shared" si="136"/>
        <v>0</v>
      </c>
    </row>
    <row r="2137" spans="2:10" x14ac:dyDescent="0.2">
      <c r="B2137" s="93"/>
      <c r="C2137" s="97"/>
      <c r="D2137" s="93"/>
      <c r="E2137" s="98"/>
      <c r="F2137" s="100">
        <v>2133</v>
      </c>
      <c r="G2137" s="101">
        <f t="shared" si="133"/>
        <v>0</v>
      </c>
      <c r="H2137" s="101">
        <f t="shared" si="134"/>
        <v>0</v>
      </c>
      <c r="I2137" s="101">
        <f t="shared" si="135"/>
        <v>0</v>
      </c>
      <c r="J2137" s="101">
        <f t="shared" si="136"/>
        <v>0</v>
      </c>
    </row>
    <row r="2138" spans="2:10" x14ac:dyDescent="0.2">
      <c r="B2138" s="93"/>
      <c r="C2138" s="97"/>
      <c r="D2138" s="93"/>
      <c r="E2138" s="98"/>
      <c r="F2138" s="100">
        <v>2134</v>
      </c>
      <c r="G2138" s="101">
        <f t="shared" si="133"/>
        <v>0</v>
      </c>
      <c r="H2138" s="101">
        <f t="shared" si="134"/>
        <v>0</v>
      </c>
      <c r="I2138" s="101">
        <f t="shared" si="135"/>
        <v>0</v>
      </c>
      <c r="J2138" s="101">
        <f t="shared" si="136"/>
        <v>0</v>
      </c>
    </row>
    <row r="2139" spans="2:10" x14ac:dyDescent="0.2">
      <c r="B2139" s="93"/>
      <c r="C2139" s="97"/>
      <c r="D2139" s="93"/>
      <c r="E2139" s="98"/>
      <c r="F2139" s="100">
        <v>2135</v>
      </c>
      <c r="G2139" s="101">
        <f t="shared" si="133"/>
        <v>0</v>
      </c>
      <c r="H2139" s="101">
        <f t="shared" si="134"/>
        <v>0</v>
      </c>
      <c r="I2139" s="101">
        <f t="shared" si="135"/>
        <v>0</v>
      </c>
      <c r="J2139" s="101">
        <f t="shared" si="136"/>
        <v>0</v>
      </c>
    </row>
    <row r="2140" spans="2:10" x14ac:dyDescent="0.2">
      <c r="B2140" s="93"/>
      <c r="C2140" s="97"/>
      <c r="D2140" s="93"/>
      <c r="E2140" s="98"/>
      <c r="F2140" s="100">
        <v>2136</v>
      </c>
      <c r="G2140" s="101">
        <f t="shared" si="133"/>
        <v>0</v>
      </c>
      <c r="H2140" s="101">
        <f t="shared" si="134"/>
        <v>0</v>
      </c>
      <c r="I2140" s="101">
        <f t="shared" si="135"/>
        <v>0</v>
      </c>
      <c r="J2140" s="101">
        <f t="shared" si="136"/>
        <v>0</v>
      </c>
    </row>
    <row r="2141" spans="2:10" x14ac:dyDescent="0.2">
      <c r="B2141" s="93"/>
      <c r="C2141" s="97"/>
      <c r="D2141" s="93"/>
      <c r="E2141" s="98"/>
      <c r="F2141" s="100">
        <v>2137</v>
      </c>
      <c r="G2141" s="101">
        <f t="shared" si="133"/>
        <v>0</v>
      </c>
      <c r="H2141" s="101">
        <f t="shared" si="134"/>
        <v>0</v>
      </c>
      <c r="I2141" s="101">
        <f t="shared" si="135"/>
        <v>0</v>
      </c>
      <c r="J2141" s="101">
        <f t="shared" si="136"/>
        <v>0</v>
      </c>
    </row>
    <row r="2142" spans="2:10" x14ac:dyDescent="0.2">
      <c r="B2142" s="93"/>
      <c r="C2142" s="97"/>
      <c r="D2142" s="93"/>
      <c r="E2142" s="98"/>
      <c r="F2142" s="100">
        <v>2138</v>
      </c>
      <c r="G2142" s="101">
        <f t="shared" si="133"/>
        <v>0</v>
      </c>
      <c r="H2142" s="101">
        <f t="shared" si="134"/>
        <v>0</v>
      </c>
      <c r="I2142" s="101">
        <f t="shared" si="135"/>
        <v>0</v>
      </c>
      <c r="J2142" s="101">
        <f t="shared" si="136"/>
        <v>0</v>
      </c>
    </row>
    <row r="2143" spans="2:10" x14ac:dyDescent="0.2">
      <c r="B2143" s="93"/>
      <c r="C2143" s="97"/>
      <c r="D2143" s="93"/>
      <c r="E2143" s="98"/>
      <c r="F2143" s="100">
        <v>2139</v>
      </c>
      <c r="G2143" s="101">
        <f t="shared" si="133"/>
        <v>0</v>
      </c>
      <c r="H2143" s="101">
        <f t="shared" si="134"/>
        <v>0</v>
      </c>
      <c r="I2143" s="101">
        <f t="shared" si="135"/>
        <v>0</v>
      </c>
      <c r="J2143" s="101">
        <f t="shared" si="136"/>
        <v>0</v>
      </c>
    </row>
    <row r="2144" spans="2:10" x14ac:dyDescent="0.2">
      <c r="B2144" s="93"/>
      <c r="C2144" s="97"/>
      <c r="D2144" s="93"/>
      <c r="E2144" s="98"/>
      <c r="F2144" s="100">
        <v>2140</v>
      </c>
      <c r="G2144" s="101">
        <f t="shared" si="133"/>
        <v>0</v>
      </c>
      <c r="H2144" s="101">
        <f t="shared" si="134"/>
        <v>0</v>
      </c>
      <c r="I2144" s="101">
        <f t="shared" si="135"/>
        <v>0</v>
      </c>
      <c r="J2144" s="101">
        <f t="shared" si="136"/>
        <v>0</v>
      </c>
    </row>
    <row r="2145" spans="2:10" x14ac:dyDescent="0.2">
      <c r="B2145" s="93"/>
      <c r="C2145" s="97"/>
      <c r="D2145" s="93"/>
      <c r="E2145" s="98"/>
      <c r="F2145" s="100">
        <v>2141</v>
      </c>
      <c r="G2145" s="101">
        <f t="shared" si="133"/>
        <v>0</v>
      </c>
      <c r="H2145" s="101">
        <f t="shared" si="134"/>
        <v>0</v>
      </c>
      <c r="I2145" s="101">
        <f t="shared" si="135"/>
        <v>0</v>
      </c>
      <c r="J2145" s="101">
        <f t="shared" si="136"/>
        <v>0</v>
      </c>
    </row>
    <row r="2146" spans="2:10" x14ac:dyDescent="0.2">
      <c r="B2146" s="93"/>
      <c r="C2146" s="97"/>
      <c r="D2146" s="93"/>
      <c r="E2146" s="98"/>
      <c r="F2146" s="100">
        <v>2142</v>
      </c>
      <c r="G2146" s="101">
        <f t="shared" si="133"/>
        <v>0</v>
      </c>
      <c r="H2146" s="101">
        <f t="shared" si="134"/>
        <v>0</v>
      </c>
      <c r="I2146" s="101">
        <f t="shared" si="135"/>
        <v>0</v>
      </c>
      <c r="J2146" s="101">
        <f t="shared" si="136"/>
        <v>0</v>
      </c>
    </row>
    <row r="2147" spans="2:10" x14ac:dyDescent="0.2">
      <c r="B2147" s="93"/>
      <c r="C2147" s="97"/>
      <c r="D2147" s="93"/>
      <c r="E2147" s="98"/>
      <c r="F2147" s="100">
        <v>2143</v>
      </c>
      <c r="G2147" s="101">
        <f t="shared" si="133"/>
        <v>0</v>
      </c>
      <c r="H2147" s="101">
        <f t="shared" si="134"/>
        <v>0</v>
      </c>
      <c r="I2147" s="101">
        <f t="shared" si="135"/>
        <v>0</v>
      </c>
      <c r="J2147" s="101">
        <f t="shared" si="136"/>
        <v>0</v>
      </c>
    </row>
    <row r="2148" spans="2:10" x14ac:dyDescent="0.2">
      <c r="B2148" s="93"/>
      <c r="C2148" s="97"/>
      <c r="D2148" s="93"/>
      <c r="E2148" s="98"/>
      <c r="F2148" s="100">
        <v>2144</v>
      </c>
      <c r="G2148" s="101">
        <f t="shared" si="133"/>
        <v>0</v>
      </c>
      <c r="H2148" s="101">
        <f t="shared" si="134"/>
        <v>0</v>
      </c>
      <c r="I2148" s="101">
        <f t="shared" si="135"/>
        <v>0</v>
      </c>
      <c r="J2148" s="101">
        <f t="shared" si="136"/>
        <v>0</v>
      </c>
    </row>
    <row r="2149" spans="2:10" x14ac:dyDescent="0.2">
      <c r="B2149" s="93"/>
      <c r="C2149" s="97"/>
      <c r="D2149" s="93"/>
      <c r="E2149" s="98"/>
      <c r="F2149" s="100">
        <v>2145</v>
      </c>
      <c r="G2149" s="101">
        <f t="shared" si="133"/>
        <v>0</v>
      </c>
      <c r="H2149" s="101">
        <f t="shared" si="134"/>
        <v>0</v>
      </c>
      <c r="I2149" s="101">
        <f t="shared" si="135"/>
        <v>0</v>
      </c>
      <c r="J2149" s="101">
        <f t="shared" si="136"/>
        <v>0</v>
      </c>
    </row>
    <row r="2150" spans="2:10" x14ac:dyDescent="0.2">
      <c r="B2150" s="93"/>
      <c r="C2150" s="97"/>
      <c r="D2150" s="93"/>
      <c r="E2150" s="98"/>
      <c r="F2150" s="100">
        <v>2146</v>
      </c>
      <c r="G2150" s="101">
        <f t="shared" si="133"/>
        <v>0</v>
      </c>
      <c r="H2150" s="101">
        <f t="shared" si="134"/>
        <v>0</v>
      </c>
      <c r="I2150" s="101">
        <f t="shared" si="135"/>
        <v>0</v>
      </c>
      <c r="J2150" s="101">
        <f t="shared" si="136"/>
        <v>0</v>
      </c>
    </row>
    <row r="2151" spans="2:10" x14ac:dyDescent="0.2">
      <c r="B2151" s="93"/>
      <c r="C2151" s="97"/>
      <c r="D2151" s="93"/>
      <c r="E2151" s="98"/>
      <c r="F2151" s="100">
        <v>2147</v>
      </c>
      <c r="G2151" s="101">
        <f t="shared" si="133"/>
        <v>0</v>
      </c>
      <c r="H2151" s="101">
        <f t="shared" si="134"/>
        <v>0</v>
      </c>
      <c r="I2151" s="101">
        <f t="shared" si="135"/>
        <v>0</v>
      </c>
      <c r="J2151" s="101">
        <f t="shared" si="136"/>
        <v>0</v>
      </c>
    </row>
    <row r="2152" spans="2:10" x14ac:dyDescent="0.2">
      <c r="B2152" s="93"/>
      <c r="C2152" s="97"/>
      <c r="D2152" s="93"/>
      <c r="E2152" s="98"/>
      <c r="F2152" s="100">
        <v>2148</v>
      </c>
      <c r="G2152" s="101">
        <f t="shared" si="133"/>
        <v>0</v>
      </c>
      <c r="H2152" s="101">
        <f t="shared" si="134"/>
        <v>0</v>
      </c>
      <c r="I2152" s="101">
        <f t="shared" si="135"/>
        <v>0</v>
      </c>
      <c r="J2152" s="101">
        <f t="shared" si="136"/>
        <v>0</v>
      </c>
    </row>
    <row r="2153" spans="2:10" x14ac:dyDescent="0.2">
      <c r="B2153" s="93"/>
      <c r="C2153" s="97"/>
      <c r="D2153" s="93"/>
      <c r="E2153" s="98"/>
      <c r="F2153" s="100">
        <v>2149</v>
      </c>
      <c r="G2153" s="101">
        <f t="shared" si="133"/>
        <v>0</v>
      </c>
      <c r="H2153" s="101">
        <f t="shared" si="134"/>
        <v>0</v>
      </c>
      <c r="I2153" s="101">
        <f t="shared" si="135"/>
        <v>0</v>
      </c>
      <c r="J2153" s="101">
        <f t="shared" si="136"/>
        <v>0</v>
      </c>
    </row>
    <row r="2154" spans="2:10" x14ac:dyDescent="0.2">
      <c r="B2154" s="93"/>
      <c r="C2154" s="97"/>
      <c r="D2154" s="93"/>
      <c r="E2154" s="98"/>
      <c r="F2154" s="100">
        <v>2150</v>
      </c>
      <c r="G2154" s="101">
        <f t="shared" si="133"/>
        <v>0</v>
      </c>
      <c r="H2154" s="101">
        <f t="shared" si="134"/>
        <v>0</v>
      </c>
      <c r="I2154" s="101">
        <f t="shared" si="135"/>
        <v>0</v>
      </c>
      <c r="J2154" s="101">
        <f t="shared" si="136"/>
        <v>0</v>
      </c>
    </row>
    <row r="2155" spans="2:10" x14ac:dyDescent="0.2">
      <c r="B2155" s="93"/>
      <c r="C2155" s="97"/>
      <c r="D2155" s="93"/>
      <c r="E2155" s="98"/>
      <c r="F2155" s="100">
        <v>2151</v>
      </c>
      <c r="G2155" s="101">
        <f t="shared" si="133"/>
        <v>0</v>
      </c>
      <c r="H2155" s="101">
        <f t="shared" si="134"/>
        <v>0</v>
      </c>
      <c r="I2155" s="101">
        <f t="shared" si="135"/>
        <v>0</v>
      </c>
      <c r="J2155" s="101">
        <f t="shared" si="136"/>
        <v>0</v>
      </c>
    </row>
    <row r="2156" spans="2:10" x14ac:dyDescent="0.2">
      <c r="B2156" s="93"/>
      <c r="C2156" s="97"/>
      <c r="D2156" s="93"/>
      <c r="E2156" s="98"/>
      <c r="F2156" s="100">
        <v>2152</v>
      </c>
      <c r="G2156" s="101">
        <f t="shared" si="133"/>
        <v>0</v>
      </c>
      <c r="H2156" s="101">
        <f t="shared" si="134"/>
        <v>0</v>
      </c>
      <c r="I2156" s="101">
        <f t="shared" si="135"/>
        <v>0</v>
      </c>
      <c r="J2156" s="101">
        <f t="shared" si="136"/>
        <v>0</v>
      </c>
    </row>
    <row r="2157" spans="2:10" x14ac:dyDescent="0.2">
      <c r="B2157" s="93"/>
      <c r="C2157" s="97"/>
      <c r="D2157" s="93"/>
      <c r="E2157" s="98"/>
      <c r="F2157" s="100">
        <v>2153</v>
      </c>
      <c r="G2157" s="101">
        <f t="shared" si="133"/>
        <v>0</v>
      </c>
      <c r="H2157" s="101">
        <f t="shared" si="134"/>
        <v>0</v>
      </c>
      <c r="I2157" s="101">
        <f t="shared" si="135"/>
        <v>0</v>
      </c>
      <c r="J2157" s="101">
        <f t="shared" si="136"/>
        <v>0</v>
      </c>
    </row>
    <row r="2158" spans="2:10" x14ac:dyDescent="0.2">
      <c r="B2158" s="93"/>
      <c r="C2158" s="97"/>
      <c r="D2158" s="93"/>
      <c r="E2158" s="98"/>
      <c r="F2158" s="100">
        <v>2154</v>
      </c>
      <c r="G2158" s="101">
        <f t="shared" si="133"/>
        <v>0</v>
      </c>
      <c r="H2158" s="101">
        <f t="shared" si="134"/>
        <v>0</v>
      </c>
      <c r="I2158" s="101">
        <f t="shared" si="135"/>
        <v>0</v>
      </c>
      <c r="J2158" s="101">
        <f t="shared" si="136"/>
        <v>0</v>
      </c>
    </row>
    <row r="2159" spans="2:10" x14ac:dyDescent="0.2">
      <c r="B2159" s="93"/>
      <c r="C2159" s="97"/>
      <c r="D2159" s="93"/>
      <c r="E2159" s="98"/>
      <c r="F2159" s="100">
        <v>2155</v>
      </c>
      <c r="G2159" s="101">
        <f t="shared" si="133"/>
        <v>0</v>
      </c>
      <c r="H2159" s="101">
        <f t="shared" si="134"/>
        <v>0</v>
      </c>
      <c r="I2159" s="101">
        <f t="shared" si="135"/>
        <v>0</v>
      </c>
      <c r="J2159" s="101">
        <f t="shared" si="136"/>
        <v>0</v>
      </c>
    </row>
    <row r="2160" spans="2:10" x14ac:dyDescent="0.2">
      <c r="B2160" s="93"/>
      <c r="C2160" s="97"/>
      <c r="D2160" s="93"/>
      <c r="E2160" s="98"/>
      <c r="F2160" s="100">
        <v>2156</v>
      </c>
      <c r="G2160" s="101">
        <f t="shared" si="133"/>
        <v>0</v>
      </c>
      <c r="H2160" s="101">
        <f t="shared" si="134"/>
        <v>0</v>
      </c>
      <c r="I2160" s="101">
        <f t="shared" si="135"/>
        <v>0</v>
      </c>
      <c r="J2160" s="101">
        <f t="shared" si="136"/>
        <v>0</v>
      </c>
    </row>
    <row r="2161" spans="2:10" x14ac:dyDescent="0.2">
      <c r="B2161" s="93"/>
      <c r="C2161" s="97"/>
      <c r="D2161" s="93"/>
      <c r="E2161" s="98"/>
      <c r="F2161" s="100">
        <v>2157</v>
      </c>
      <c r="G2161" s="101">
        <f t="shared" si="133"/>
        <v>0</v>
      </c>
      <c r="H2161" s="101">
        <f t="shared" si="134"/>
        <v>0</v>
      </c>
      <c r="I2161" s="101">
        <f t="shared" si="135"/>
        <v>0</v>
      </c>
      <c r="J2161" s="101">
        <f t="shared" si="136"/>
        <v>0</v>
      </c>
    </row>
    <row r="2162" spans="2:10" x14ac:dyDescent="0.2">
      <c r="B2162" s="93"/>
      <c r="C2162" s="97"/>
      <c r="D2162" s="93"/>
      <c r="E2162" s="98"/>
      <c r="F2162" s="100">
        <v>2158</v>
      </c>
      <c r="G2162" s="101">
        <f t="shared" si="133"/>
        <v>0</v>
      </c>
      <c r="H2162" s="101">
        <f t="shared" si="134"/>
        <v>0</v>
      </c>
      <c r="I2162" s="101">
        <f t="shared" si="135"/>
        <v>0</v>
      </c>
      <c r="J2162" s="101">
        <f t="shared" si="136"/>
        <v>0</v>
      </c>
    </row>
    <row r="2163" spans="2:10" x14ac:dyDescent="0.2">
      <c r="B2163" s="93"/>
      <c r="C2163" s="97"/>
      <c r="D2163" s="93"/>
      <c r="E2163" s="98"/>
      <c r="F2163" s="100">
        <v>2159</v>
      </c>
      <c r="G2163" s="101">
        <f t="shared" si="133"/>
        <v>0</v>
      </c>
      <c r="H2163" s="101">
        <f t="shared" si="134"/>
        <v>0</v>
      </c>
      <c r="I2163" s="101">
        <f t="shared" si="135"/>
        <v>0</v>
      </c>
      <c r="J2163" s="101">
        <f t="shared" si="136"/>
        <v>0</v>
      </c>
    </row>
    <row r="2164" spans="2:10" x14ac:dyDescent="0.2">
      <c r="B2164" s="93"/>
      <c r="C2164" s="97"/>
      <c r="D2164" s="93"/>
      <c r="E2164" s="98"/>
      <c r="F2164" s="100">
        <v>2160</v>
      </c>
      <c r="G2164" s="101">
        <f t="shared" si="133"/>
        <v>0</v>
      </c>
      <c r="H2164" s="101">
        <f t="shared" si="134"/>
        <v>0</v>
      </c>
      <c r="I2164" s="101">
        <f t="shared" si="135"/>
        <v>0</v>
      </c>
      <c r="J2164" s="101">
        <f t="shared" si="136"/>
        <v>0</v>
      </c>
    </row>
    <row r="2165" spans="2:10" x14ac:dyDescent="0.2">
      <c r="B2165" s="93"/>
      <c r="C2165" s="97"/>
      <c r="D2165" s="93"/>
      <c r="E2165" s="98"/>
      <c r="F2165" s="100">
        <v>2161</v>
      </c>
      <c r="G2165" s="101">
        <f t="shared" si="133"/>
        <v>0</v>
      </c>
      <c r="H2165" s="101">
        <f t="shared" si="134"/>
        <v>0</v>
      </c>
      <c r="I2165" s="101">
        <f t="shared" si="135"/>
        <v>0</v>
      </c>
      <c r="J2165" s="101">
        <f t="shared" si="136"/>
        <v>0</v>
      </c>
    </row>
    <row r="2166" spans="2:10" x14ac:dyDescent="0.2">
      <c r="B2166" s="93"/>
      <c r="C2166" s="97"/>
      <c r="D2166" s="93"/>
      <c r="E2166" s="98"/>
      <c r="F2166" s="100">
        <v>2162</v>
      </c>
      <c r="G2166" s="101">
        <f t="shared" si="133"/>
        <v>0</v>
      </c>
      <c r="H2166" s="101">
        <f t="shared" si="134"/>
        <v>0</v>
      </c>
      <c r="I2166" s="101">
        <f t="shared" si="135"/>
        <v>0</v>
      </c>
      <c r="J2166" s="101">
        <f t="shared" si="136"/>
        <v>0</v>
      </c>
    </row>
    <row r="2167" spans="2:10" x14ac:dyDescent="0.2">
      <c r="B2167" s="93"/>
      <c r="C2167" s="97"/>
      <c r="D2167" s="93"/>
      <c r="E2167" s="98"/>
      <c r="F2167" s="100">
        <v>2163</v>
      </c>
      <c r="G2167" s="101">
        <f t="shared" si="133"/>
        <v>0</v>
      </c>
      <c r="H2167" s="101">
        <f t="shared" si="134"/>
        <v>0</v>
      </c>
      <c r="I2167" s="101">
        <f t="shared" si="135"/>
        <v>0</v>
      </c>
      <c r="J2167" s="101">
        <f t="shared" si="136"/>
        <v>0</v>
      </c>
    </row>
    <row r="2168" spans="2:10" x14ac:dyDescent="0.2">
      <c r="B2168" s="93"/>
      <c r="C2168" s="97"/>
      <c r="D2168" s="93"/>
      <c r="E2168" s="98"/>
      <c r="F2168" s="100">
        <v>2164</v>
      </c>
      <c r="G2168" s="101">
        <f t="shared" si="133"/>
        <v>0</v>
      </c>
      <c r="H2168" s="101">
        <f t="shared" si="134"/>
        <v>0</v>
      </c>
      <c r="I2168" s="101">
        <f t="shared" si="135"/>
        <v>0</v>
      </c>
      <c r="J2168" s="101">
        <f t="shared" si="136"/>
        <v>0</v>
      </c>
    </row>
    <row r="2169" spans="2:10" x14ac:dyDescent="0.2">
      <c r="B2169" s="93"/>
      <c r="C2169" s="97"/>
      <c r="D2169" s="93"/>
      <c r="E2169" s="98"/>
      <c r="F2169" s="100">
        <v>2165</v>
      </c>
      <c r="G2169" s="101">
        <f t="shared" si="133"/>
        <v>0</v>
      </c>
      <c r="H2169" s="101">
        <f t="shared" si="134"/>
        <v>0</v>
      </c>
      <c r="I2169" s="101">
        <f t="shared" si="135"/>
        <v>0</v>
      </c>
      <c r="J2169" s="101">
        <f t="shared" si="136"/>
        <v>0</v>
      </c>
    </row>
    <row r="2170" spans="2:10" x14ac:dyDescent="0.2">
      <c r="B2170" s="93"/>
      <c r="C2170" s="97"/>
      <c r="D2170" s="93"/>
      <c r="E2170" s="98"/>
      <c r="F2170" s="100">
        <v>2166</v>
      </c>
      <c r="G2170" s="101">
        <f t="shared" si="133"/>
        <v>0</v>
      </c>
      <c r="H2170" s="101">
        <f t="shared" si="134"/>
        <v>0</v>
      </c>
      <c r="I2170" s="101">
        <f t="shared" si="135"/>
        <v>0</v>
      </c>
      <c r="J2170" s="101">
        <f t="shared" si="136"/>
        <v>0</v>
      </c>
    </row>
    <row r="2171" spans="2:10" x14ac:dyDescent="0.2">
      <c r="B2171" s="93"/>
      <c r="C2171" s="97"/>
      <c r="D2171" s="93"/>
      <c r="E2171" s="98"/>
      <c r="F2171" s="100">
        <v>2167</v>
      </c>
      <c r="G2171" s="101">
        <f t="shared" si="133"/>
        <v>0</v>
      </c>
      <c r="H2171" s="101">
        <f t="shared" si="134"/>
        <v>0</v>
      </c>
      <c r="I2171" s="101">
        <f t="shared" si="135"/>
        <v>0</v>
      </c>
      <c r="J2171" s="101">
        <f t="shared" si="136"/>
        <v>0</v>
      </c>
    </row>
    <row r="2172" spans="2:10" x14ac:dyDescent="0.2">
      <c r="B2172" s="93"/>
      <c r="C2172" s="97"/>
      <c r="D2172" s="93"/>
      <c r="E2172" s="98"/>
      <c r="F2172" s="100">
        <v>2168</v>
      </c>
      <c r="G2172" s="101">
        <f t="shared" si="133"/>
        <v>0</v>
      </c>
      <c r="H2172" s="101">
        <f t="shared" si="134"/>
        <v>0</v>
      </c>
      <c r="I2172" s="101">
        <f t="shared" si="135"/>
        <v>0</v>
      </c>
      <c r="J2172" s="101">
        <f t="shared" si="136"/>
        <v>0</v>
      </c>
    </row>
    <row r="2173" spans="2:10" x14ac:dyDescent="0.2">
      <c r="B2173" s="93"/>
      <c r="C2173" s="97"/>
      <c r="D2173" s="93"/>
      <c r="E2173" s="98"/>
      <c r="F2173" s="100">
        <v>2169</v>
      </c>
      <c r="G2173" s="101">
        <f t="shared" si="133"/>
        <v>0</v>
      </c>
      <c r="H2173" s="101">
        <f t="shared" si="134"/>
        <v>0</v>
      </c>
      <c r="I2173" s="101">
        <f t="shared" si="135"/>
        <v>0</v>
      </c>
      <c r="J2173" s="101">
        <f t="shared" si="136"/>
        <v>0</v>
      </c>
    </row>
    <row r="2174" spans="2:10" x14ac:dyDescent="0.2">
      <c r="B2174" s="93"/>
      <c r="C2174" s="97"/>
      <c r="D2174" s="93"/>
      <c r="E2174" s="98"/>
      <c r="F2174" s="100">
        <v>2170</v>
      </c>
      <c r="G2174" s="101">
        <f t="shared" si="133"/>
        <v>0</v>
      </c>
      <c r="H2174" s="101">
        <f t="shared" si="134"/>
        <v>0</v>
      </c>
      <c r="I2174" s="101">
        <f t="shared" si="135"/>
        <v>0</v>
      </c>
      <c r="J2174" s="101">
        <f t="shared" si="136"/>
        <v>0</v>
      </c>
    </row>
    <row r="2175" spans="2:10" x14ac:dyDescent="0.2">
      <c r="B2175" s="93"/>
      <c r="C2175" s="97"/>
      <c r="D2175" s="93"/>
      <c r="E2175" s="98"/>
      <c r="F2175" s="100">
        <v>2171</v>
      </c>
      <c r="G2175" s="101">
        <f t="shared" si="133"/>
        <v>0</v>
      </c>
      <c r="H2175" s="101">
        <f t="shared" si="134"/>
        <v>0</v>
      </c>
      <c r="I2175" s="101">
        <f t="shared" si="135"/>
        <v>0</v>
      </c>
      <c r="J2175" s="101">
        <f t="shared" si="136"/>
        <v>0</v>
      </c>
    </row>
    <row r="2176" spans="2:10" x14ac:dyDescent="0.2">
      <c r="B2176" s="93"/>
      <c r="C2176" s="97"/>
      <c r="D2176" s="93"/>
      <c r="E2176" s="98"/>
      <c r="F2176" s="100">
        <v>2172</v>
      </c>
      <c r="G2176" s="101">
        <f t="shared" si="133"/>
        <v>0</v>
      </c>
      <c r="H2176" s="101">
        <f t="shared" si="134"/>
        <v>0</v>
      </c>
      <c r="I2176" s="101">
        <f t="shared" si="135"/>
        <v>0</v>
      </c>
      <c r="J2176" s="101">
        <f t="shared" si="136"/>
        <v>0</v>
      </c>
    </row>
    <row r="2177" spans="2:10" x14ac:dyDescent="0.2">
      <c r="B2177" s="93"/>
      <c r="C2177" s="97"/>
      <c r="D2177" s="93"/>
      <c r="E2177" s="98"/>
      <c r="F2177" s="100">
        <v>2173</v>
      </c>
      <c r="G2177" s="101">
        <f t="shared" si="133"/>
        <v>0</v>
      </c>
      <c r="H2177" s="101">
        <f t="shared" si="134"/>
        <v>0</v>
      </c>
      <c r="I2177" s="101">
        <f t="shared" si="135"/>
        <v>0</v>
      </c>
      <c r="J2177" s="101">
        <f t="shared" si="136"/>
        <v>0</v>
      </c>
    </row>
    <row r="2178" spans="2:10" x14ac:dyDescent="0.2">
      <c r="B2178" s="93"/>
      <c r="C2178" s="97"/>
      <c r="D2178" s="93"/>
      <c r="E2178" s="98"/>
      <c r="F2178" s="100">
        <v>2174</v>
      </c>
      <c r="G2178" s="101">
        <f t="shared" si="133"/>
        <v>0</v>
      </c>
      <c r="H2178" s="101">
        <f t="shared" si="134"/>
        <v>0</v>
      </c>
      <c r="I2178" s="101">
        <f t="shared" si="135"/>
        <v>0</v>
      </c>
      <c r="J2178" s="101">
        <f t="shared" si="136"/>
        <v>0</v>
      </c>
    </row>
    <row r="2179" spans="2:10" x14ac:dyDescent="0.2">
      <c r="B2179" s="93"/>
      <c r="C2179" s="97"/>
      <c r="D2179" s="93"/>
      <c r="E2179" s="98"/>
      <c r="F2179" s="100">
        <v>2175</v>
      </c>
      <c r="G2179" s="101">
        <f t="shared" si="133"/>
        <v>0</v>
      </c>
      <c r="H2179" s="101">
        <f t="shared" si="134"/>
        <v>0</v>
      </c>
      <c r="I2179" s="101">
        <f t="shared" si="135"/>
        <v>0</v>
      </c>
      <c r="J2179" s="101">
        <f t="shared" si="136"/>
        <v>0</v>
      </c>
    </row>
    <row r="2180" spans="2:10" x14ac:dyDescent="0.2">
      <c r="B2180" s="93"/>
      <c r="C2180" s="97"/>
      <c r="D2180" s="93"/>
      <c r="E2180" s="98"/>
      <c r="F2180" s="100">
        <v>2176</v>
      </c>
      <c r="G2180" s="101">
        <f t="shared" si="133"/>
        <v>0</v>
      </c>
      <c r="H2180" s="101">
        <f t="shared" si="134"/>
        <v>0</v>
      </c>
      <c r="I2180" s="101">
        <f t="shared" si="135"/>
        <v>0</v>
      </c>
      <c r="J2180" s="101">
        <f t="shared" si="136"/>
        <v>0</v>
      </c>
    </row>
    <row r="2181" spans="2:10" x14ac:dyDescent="0.2">
      <c r="B2181" s="93"/>
      <c r="C2181" s="97"/>
      <c r="D2181" s="93"/>
      <c r="E2181" s="98"/>
      <c r="F2181" s="100">
        <v>2177</v>
      </c>
      <c r="G2181" s="101">
        <f t="shared" si="133"/>
        <v>0</v>
      </c>
      <c r="H2181" s="101">
        <f t="shared" si="134"/>
        <v>0</v>
      </c>
      <c r="I2181" s="101">
        <f t="shared" si="135"/>
        <v>0</v>
      </c>
      <c r="J2181" s="101">
        <f t="shared" si="136"/>
        <v>0</v>
      </c>
    </row>
    <row r="2182" spans="2:10" x14ac:dyDescent="0.2">
      <c r="B2182" s="93"/>
      <c r="C2182" s="97"/>
      <c r="D2182" s="93"/>
      <c r="E2182" s="98"/>
      <c r="F2182" s="100">
        <v>2178</v>
      </c>
      <c r="G2182" s="101">
        <f t="shared" ref="G2182:G2245" si="137">B2182</f>
        <v>0</v>
      </c>
      <c r="H2182" s="101">
        <f t="shared" ref="H2182:H2245" si="138">C2182</f>
        <v>0</v>
      </c>
      <c r="I2182" s="101">
        <f t="shared" ref="I2182:I2245" si="139">D2182</f>
        <v>0</v>
      </c>
      <c r="J2182" s="101">
        <f t="shared" ref="J2182:J2245" si="140">E2182</f>
        <v>0</v>
      </c>
    </row>
    <row r="2183" spans="2:10" x14ac:dyDescent="0.2">
      <c r="B2183" s="93"/>
      <c r="C2183" s="97"/>
      <c r="D2183" s="93"/>
      <c r="E2183" s="98"/>
      <c r="F2183" s="100">
        <v>2179</v>
      </c>
      <c r="G2183" s="101">
        <f t="shared" si="137"/>
        <v>0</v>
      </c>
      <c r="H2183" s="101">
        <f t="shared" si="138"/>
        <v>0</v>
      </c>
      <c r="I2183" s="101">
        <f t="shared" si="139"/>
        <v>0</v>
      </c>
      <c r="J2183" s="101">
        <f t="shared" si="140"/>
        <v>0</v>
      </c>
    </row>
    <row r="2184" spans="2:10" x14ac:dyDescent="0.2">
      <c r="B2184" s="93"/>
      <c r="C2184" s="97"/>
      <c r="D2184" s="93"/>
      <c r="E2184" s="98"/>
      <c r="F2184" s="100">
        <v>2180</v>
      </c>
      <c r="G2184" s="101">
        <f t="shared" si="137"/>
        <v>0</v>
      </c>
      <c r="H2184" s="101">
        <f t="shared" si="138"/>
        <v>0</v>
      </c>
      <c r="I2184" s="101">
        <f t="shared" si="139"/>
        <v>0</v>
      </c>
      <c r="J2184" s="101">
        <f t="shared" si="140"/>
        <v>0</v>
      </c>
    </row>
    <row r="2185" spans="2:10" x14ac:dyDescent="0.2">
      <c r="B2185" s="93"/>
      <c r="C2185" s="97"/>
      <c r="D2185" s="93"/>
      <c r="E2185" s="98"/>
      <c r="F2185" s="100">
        <v>2181</v>
      </c>
      <c r="G2185" s="101">
        <f t="shared" si="137"/>
        <v>0</v>
      </c>
      <c r="H2185" s="101">
        <f t="shared" si="138"/>
        <v>0</v>
      </c>
      <c r="I2185" s="101">
        <f t="shared" si="139"/>
        <v>0</v>
      </c>
      <c r="J2185" s="101">
        <f t="shared" si="140"/>
        <v>0</v>
      </c>
    </row>
    <row r="2186" spans="2:10" x14ac:dyDescent="0.2">
      <c r="B2186" s="93"/>
      <c r="C2186" s="97"/>
      <c r="D2186" s="93"/>
      <c r="E2186" s="98"/>
      <c r="F2186" s="100">
        <v>2182</v>
      </c>
      <c r="G2186" s="101">
        <f t="shared" si="137"/>
        <v>0</v>
      </c>
      <c r="H2186" s="101">
        <f t="shared" si="138"/>
        <v>0</v>
      </c>
      <c r="I2186" s="101">
        <f t="shared" si="139"/>
        <v>0</v>
      </c>
      <c r="J2186" s="101">
        <f t="shared" si="140"/>
        <v>0</v>
      </c>
    </row>
    <row r="2187" spans="2:10" x14ac:dyDescent="0.2">
      <c r="B2187" s="93"/>
      <c r="C2187" s="97"/>
      <c r="D2187" s="93"/>
      <c r="E2187" s="98"/>
      <c r="F2187" s="100">
        <v>2183</v>
      </c>
      <c r="G2187" s="101">
        <f t="shared" si="137"/>
        <v>0</v>
      </c>
      <c r="H2187" s="101">
        <f t="shared" si="138"/>
        <v>0</v>
      </c>
      <c r="I2187" s="101">
        <f t="shared" si="139"/>
        <v>0</v>
      </c>
      <c r="J2187" s="101">
        <f t="shared" si="140"/>
        <v>0</v>
      </c>
    </row>
    <row r="2188" spans="2:10" x14ac:dyDescent="0.2">
      <c r="B2188" s="93"/>
      <c r="C2188" s="97"/>
      <c r="D2188" s="93"/>
      <c r="E2188" s="98"/>
      <c r="F2188" s="100">
        <v>2184</v>
      </c>
      <c r="G2188" s="101">
        <f t="shared" si="137"/>
        <v>0</v>
      </c>
      <c r="H2188" s="101">
        <f t="shared" si="138"/>
        <v>0</v>
      </c>
      <c r="I2188" s="101">
        <f t="shared" si="139"/>
        <v>0</v>
      </c>
      <c r="J2188" s="101">
        <f t="shared" si="140"/>
        <v>0</v>
      </c>
    </row>
    <row r="2189" spans="2:10" x14ac:dyDescent="0.2">
      <c r="B2189" s="93"/>
      <c r="C2189" s="97"/>
      <c r="D2189" s="93"/>
      <c r="E2189" s="98"/>
      <c r="F2189" s="100">
        <v>2185</v>
      </c>
      <c r="G2189" s="101">
        <f t="shared" si="137"/>
        <v>0</v>
      </c>
      <c r="H2189" s="101">
        <f t="shared" si="138"/>
        <v>0</v>
      </c>
      <c r="I2189" s="101">
        <f t="shared" si="139"/>
        <v>0</v>
      </c>
      <c r="J2189" s="101">
        <f t="shared" si="140"/>
        <v>0</v>
      </c>
    </row>
    <row r="2190" spans="2:10" x14ac:dyDescent="0.2">
      <c r="B2190" s="93"/>
      <c r="C2190" s="97"/>
      <c r="D2190" s="93"/>
      <c r="E2190" s="98"/>
      <c r="F2190" s="100">
        <v>2186</v>
      </c>
      <c r="G2190" s="101">
        <f t="shared" si="137"/>
        <v>0</v>
      </c>
      <c r="H2190" s="101">
        <f t="shared" si="138"/>
        <v>0</v>
      </c>
      <c r="I2190" s="101">
        <f t="shared" si="139"/>
        <v>0</v>
      </c>
      <c r="J2190" s="101">
        <f t="shared" si="140"/>
        <v>0</v>
      </c>
    </row>
    <row r="2191" spans="2:10" x14ac:dyDescent="0.2">
      <c r="B2191" s="93"/>
      <c r="C2191" s="97"/>
      <c r="D2191" s="93"/>
      <c r="E2191" s="98"/>
      <c r="F2191" s="100">
        <v>2187</v>
      </c>
      <c r="G2191" s="101">
        <f t="shared" si="137"/>
        <v>0</v>
      </c>
      <c r="H2191" s="101">
        <f t="shared" si="138"/>
        <v>0</v>
      </c>
      <c r="I2191" s="101">
        <f t="shared" si="139"/>
        <v>0</v>
      </c>
      <c r="J2191" s="101">
        <f t="shared" si="140"/>
        <v>0</v>
      </c>
    </row>
    <row r="2192" spans="2:10" x14ac:dyDescent="0.2">
      <c r="B2192" s="93"/>
      <c r="C2192" s="97"/>
      <c r="D2192" s="93"/>
      <c r="E2192" s="98"/>
      <c r="F2192" s="100">
        <v>2188</v>
      </c>
      <c r="G2192" s="101">
        <f t="shared" si="137"/>
        <v>0</v>
      </c>
      <c r="H2192" s="101">
        <f t="shared" si="138"/>
        <v>0</v>
      </c>
      <c r="I2192" s="101">
        <f t="shared" si="139"/>
        <v>0</v>
      </c>
      <c r="J2192" s="101">
        <f t="shared" si="140"/>
        <v>0</v>
      </c>
    </row>
    <row r="2193" spans="2:10" x14ac:dyDescent="0.2">
      <c r="B2193" s="93"/>
      <c r="C2193" s="97"/>
      <c r="D2193" s="93"/>
      <c r="E2193" s="98"/>
      <c r="F2193" s="100">
        <v>2189</v>
      </c>
      <c r="G2193" s="101">
        <f t="shared" si="137"/>
        <v>0</v>
      </c>
      <c r="H2193" s="101">
        <f t="shared" si="138"/>
        <v>0</v>
      </c>
      <c r="I2193" s="101">
        <f t="shared" si="139"/>
        <v>0</v>
      </c>
      <c r="J2193" s="101">
        <f t="shared" si="140"/>
        <v>0</v>
      </c>
    </row>
    <row r="2194" spans="2:10" x14ac:dyDescent="0.2">
      <c r="B2194" s="93"/>
      <c r="C2194" s="97"/>
      <c r="D2194" s="93"/>
      <c r="E2194" s="98"/>
      <c r="F2194" s="100">
        <v>2190</v>
      </c>
      <c r="G2194" s="101">
        <f t="shared" si="137"/>
        <v>0</v>
      </c>
      <c r="H2194" s="101">
        <f t="shared" si="138"/>
        <v>0</v>
      </c>
      <c r="I2194" s="101">
        <f t="shared" si="139"/>
        <v>0</v>
      </c>
      <c r="J2194" s="101">
        <f t="shared" si="140"/>
        <v>0</v>
      </c>
    </row>
    <row r="2195" spans="2:10" x14ac:dyDescent="0.2">
      <c r="B2195" s="93"/>
      <c r="C2195" s="97"/>
      <c r="D2195" s="93"/>
      <c r="E2195" s="98"/>
      <c r="F2195" s="100">
        <v>2191</v>
      </c>
      <c r="G2195" s="101">
        <f t="shared" si="137"/>
        <v>0</v>
      </c>
      <c r="H2195" s="101">
        <f t="shared" si="138"/>
        <v>0</v>
      </c>
      <c r="I2195" s="101">
        <f t="shared" si="139"/>
        <v>0</v>
      </c>
      <c r="J2195" s="101">
        <f t="shared" si="140"/>
        <v>0</v>
      </c>
    </row>
    <row r="2196" spans="2:10" x14ac:dyDescent="0.2">
      <c r="B2196" s="93"/>
      <c r="C2196" s="97"/>
      <c r="D2196" s="93"/>
      <c r="E2196" s="98"/>
      <c r="F2196" s="100">
        <v>2192</v>
      </c>
      <c r="G2196" s="101">
        <f t="shared" si="137"/>
        <v>0</v>
      </c>
      <c r="H2196" s="101">
        <f t="shared" si="138"/>
        <v>0</v>
      </c>
      <c r="I2196" s="101">
        <f t="shared" si="139"/>
        <v>0</v>
      </c>
      <c r="J2196" s="101">
        <f t="shared" si="140"/>
        <v>0</v>
      </c>
    </row>
    <row r="2197" spans="2:10" x14ac:dyDescent="0.2">
      <c r="B2197" s="93"/>
      <c r="C2197" s="97"/>
      <c r="D2197" s="93"/>
      <c r="E2197" s="98"/>
      <c r="F2197" s="100">
        <v>2193</v>
      </c>
      <c r="G2197" s="101">
        <f t="shared" si="137"/>
        <v>0</v>
      </c>
      <c r="H2197" s="101">
        <f t="shared" si="138"/>
        <v>0</v>
      </c>
      <c r="I2197" s="101">
        <f t="shared" si="139"/>
        <v>0</v>
      </c>
      <c r="J2197" s="101">
        <f t="shared" si="140"/>
        <v>0</v>
      </c>
    </row>
    <row r="2198" spans="2:10" x14ac:dyDescent="0.2">
      <c r="B2198" s="93"/>
      <c r="C2198" s="97"/>
      <c r="D2198" s="93"/>
      <c r="E2198" s="98"/>
      <c r="F2198" s="100">
        <v>2194</v>
      </c>
      <c r="G2198" s="101">
        <f t="shared" si="137"/>
        <v>0</v>
      </c>
      <c r="H2198" s="101">
        <f t="shared" si="138"/>
        <v>0</v>
      </c>
      <c r="I2198" s="101">
        <f t="shared" si="139"/>
        <v>0</v>
      </c>
      <c r="J2198" s="101">
        <f t="shared" si="140"/>
        <v>0</v>
      </c>
    </row>
    <row r="2199" spans="2:10" x14ac:dyDescent="0.2">
      <c r="B2199" s="93"/>
      <c r="C2199" s="97"/>
      <c r="D2199" s="93"/>
      <c r="E2199" s="98"/>
      <c r="F2199" s="100">
        <v>2195</v>
      </c>
      <c r="G2199" s="101">
        <f t="shared" si="137"/>
        <v>0</v>
      </c>
      <c r="H2199" s="101">
        <f t="shared" si="138"/>
        <v>0</v>
      </c>
      <c r="I2199" s="101">
        <f t="shared" si="139"/>
        <v>0</v>
      </c>
      <c r="J2199" s="101">
        <f t="shared" si="140"/>
        <v>0</v>
      </c>
    </row>
    <row r="2200" spans="2:10" x14ac:dyDescent="0.2">
      <c r="B2200" s="93"/>
      <c r="C2200" s="97"/>
      <c r="D2200" s="93"/>
      <c r="E2200" s="98"/>
      <c r="F2200" s="100">
        <v>2196</v>
      </c>
      <c r="G2200" s="101">
        <f t="shared" si="137"/>
        <v>0</v>
      </c>
      <c r="H2200" s="101">
        <f t="shared" si="138"/>
        <v>0</v>
      </c>
      <c r="I2200" s="101">
        <f t="shared" si="139"/>
        <v>0</v>
      </c>
      <c r="J2200" s="101">
        <f t="shared" si="140"/>
        <v>0</v>
      </c>
    </row>
    <row r="2201" spans="2:10" x14ac:dyDescent="0.2">
      <c r="B2201" s="93"/>
      <c r="C2201" s="97"/>
      <c r="D2201" s="93"/>
      <c r="E2201" s="98"/>
      <c r="F2201" s="100">
        <v>2197</v>
      </c>
      <c r="G2201" s="101">
        <f t="shared" si="137"/>
        <v>0</v>
      </c>
      <c r="H2201" s="101">
        <f t="shared" si="138"/>
        <v>0</v>
      </c>
      <c r="I2201" s="101">
        <f t="shared" si="139"/>
        <v>0</v>
      </c>
      <c r="J2201" s="101">
        <f t="shared" si="140"/>
        <v>0</v>
      </c>
    </row>
    <row r="2202" spans="2:10" x14ac:dyDescent="0.2">
      <c r="B2202" s="93"/>
      <c r="C2202" s="97"/>
      <c r="D2202" s="93"/>
      <c r="E2202" s="98"/>
      <c r="F2202" s="100">
        <v>2198</v>
      </c>
      <c r="G2202" s="101">
        <f t="shared" si="137"/>
        <v>0</v>
      </c>
      <c r="H2202" s="101">
        <f t="shared" si="138"/>
        <v>0</v>
      </c>
      <c r="I2202" s="101">
        <f t="shared" si="139"/>
        <v>0</v>
      </c>
      <c r="J2202" s="101">
        <f t="shared" si="140"/>
        <v>0</v>
      </c>
    </row>
    <row r="2203" spans="2:10" x14ac:dyDescent="0.2">
      <c r="B2203" s="93"/>
      <c r="C2203" s="97"/>
      <c r="D2203" s="93"/>
      <c r="E2203" s="98"/>
      <c r="F2203" s="100">
        <v>2199</v>
      </c>
      <c r="G2203" s="101">
        <f t="shared" si="137"/>
        <v>0</v>
      </c>
      <c r="H2203" s="101">
        <f t="shared" si="138"/>
        <v>0</v>
      </c>
      <c r="I2203" s="101">
        <f t="shared" si="139"/>
        <v>0</v>
      </c>
      <c r="J2203" s="101">
        <f t="shared" si="140"/>
        <v>0</v>
      </c>
    </row>
    <row r="2204" spans="2:10" x14ac:dyDescent="0.2">
      <c r="B2204" s="93"/>
      <c r="C2204" s="97"/>
      <c r="D2204" s="93"/>
      <c r="E2204" s="98"/>
      <c r="F2204" s="100">
        <v>2200</v>
      </c>
      <c r="G2204" s="101">
        <f t="shared" si="137"/>
        <v>0</v>
      </c>
      <c r="H2204" s="101">
        <f t="shared" si="138"/>
        <v>0</v>
      </c>
      <c r="I2204" s="101">
        <f t="shared" si="139"/>
        <v>0</v>
      </c>
      <c r="J2204" s="101">
        <f t="shared" si="140"/>
        <v>0</v>
      </c>
    </row>
    <row r="2205" spans="2:10" x14ac:dyDescent="0.2">
      <c r="B2205" s="93"/>
      <c r="C2205" s="97"/>
      <c r="D2205" s="93"/>
      <c r="E2205" s="98"/>
      <c r="F2205" s="100">
        <v>2201</v>
      </c>
      <c r="G2205" s="101">
        <f t="shared" si="137"/>
        <v>0</v>
      </c>
      <c r="H2205" s="101">
        <f t="shared" si="138"/>
        <v>0</v>
      </c>
      <c r="I2205" s="101">
        <f t="shared" si="139"/>
        <v>0</v>
      </c>
      <c r="J2205" s="101">
        <f t="shared" si="140"/>
        <v>0</v>
      </c>
    </row>
    <row r="2206" spans="2:10" x14ac:dyDescent="0.2">
      <c r="B2206" s="93"/>
      <c r="C2206" s="97"/>
      <c r="D2206" s="93"/>
      <c r="E2206" s="98"/>
      <c r="F2206" s="100">
        <v>2202</v>
      </c>
      <c r="G2206" s="101">
        <f t="shared" si="137"/>
        <v>0</v>
      </c>
      <c r="H2206" s="101">
        <f t="shared" si="138"/>
        <v>0</v>
      </c>
      <c r="I2206" s="101">
        <f t="shared" si="139"/>
        <v>0</v>
      </c>
      <c r="J2206" s="101">
        <f t="shared" si="140"/>
        <v>0</v>
      </c>
    </row>
    <row r="2207" spans="2:10" x14ac:dyDescent="0.2">
      <c r="B2207" s="93"/>
      <c r="C2207" s="97"/>
      <c r="D2207" s="93"/>
      <c r="E2207" s="98"/>
      <c r="F2207" s="100">
        <v>2203</v>
      </c>
      <c r="G2207" s="101">
        <f t="shared" si="137"/>
        <v>0</v>
      </c>
      <c r="H2207" s="101">
        <f t="shared" si="138"/>
        <v>0</v>
      </c>
      <c r="I2207" s="101">
        <f t="shared" si="139"/>
        <v>0</v>
      </c>
      <c r="J2207" s="101">
        <f t="shared" si="140"/>
        <v>0</v>
      </c>
    </row>
    <row r="2208" spans="2:10" x14ac:dyDescent="0.2">
      <c r="B2208" s="93"/>
      <c r="C2208" s="97"/>
      <c r="D2208" s="93"/>
      <c r="E2208" s="98"/>
      <c r="F2208" s="100">
        <v>2204</v>
      </c>
      <c r="G2208" s="101">
        <f t="shared" si="137"/>
        <v>0</v>
      </c>
      <c r="H2208" s="101">
        <f t="shared" si="138"/>
        <v>0</v>
      </c>
      <c r="I2208" s="101">
        <f t="shared" si="139"/>
        <v>0</v>
      </c>
      <c r="J2208" s="101">
        <f t="shared" si="140"/>
        <v>0</v>
      </c>
    </row>
    <row r="2209" spans="2:10" x14ac:dyDescent="0.2">
      <c r="B2209" s="93"/>
      <c r="C2209" s="97"/>
      <c r="D2209" s="93"/>
      <c r="E2209" s="98"/>
      <c r="F2209" s="100">
        <v>2205</v>
      </c>
      <c r="G2209" s="101">
        <f t="shared" si="137"/>
        <v>0</v>
      </c>
      <c r="H2209" s="101">
        <f t="shared" si="138"/>
        <v>0</v>
      </c>
      <c r="I2209" s="101">
        <f t="shared" si="139"/>
        <v>0</v>
      </c>
      <c r="J2209" s="101">
        <f t="shared" si="140"/>
        <v>0</v>
      </c>
    </row>
    <row r="2210" spans="2:10" x14ac:dyDescent="0.2">
      <c r="B2210" s="93"/>
      <c r="C2210" s="97"/>
      <c r="D2210" s="93"/>
      <c r="E2210" s="98"/>
      <c r="F2210" s="100">
        <v>2206</v>
      </c>
      <c r="G2210" s="101">
        <f t="shared" si="137"/>
        <v>0</v>
      </c>
      <c r="H2210" s="101">
        <f t="shared" si="138"/>
        <v>0</v>
      </c>
      <c r="I2210" s="101">
        <f t="shared" si="139"/>
        <v>0</v>
      </c>
      <c r="J2210" s="101">
        <f t="shared" si="140"/>
        <v>0</v>
      </c>
    </row>
    <row r="2211" spans="2:10" x14ac:dyDescent="0.2">
      <c r="B2211" s="93"/>
      <c r="C2211" s="97"/>
      <c r="D2211" s="93"/>
      <c r="E2211" s="98"/>
      <c r="F2211" s="100">
        <v>2207</v>
      </c>
      <c r="G2211" s="101">
        <f t="shared" si="137"/>
        <v>0</v>
      </c>
      <c r="H2211" s="101">
        <f t="shared" si="138"/>
        <v>0</v>
      </c>
      <c r="I2211" s="101">
        <f t="shared" si="139"/>
        <v>0</v>
      </c>
      <c r="J2211" s="101">
        <f t="shared" si="140"/>
        <v>0</v>
      </c>
    </row>
    <row r="2212" spans="2:10" x14ac:dyDescent="0.2">
      <c r="B2212" s="93"/>
      <c r="C2212" s="97"/>
      <c r="D2212" s="93"/>
      <c r="E2212" s="98"/>
      <c r="F2212" s="100">
        <v>2208</v>
      </c>
      <c r="G2212" s="101">
        <f t="shared" si="137"/>
        <v>0</v>
      </c>
      <c r="H2212" s="101">
        <f t="shared" si="138"/>
        <v>0</v>
      </c>
      <c r="I2212" s="101">
        <f t="shared" si="139"/>
        <v>0</v>
      </c>
      <c r="J2212" s="101">
        <f t="shared" si="140"/>
        <v>0</v>
      </c>
    </row>
    <row r="2213" spans="2:10" x14ac:dyDescent="0.2">
      <c r="B2213" s="93"/>
      <c r="C2213" s="97"/>
      <c r="D2213" s="93"/>
      <c r="E2213" s="98"/>
      <c r="F2213" s="100">
        <v>2209</v>
      </c>
      <c r="G2213" s="101">
        <f t="shared" si="137"/>
        <v>0</v>
      </c>
      <c r="H2213" s="101">
        <f t="shared" si="138"/>
        <v>0</v>
      </c>
      <c r="I2213" s="101">
        <f t="shared" si="139"/>
        <v>0</v>
      </c>
      <c r="J2213" s="101">
        <f t="shared" si="140"/>
        <v>0</v>
      </c>
    </row>
    <row r="2214" spans="2:10" x14ac:dyDescent="0.2">
      <c r="B2214" s="93"/>
      <c r="C2214" s="97"/>
      <c r="D2214" s="93"/>
      <c r="E2214" s="98"/>
      <c r="F2214" s="100">
        <v>2210</v>
      </c>
      <c r="G2214" s="101">
        <f t="shared" si="137"/>
        <v>0</v>
      </c>
      <c r="H2214" s="101">
        <f t="shared" si="138"/>
        <v>0</v>
      </c>
      <c r="I2214" s="101">
        <f t="shared" si="139"/>
        <v>0</v>
      </c>
      <c r="J2214" s="101">
        <f t="shared" si="140"/>
        <v>0</v>
      </c>
    </row>
    <row r="2215" spans="2:10" x14ac:dyDescent="0.2">
      <c r="B2215" s="93"/>
      <c r="C2215" s="97"/>
      <c r="D2215" s="93"/>
      <c r="E2215" s="98"/>
      <c r="F2215" s="100">
        <v>2211</v>
      </c>
      <c r="G2215" s="101">
        <f t="shared" si="137"/>
        <v>0</v>
      </c>
      <c r="H2215" s="101">
        <f t="shared" si="138"/>
        <v>0</v>
      </c>
      <c r="I2215" s="101">
        <f t="shared" si="139"/>
        <v>0</v>
      </c>
      <c r="J2215" s="101">
        <f t="shared" si="140"/>
        <v>0</v>
      </c>
    </row>
    <row r="2216" spans="2:10" x14ac:dyDescent="0.2">
      <c r="B2216" s="93"/>
      <c r="C2216" s="97"/>
      <c r="D2216" s="93"/>
      <c r="E2216" s="98"/>
      <c r="F2216" s="100">
        <v>2212</v>
      </c>
      <c r="G2216" s="101">
        <f t="shared" si="137"/>
        <v>0</v>
      </c>
      <c r="H2216" s="101">
        <f t="shared" si="138"/>
        <v>0</v>
      </c>
      <c r="I2216" s="101">
        <f t="shared" si="139"/>
        <v>0</v>
      </c>
      <c r="J2216" s="101">
        <f t="shared" si="140"/>
        <v>0</v>
      </c>
    </row>
    <row r="2217" spans="2:10" x14ac:dyDescent="0.2">
      <c r="B2217" s="93"/>
      <c r="C2217" s="97"/>
      <c r="D2217" s="93"/>
      <c r="E2217" s="98"/>
      <c r="F2217" s="100">
        <v>2213</v>
      </c>
      <c r="G2217" s="101">
        <f t="shared" si="137"/>
        <v>0</v>
      </c>
      <c r="H2217" s="101">
        <f t="shared" si="138"/>
        <v>0</v>
      </c>
      <c r="I2217" s="101">
        <f t="shared" si="139"/>
        <v>0</v>
      </c>
      <c r="J2217" s="101">
        <f t="shared" si="140"/>
        <v>0</v>
      </c>
    </row>
    <row r="2218" spans="2:10" x14ac:dyDescent="0.2">
      <c r="B2218" s="93"/>
      <c r="C2218" s="97"/>
      <c r="D2218" s="93"/>
      <c r="E2218" s="98"/>
      <c r="F2218" s="100">
        <v>2214</v>
      </c>
      <c r="G2218" s="101">
        <f t="shared" si="137"/>
        <v>0</v>
      </c>
      <c r="H2218" s="101">
        <f t="shared" si="138"/>
        <v>0</v>
      </c>
      <c r="I2218" s="101">
        <f t="shared" si="139"/>
        <v>0</v>
      </c>
      <c r="J2218" s="101">
        <f t="shared" si="140"/>
        <v>0</v>
      </c>
    </row>
    <row r="2219" spans="2:10" x14ac:dyDescent="0.2">
      <c r="B2219" s="93"/>
      <c r="C2219" s="97"/>
      <c r="D2219" s="93"/>
      <c r="E2219" s="98"/>
      <c r="F2219" s="100">
        <v>2215</v>
      </c>
      <c r="G2219" s="101">
        <f t="shared" si="137"/>
        <v>0</v>
      </c>
      <c r="H2219" s="101">
        <f t="shared" si="138"/>
        <v>0</v>
      </c>
      <c r="I2219" s="101">
        <f t="shared" si="139"/>
        <v>0</v>
      </c>
      <c r="J2219" s="101">
        <f t="shared" si="140"/>
        <v>0</v>
      </c>
    </row>
    <row r="2220" spans="2:10" x14ac:dyDescent="0.2">
      <c r="B2220" s="93"/>
      <c r="C2220" s="97"/>
      <c r="D2220" s="93"/>
      <c r="E2220" s="98"/>
      <c r="F2220" s="100">
        <v>2216</v>
      </c>
      <c r="G2220" s="101">
        <f t="shared" si="137"/>
        <v>0</v>
      </c>
      <c r="H2220" s="101">
        <f t="shared" si="138"/>
        <v>0</v>
      </c>
      <c r="I2220" s="101">
        <f t="shared" si="139"/>
        <v>0</v>
      </c>
      <c r="J2220" s="101">
        <f t="shared" si="140"/>
        <v>0</v>
      </c>
    </row>
    <row r="2221" spans="2:10" x14ac:dyDescent="0.2">
      <c r="B2221" s="93"/>
      <c r="C2221" s="97"/>
      <c r="D2221" s="93"/>
      <c r="E2221" s="98"/>
      <c r="F2221" s="100">
        <v>2217</v>
      </c>
      <c r="G2221" s="101">
        <f t="shared" si="137"/>
        <v>0</v>
      </c>
      <c r="H2221" s="101">
        <f t="shared" si="138"/>
        <v>0</v>
      </c>
      <c r="I2221" s="101">
        <f t="shared" si="139"/>
        <v>0</v>
      </c>
      <c r="J2221" s="101">
        <f t="shared" si="140"/>
        <v>0</v>
      </c>
    </row>
    <row r="2222" spans="2:10" x14ac:dyDescent="0.2">
      <c r="B2222" s="93"/>
      <c r="C2222" s="97"/>
      <c r="D2222" s="93"/>
      <c r="E2222" s="98"/>
      <c r="F2222" s="100">
        <v>2218</v>
      </c>
      <c r="G2222" s="101">
        <f t="shared" si="137"/>
        <v>0</v>
      </c>
      <c r="H2222" s="101">
        <f t="shared" si="138"/>
        <v>0</v>
      </c>
      <c r="I2222" s="101">
        <f t="shared" si="139"/>
        <v>0</v>
      </c>
      <c r="J2222" s="101">
        <f t="shared" si="140"/>
        <v>0</v>
      </c>
    </row>
    <row r="2223" spans="2:10" x14ac:dyDescent="0.2">
      <c r="B2223" s="93"/>
      <c r="C2223" s="97"/>
      <c r="D2223" s="93"/>
      <c r="E2223" s="98"/>
      <c r="F2223" s="100">
        <v>2219</v>
      </c>
      <c r="G2223" s="101">
        <f t="shared" si="137"/>
        <v>0</v>
      </c>
      <c r="H2223" s="101">
        <f t="shared" si="138"/>
        <v>0</v>
      </c>
      <c r="I2223" s="101">
        <f t="shared" si="139"/>
        <v>0</v>
      </c>
      <c r="J2223" s="101">
        <f t="shared" si="140"/>
        <v>0</v>
      </c>
    </row>
    <row r="2224" spans="2:10" x14ac:dyDescent="0.2">
      <c r="B2224" s="93"/>
      <c r="C2224" s="97"/>
      <c r="D2224" s="93"/>
      <c r="E2224" s="98"/>
      <c r="F2224" s="100">
        <v>2220</v>
      </c>
      <c r="G2224" s="101">
        <f t="shared" si="137"/>
        <v>0</v>
      </c>
      <c r="H2224" s="101">
        <f t="shared" si="138"/>
        <v>0</v>
      </c>
      <c r="I2224" s="101">
        <f t="shared" si="139"/>
        <v>0</v>
      </c>
      <c r="J2224" s="101">
        <f t="shared" si="140"/>
        <v>0</v>
      </c>
    </row>
    <row r="2225" spans="2:10" x14ac:dyDescent="0.2">
      <c r="B2225" s="93"/>
      <c r="C2225" s="97"/>
      <c r="D2225" s="93"/>
      <c r="E2225" s="98"/>
      <c r="F2225" s="100">
        <v>2221</v>
      </c>
      <c r="G2225" s="101">
        <f t="shared" si="137"/>
        <v>0</v>
      </c>
      <c r="H2225" s="101">
        <f t="shared" si="138"/>
        <v>0</v>
      </c>
      <c r="I2225" s="101">
        <f t="shared" si="139"/>
        <v>0</v>
      </c>
      <c r="J2225" s="101">
        <f t="shared" si="140"/>
        <v>0</v>
      </c>
    </row>
    <row r="2226" spans="2:10" x14ac:dyDescent="0.2">
      <c r="B2226" s="93"/>
      <c r="C2226" s="97"/>
      <c r="D2226" s="93"/>
      <c r="E2226" s="98"/>
      <c r="F2226" s="100">
        <v>2222</v>
      </c>
      <c r="G2226" s="101">
        <f t="shared" si="137"/>
        <v>0</v>
      </c>
      <c r="H2226" s="101">
        <f t="shared" si="138"/>
        <v>0</v>
      </c>
      <c r="I2226" s="101">
        <f t="shared" si="139"/>
        <v>0</v>
      </c>
      <c r="J2226" s="101">
        <f t="shared" si="140"/>
        <v>0</v>
      </c>
    </row>
    <row r="2227" spans="2:10" x14ac:dyDescent="0.2">
      <c r="B2227" s="93"/>
      <c r="C2227" s="97"/>
      <c r="D2227" s="93"/>
      <c r="E2227" s="98"/>
      <c r="F2227" s="100">
        <v>2223</v>
      </c>
      <c r="G2227" s="101">
        <f t="shared" si="137"/>
        <v>0</v>
      </c>
      <c r="H2227" s="101">
        <f t="shared" si="138"/>
        <v>0</v>
      </c>
      <c r="I2227" s="101">
        <f t="shared" si="139"/>
        <v>0</v>
      </c>
      <c r="J2227" s="101">
        <f t="shared" si="140"/>
        <v>0</v>
      </c>
    </row>
    <row r="2228" spans="2:10" x14ac:dyDescent="0.2">
      <c r="B2228" s="93"/>
      <c r="C2228" s="97"/>
      <c r="D2228" s="93"/>
      <c r="E2228" s="98"/>
      <c r="F2228" s="100">
        <v>2224</v>
      </c>
      <c r="G2228" s="101">
        <f t="shared" si="137"/>
        <v>0</v>
      </c>
      <c r="H2228" s="101">
        <f t="shared" si="138"/>
        <v>0</v>
      </c>
      <c r="I2228" s="101">
        <f t="shared" si="139"/>
        <v>0</v>
      </c>
      <c r="J2228" s="101">
        <f t="shared" si="140"/>
        <v>0</v>
      </c>
    </row>
    <row r="2229" spans="2:10" x14ac:dyDescent="0.2">
      <c r="B2229" s="93"/>
      <c r="C2229" s="97"/>
      <c r="D2229" s="93"/>
      <c r="E2229" s="98"/>
      <c r="F2229" s="100">
        <v>2225</v>
      </c>
      <c r="G2229" s="101">
        <f t="shared" si="137"/>
        <v>0</v>
      </c>
      <c r="H2229" s="101">
        <f t="shared" si="138"/>
        <v>0</v>
      </c>
      <c r="I2229" s="101">
        <f t="shared" si="139"/>
        <v>0</v>
      </c>
      <c r="J2229" s="101">
        <f t="shared" si="140"/>
        <v>0</v>
      </c>
    </row>
    <row r="2230" spans="2:10" x14ac:dyDescent="0.2">
      <c r="B2230" s="93"/>
      <c r="C2230" s="97"/>
      <c r="D2230" s="93"/>
      <c r="E2230" s="98"/>
      <c r="F2230" s="100">
        <v>2226</v>
      </c>
      <c r="G2230" s="101">
        <f t="shared" si="137"/>
        <v>0</v>
      </c>
      <c r="H2230" s="101">
        <f t="shared" si="138"/>
        <v>0</v>
      </c>
      <c r="I2230" s="101">
        <f t="shared" si="139"/>
        <v>0</v>
      </c>
      <c r="J2230" s="101">
        <f t="shared" si="140"/>
        <v>0</v>
      </c>
    </row>
    <row r="2231" spans="2:10" x14ac:dyDescent="0.2">
      <c r="B2231" s="93"/>
      <c r="C2231" s="97"/>
      <c r="D2231" s="93"/>
      <c r="E2231" s="98"/>
      <c r="F2231" s="100">
        <v>2227</v>
      </c>
      <c r="G2231" s="101">
        <f t="shared" si="137"/>
        <v>0</v>
      </c>
      <c r="H2231" s="101">
        <f t="shared" si="138"/>
        <v>0</v>
      </c>
      <c r="I2231" s="101">
        <f t="shared" si="139"/>
        <v>0</v>
      </c>
      <c r="J2231" s="101">
        <f t="shared" si="140"/>
        <v>0</v>
      </c>
    </row>
    <row r="2232" spans="2:10" x14ac:dyDescent="0.2">
      <c r="B2232" s="93"/>
      <c r="C2232" s="97"/>
      <c r="D2232" s="93"/>
      <c r="E2232" s="98"/>
      <c r="F2232" s="100">
        <v>2228</v>
      </c>
      <c r="G2232" s="101">
        <f t="shared" si="137"/>
        <v>0</v>
      </c>
      <c r="H2232" s="101">
        <f t="shared" si="138"/>
        <v>0</v>
      </c>
      <c r="I2232" s="101">
        <f t="shared" si="139"/>
        <v>0</v>
      </c>
      <c r="J2232" s="101">
        <f t="shared" si="140"/>
        <v>0</v>
      </c>
    </row>
    <row r="2233" spans="2:10" x14ac:dyDescent="0.2">
      <c r="B2233" s="93"/>
      <c r="C2233" s="97"/>
      <c r="D2233" s="93"/>
      <c r="E2233" s="98"/>
      <c r="F2233" s="100">
        <v>2229</v>
      </c>
      <c r="G2233" s="101">
        <f t="shared" si="137"/>
        <v>0</v>
      </c>
      <c r="H2233" s="101">
        <f t="shared" si="138"/>
        <v>0</v>
      </c>
      <c r="I2233" s="101">
        <f t="shared" si="139"/>
        <v>0</v>
      </c>
      <c r="J2233" s="101">
        <f t="shared" si="140"/>
        <v>0</v>
      </c>
    </row>
    <row r="2234" spans="2:10" x14ac:dyDescent="0.2">
      <c r="B2234" s="93"/>
      <c r="C2234" s="97"/>
      <c r="D2234" s="93"/>
      <c r="E2234" s="98"/>
      <c r="F2234" s="100">
        <v>2230</v>
      </c>
      <c r="G2234" s="101">
        <f t="shared" si="137"/>
        <v>0</v>
      </c>
      <c r="H2234" s="101">
        <f t="shared" si="138"/>
        <v>0</v>
      </c>
      <c r="I2234" s="101">
        <f t="shared" si="139"/>
        <v>0</v>
      </c>
      <c r="J2234" s="101">
        <f t="shared" si="140"/>
        <v>0</v>
      </c>
    </row>
    <row r="2235" spans="2:10" x14ac:dyDescent="0.2">
      <c r="B2235" s="93"/>
      <c r="C2235" s="97"/>
      <c r="D2235" s="93"/>
      <c r="E2235" s="98"/>
      <c r="F2235" s="100">
        <v>2231</v>
      </c>
      <c r="G2235" s="101">
        <f t="shared" si="137"/>
        <v>0</v>
      </c>
      <c r="H2235" s="101">
        <f t="shared" si="138"/>
        <v>0</v>
      </c>
      <c r="I2235" s="101">
        <f t="shared" si="139"/>
        <v>0</v>
      </c>
      <c r="J2235" s="101">
        <f t="shared" si="140"/>
        <v>0</v>
      </c>
    </row>
    <row r="2236" spans="2:10" x14ac:dyDescent="0.2">
      <c r="B2236" s="93"/>
      <c r="C2236" s="97"/>
      <c r="D2236" s="93"/>
      <c r="E2236" s="98"/>
      <c r="F2236" s="100">
        <v>2232</v>
      </c>
      <c r="G2236" s="101">
        <f t="shared" si="137"/>
        <v>0</v>
      </c>
      <c r="H2236" s="101">
        <f t="shared" si="138"/>
        <v>0</v>
      </c>
      <c r="I2236" s="101">
        <f t="shared" si="139"/>
        <v>0</v>
      </c>
      <c r="J2236" s="101">
        <f t="shared" si="140"/>
        <v>0</v>
      </c>
    </row>
    <row r="2237" spans="2:10" x14ac:dyDescent="0.2">
      <c r="B2237" s="93"/>
      <c r="C2237" s="97"/>
      <c r="D2237" s="93"/>
      <c r="E2237" s="98"/>
      <c r="F2237" s="100">
        <v>2233</v>
      </c>
      <c r="G2237" s="101">
        <f t="shared" si="137"/>
        <v>0</v>
      </c>
      <c r="H2237" s="101">
        <f t="shared" si="138"/>
        <v>0</v>
      </c>
      <c r="I2237" s="101">
        <f t="shared" si="139"/>
        <v>0</v>
      </c>
      <c r="J2237" s="101">
        <f t="shared" si="140"/>
        <v>0</v>
      </c>
    </row>
    <row r="2238" spans="2:10" x14ac:dyDescent="0.2">
      <c r="B2238" s="93"/>
      <c r="C2238" s="97"/>
      <c r="D2238" s="93"/>
      <c r="E2238" s="98"/>
      <c r="F2238" s="100">
        <v>2234</v>
      </c>
      <c r="G2238" s="101">
        <f t="shared" si="137"/>
        <v>0</v>
      </c>
      <c r="H2238" s="101">
        <f t="shared" si="138"/>
        <v>0</v>
      </c>
      <c r="I2238" s="101">
        <f t="shared" si="139"/>
        <v>0</v>
      </c>
      <c r="J2238" s="101">
        <f t="shared" si="140"/>
        <v>0</v>
      </c>
    </row>
    <row r="2239" spans="2:10" x14ac:dyDescent="0.2">
      <c r="B2239" s="93"/>
      <c r="C2239" s="97"/>
      <c r="D2239" s="93"/>
      <c r="E2239" s="98"/>
      <c r="F2239" s="100">
        <v>2235</v>
      </c>
      <c r="G2239" s="101">
        <f t="shared" si="137"/>
        <v>0</v>
      </c>
      <c r="H2239" s="101">
        <f t="shared" si="138"/>
        <v>0</v>
      </c>
      <c r="I2239" s="101">
        <f t="shared" si="139"/>
        <v>0</v>
      </c>
      <c r="J2239" s="101">
        <f t="shared" si="140"/>
        <v>0</v>
      </c>
    </row>
    <row r="2240" spans="2:10" x14ac:dyDescent="0.2">
      <c r="B2240" s="93"/>
      <c r="C2240" s="97"/>
      <c r="D2240" s="93"/>
      <c r="E2240" s="98"/>
      <c r="F2240" s="100">
        <v>2236</v>
      </c>
      <c r="G2240" s="101">
        <f t="shared" si="137"/>
        <v>0</v>
      </c>
      <c r="H2240" s="101">
        <f t="shared" si="138"/>
        <v>0</v>
      </c>
      <c r="I2240" s="101">
        <f t="shared" si="139"/>
        <v>0</v>
      </c>
      <c r="J2240" s="101">
        <f t="shared" si="140"/>
        <v>0</v>
      </c>
    </row>
    <row r="2241" spans="2:10" x14ac:dyDescent="0.2">
      <c r="B2241" s="93"/>
      <c r="C2241" s="97"/>
      <c r="D2241" s="93"/>
      <c r="E2241" s="98"/>
      <c r="F2241" s="100">
        <v>2237</v>
      </c>
      <c r="G2241" s="101">
        <f t="shared" si="137"/>
        <v>0</v>
      </c>
      <c r="H2241" s="101">
        <f t="shared" si="138"/>
        <v>0</v>
      </c>
      <c r="I2241" s="101">
        <f t="shared" si="139"/>
        <v>0</v>
      </c>
      <c r="J2241" s="101">
        <f t="shared" si="140"/>
        <v>0</v>
      </c>
    </row>
    <row r="2242" spans="2:10" x14ac:dyDescent="0.2">
      <c r="B2242" s="93"/>
      <c r="C2242" s="97"/>
      <c r="D2242" s="93"/>
      <c r="E2242" s="98"/>
      <c r="F2242" s="100">
        <v>2238</v>
      </c>
      <c r="G2242" s="101">
        <f t="shared" si="137"/>
        <v>0</v>
      </c>
      <c r="H2242" s="101">
        <f t="shared" si="138"/>
        <v>0</v>
      </c>
      <c r="I2242" s="101">
        <f t="shared" si="139"/>
        <v>0</v>
      </c>
      <c r="J2242" s="101">
        <f t="shared" si="140"/>
        <v>0</v>
      </c>
    </row>
    <row r="2243" spans="2:10" x14ac:dyDescent="0.2">
      <c r="B2243" s="93"/>
      <c r="C2243" s="97"/>
      <c r="D2243" s="93"/>
      <c r="E2243" s="98"/>
      <c r="F2243" s="100">
        <v>2239</v>
      </c>
      <c r="G2243" s="101">
        <f t="shared" si="137"/>
        <v>0</v>
      </c>
      <c r="H2243" s="101">
        <f t="shared" si="138"/>
        <v>0</v>
      </c>
      <c r="I2243" s="101">
        <f t="shared" si="139"/>
        <v>0</v>
      </c>
      <c r="J2243" s="101">
        <f t="shared" si="140"/>
        <v>0</v>
      </c>
    </row>
    <row r="2244" spans="2:10" x14ac:dyDescent="0.2">
      <c r="B2244" s="93"/>
      <c r="C2244" s="97"/>
      <c r="D2244" s="93"/>
      <c r="E2244" s="98"/>
      <c r="F2244" s="100">
        <v>2240</v>
      </c>
      <c r="G2244" s="101">
        <f t="shared" si="137"/>
        <v>0</v>
      </c>
      <c r="H2244" s="101">
        <f t="shared" si="138"/>
        <v>0</v>
      </c>
      <c r="I2244" s="101">
        <f t="shared" si="139"/>
        <v>0</v>
      </c>
      <c r="J2244" s="101">
        <f t="shared" si="140"/>
        <v>0</v>
      </c>
    </row>
    <row r="2245" spans="2:10" x14ac:dyDescent="0.2">
      <c r="B2245" s="93"/>
      <c r="C2245" s="97"/>
      <c r="D2245" s="93"/>
      <c r="E2245" s="98"/>
      <c r="F2245" s="100">
        <v>2241</v>
      </c>
      <c r="G2245" s="101">
        <f t="shared" si="137"/>
        <v>0</v>
      </c>
      <c r="H2245" s="101">
        <f t="shared" si="138"/>
        <v>0</v>
      </c>
      <c r="I2245" s="101">
        <f t="shared" si="139"/>
        <v>0</v>
      </c>
      <c r="J2245" s="101">
        <f t="shared" si="140"/>
        <v>0</v>
      </c>
    </row>
    <row r="2246" spans="2:10" x14ac:dyDescent="0.2">
      <c r="B2246" s="93"/>
      <c r="C2246" s="97"/>
      <c r="D2246" s="93"/>
      <c r="E2246" s="98"/>
      <c r="F2246" s="100">
        <v>2242</v>
      </c>
      <c r="G2246" s="101">
        <f t="shared" ref="G2246:G2309" si="141">B2246</f>
        <v>0</v>
      </c>
      <c r="H2246" s="101">
        <f t="shared" ref="H2246:H2309" si="142">C2246</f>
        <v>0</v>
      </c>
      <c r="I2246" s="101">
        <f t="shared" ref="I2246:I2309" si="143">D2246</f>
        <v>0</v>
      </c>
      <c r="J2246" s="101">
        <f t="shared" ref="J2246:J2309" si="144">E2246</f>
        <v>0</v>
      </c>
    </row>
    <row r="2247" spans="2:10" x14ac:dyDescent="0.2">
      <c r="B2247" s="93"/>
      <c r="C2247" s="97"/>
      <c r="D2247" s="93"/>
      <c r="E2247" s="98"/>
      <c r="F2247" s="100">
        <v>2243</v>
      </c>
      <c r="G2247" s="101">
        <f t="shared" si="141"/>
        <v>0</v>
      </c>
      <c r="H2247" s="101">
        <f t="shared" si="142"/>
        <v>0</v>
      </c>
      <c r="I2247" s="101">
        <f t="shared" si="143"/>
        <v>0</v>
      </c>
      <c r="J2247" s="101">
        <f t="shared" si="144"/>
        <v>0</v>
      </c>
    </row>
    <row r="2248" spans="2:10" x14ac:dyDescent="0.2">
      <c r="B2248" s="93"/>
      <c r="C2248" s="97"/>
      <c r="D2248" s="93"/>
      <c r="E2248" s="98"/>
      <c r="F2248" s="100">
        <v>2244</v>
      </c>
      <c r="G2248" s="101">
        <f t="shared" si="141"/>
        <v>0</v>
      </c>
      <c r="H2248" s="101">
        <f t="shared" si="142"/>
        <v>0</v>
      </c>
      <c r="I2248" s="101">
        <f t="shared" si="143"/>
        <v>0</v>
      </c>
      <c r="J2248" s="101">
        <f t="shared" si="144"/>
        <v>0</v>
      </c>
    </row>
    <row r="2249" spans="2:10" x14ac:dyDescent="0.2">
      <c r="B2249" s="93"/>
      <c r="C2249" s="97"/>
      <c r="D2249" s="93"/>
      <c r="E2249" s="98"/>
      <c r="F2249" s="100">
        <v>2245</v>
      </c>
      <c r="G2249" s="101">
        <f t="shared" si="141"/>
        <v>0</v>
      </c>
      <c r="H2249" s="101">
        <f t="shared" si="142"/>
        <v>0</v>
      </c>
      <c r="I2249" s="101">
        <f t="shared" si="143"/>
        <v>0</v>
      </c>
      <c r="J2249" s="101">
        <f t="shared" si="144"/>
        <v>0</v>
      </c>
    </row>
    <row r="2250" spans="2:10" x14ac:dyDescent="0.2">
      <c r="B2250" s="93"/>
      <c r="C2250" s="97"/>
      <c r="D2250" s="93"/>
      <c r="E2250" s="98"/>
      <c r="F2250" s="100">
        <v>2246</v>
      </c>
      <c r="G2250" s="101">
        <f t="shared" si="141"/>
        <v>0</v>
      </c>
      <c r="H2250" s="101">
        <f t="shared" si="142"/>
        <v>0</v>
      </c>
      <c r="I2250" s="101">
        <f t="shared" si="143"/>
        <v>0</v>
      </c>
      <c r="J2250" s="101">
        <f t="shared" si="144"/>
        <v>0</v>
      </c>
    </row>
    <row r="2251" spans="2:10" x14ac:dyDescent="0.2">
      <c r="B2251" s="93"/>
      <c r="C2251" s="97"/>
      <c r="D2251" s="93"/>
      <c r="E2251" s="98"/>
      <c r="F2251" s="100">
        <v>2247</v>
      </c>
      <c r="G2251" s="101">
        <f t="shared" si="141"/>
        <v>0</v>
      </c>
      <c r="H2251" s="101">
        <f t="shared" si="142"/>
        <v>0</v>
      </c>
      <c r="I2251" s="101">
        <f t="shared" si="143"/>
        <v>0</v>
      </c>
      <c r="J2251" s="101">
        <f t="shared" si="144"/>
        <v>0</v>
      </c>
    </row>
    <row r="2252" spans="2:10" x14ac:dyDescent="0.2">
      <c r="B2252" s="93"/>
      <c r="C2252" s="97"/>
      <c r="D2252" s="93"/>
      <c r="E2252" s="98"/>
      <c r="F2252" s="100">
        <v>2248</v>
      </c>
      <c r="G2252" s="101">
        <f t="shared" si="141"/>
        <v>0</v>
      </c>
      <c r="H2252" s="101">
        <f t="shared" si="142"/>
        <v>0</v>
      </c>
      <c r="I2252" s="101">
        <f t="shared" si="143"/>
        <v>0</v>
      </c>
      <c r="J2252" s="101">
        <f t="shared" si="144"/>
        <v>0</v>
      </c>
    </row>
    <row r="2253" spans="2:10" x14ac:dyDescent="0.2">
      <c r="B2253" s="93"/>
      <c r="C2253" s="97"/>
      <c r="D2253" s="93"/>
      <c r="E2253" s="98"/>
      <c r="F2253" s="100">
        <v>2249</v>
      </c>
      <c r="G2253" s="101">
        <f t="shared" si="141"/>
        <v>0</v>
      </c>
      <c r="H2253" s="101">
        <f t="shared" si="142"/>
        <v>0</v>
      </c>
      <c r="I2253" s="101">
        <f t="shared" si="143"/>
        <v>0</v>
      </c>
      <c r="J2253" s="101">
        <f t="shared" si="144"/>
        <v>0</v>
      </c>
    </row>
    <row r="2254" spans="2:10" x14ac:dyDescent="0.2">
      <c r="B2254" s="93"/>
      <c r="C2254" s="97"/>
      <c r="D2254" s="93"/>
      <c r="E2254" s="98"/>
      <c r="F2254" s="100">
        <v>2250</v>
      </c>
      <c r="G2254" s="101">
        <f t="shared" si="141"/>
        <v>0</v>
      </c>
      <c r="H2254" s="101">
        <f t="shared" si="142"/>
        <v>0</v>
      </c>
      <c r="I2254" s="101">
        <f t="shared" si="143"/>
        <v>0</v>
      </c>
      <c r="J2254" s="101">
        <f t="shared" si="144"/>
        <v>0</v>
      </c>
    </row>
    <row r="2255" spans="2:10" x14ac:dyDescent="0.2">
      <c r="B2255" s="93"/>
      <c r="C2255" s="97"/>
      <c r="D2255" s="93"/>
      <c r="E2255" s="98"/>
      <c r="F2255" s="100">
        <v>2251</v>
      </c>
      <c r="G2255" s="101">
        <f t="shared" si="141"/>
        <v>0</v>
      </c>
      <c r="H2255" s="101">
        <f t="shared" si="142"/>
        <v>0</v>
      </c>
      <c r="I2255" s="101">
        <f t="shared" si="143"/>
        <v>0</v>
      </c>
      <c r="J2255" s="101">
        <f t="shared" si="144"/>
        <v>0</v>
      </c>
    </row>
    <row r="2256" spans="2:10" x14ac:dyDescent="0.2">
      <c r="B2256" s="93"/>
      <c r="C2256" s="97"/>
      <c r="D2256" s="93"/>
      <c r="E2256" s="98"/>
      <c r="F2256" s="100">
        <v>2252</v>
      </c>
      <c r="G2256" s="101">
        <f t="shared" si="141"/>
        <v>0</v>
      </c>
      <c r="H2256" s="101">
        <f t="shared" si="142"/>
        <v>0</v>
      </c>
      <c r="I2256" s="101">
        <f t="shared" si="143"/>
        <v>0</v>
      </c>
      <c r="J2256" s="101">
        <f t="shared" si="144"/>
        <v>0</v>
      </c>
    </row>
    <row r="2257" spans="2:10" x14ac:dyDescent="0.2">
      <c r="B2257" s="93"/>
      <c r="C2257" s="97"/>
      <c r="D2257" s="93"/>
      <c r="E2257" s="98"/>
      <c r="F2257" s="100">
        <v>2253</v>
      </c>
      <c r="G2257" s="101">
        <f t="shared" si="141"/>
        <v>0</v>
      </c>
      <c r="H2257" s="101">
        <f t="shared" si="142"/>
        <v>0</v>
      </c>
      <c r="I2257" s="101">
        <f t="shared" si="143"/>
        <v>0</v>
      </c>
      <c r="J2257" s="101">
        <f t="shared" si="144"/>
        <v>0</v>
      </c>
    </row>
    <row r="2258" spans="2:10" x14ac:dyDescent="0.2">
      <c r="B2258" s="93"/>
      <c r="C2258" s="97"/>
      <c r="D2258" s="93"/>
      <c r="E2258" s="98"/>
      <c r="F2258" s="100">
        <v>2254</v>
      </c>
      <c r="G2258" s="101">
        <f t="shared" si="141"/>
        <v>0</v>
      </c>
      <c r="H2258" s="101">
        <f t="shared" si="142"/>
        <v>0</v>
      </c>
      <c r="I2258" s="101">
        <f t="shared" si="143"/>
        <v>0</v>
      </c>
      <c r="J2258" s="101">
        <f t="shared" si="144"/>
        <v>0</v>
      </c>
    </row>
    <row r="2259" spans="2:10" x14ac:dyDescent="0.2">
      <c r="B2259" s="93"/>
      <c r="C2259" s="97"/>
      <c r="D2259" s="93"/>
      <c r="E2259" s="98"/>
      <c r="F2259" s="100">
        <v>2255</v>
      </c>
      <c r="G2259" s="101">
        <f t="shared" si="141"/>
        <v>0</v>
      </c>
      <c r="H2259" s="101">
        <f t="shared" si="142"/>
        <v>0</v>
      </c>
      <c r="I2259" s="101">
        <f t="shared" si="143"/>
        <v>0</v>
      </c>
      <c r="J2259" s="101">
        <f t="shared" si="144"/>
        <v>0</v>
      </c>
    </row>
    <row r="2260" spans="2:10" x14ac:dyDescent="0.2">
      <c r="B2260" s="93"/>
      <c r="C2260" s="97"/>
      <c r="D2260" s="93"/>
      <c r="E2260" s="98"/>
      <c r="F2260" s="100">
        <v>2256</v>
      </c>
      <c r="G2260" s="101">
        <f t="shared" si="141"/>
        <v>0</v>
      </c>
      <c r="H2260" s="101">
        <f t="shared" si="142"/>
        <v>0</v>
      </c>
      <c r="I2260" s="101">
        <f t="shared" si="143"/>
        <v>0</v>
      </c>
      <c r="J2260" s="101">
        <f t="shared" si="144"/>
        <v>0</v>
      </c>
    </row>
    <row r="2261" spans="2:10" x14ac:dyDescent="0.2">
      <c r="B2261" s="93"/>
      <c r="C2261" s="97"/>
      <c r="D2261" s="93"/>
      <c r="E2261" s="98"/>
      <c r="F2261" s="100">
        <v>2257</v>
      </c>
      <c r="G2261" s="101">
        <f t="shared" si="141"/>
        <v>0</v>
      </c>
      <c r="H2261" s="101">
        <f t="shared" si="142"/>
        <v>0</v>
      </c>
      <c r="I2261" s="101">
        <f t="shared" si="143"/>
        <v>0</v>
      </c>
      <c r="J2261" s="101">
        <f t="shared" si="144"/>
        <v>0</v>
      </c>
    </row>
    <row r="2262" spans="2:10" x14ac:dyDescent="0.2">
      <c r="B2262" s="93"/>
      <c r="C2262" s="97"/>
      <c r="D2262" s="93"/>
      <c r="E2262" s="98"/>
      <c r="F2262" s="100">
        <v>2258</v>
      </c>
      <c r="G2262" s="101">
        <f t="shared" si="141"/>
        <v>0</v>
      </c>
      <c r="H2262" s="101">
        <f t="shared" si="142"/>
        <v>0</v>
      </c>
      <c r="I2262" s="101">
        <f t="shared" si="143"/>
        <v>0</v>
      </c>
      <c r="J2262" s="101">
        <f t="shared" si="144"/>
        <v>0</v>
      </c>
    </row>
    <row r="2263" spans="2:10" x14ac:dyDescent="0.2">
      <c r="B2263" s="93"/>
      <c r="C2263" s="97"/>
      <c r="D2263" s="93"/>
      <c r="E2263" s="98"/>
      <c r="F2263" s="100">
        <v>2259</v>
      </c>
      <c r="G2263" s="101">
        <f t="shared" si="141"/>
        <v>0</v>
      </c>
      <c r="H2263" s="101">
        <f t="shared" si="142"/>
        <v>0</v>
      </c>
      <c r="I2263" s="101">
        <f t="shared" si="143"/>
        <v>0</v>
      </c>
      <c r="J2263" s="101">
        <f t="shared" si="144"/>
        <v>0</v>
      </c>
    </row>
    <row r="2264" spans="2:10" x14ac:dyDescent="0.2">
      <c r="B2264" s="93"/>
      <c r="C2264" s="97"/>
      <c r="D2264" s="93"/>
      <c r="E2264" s="98"/>
      <c r="F2264" s="100">
        <v>2260</v>
      </c>
      <c r="G2264" s="101">
        <f t="shared" si="141"/>
        <v>0</v>
      </c>
      <c r="H2264" s="101">
        <f t="shared" si="142"/>
        <v>0</v>
      </c>
      <c r="I2264" s="101">
        <f t="shared" si="143"/>
        <v>0</v>
      </c>
      <c r="J2264" s="101">
        <f t="shared" si="144"/>
        <v>0</v>
      </c>
    </row>
    <row r="2265" spans="2:10" x14ac:dyDescent="0.2">
      <c r="B2265" s="93"/>
      <c r="C2265" s="97"/>
      <c r="D2265" s="93"/>
      <c r="E2265" s="98"/>
      <c r="F2265" s="100">
        <v>2261</v>
      </c>
      <c r="G2265" s="101">
        <f t="shared" si="141"/>
        <v>0</v>
      </c>
      <c r="H2265" s="101">
        <f t="shared" si="142"/>
        <v>0</v>
      </c>
      <c r="I2265" s="101">
        <f t="shared" si="143"/>
        <v>0</v>
      </c>
      <c r="J2265" s="101">
        <f t="shared" si="144"/>
        <v>0</v>
      </c>
    </row>
    <row r="2266" spans="2:10" x14ac:dyDescent="0.2">
      <c r="B2266" s="93"/>
      <c r="C2266" s="97"/>
      <c r="D2266" s="93"/>
      <c r="E2266" s="98"/>
      <c r="F2266" s="100">
        <v>2262</v>
      </c>
      <c r="G2266" s="101">
        <f t="shared" si="141"/>
        <v>0</v>
      </c>
      <c r="H2266" s="101">
        <f t="shared" si="142"/>
        <v>0</v>
      </c>
      <c r="I2266" s="101">
        <f t="shared" si="143"/>
        <v>0</v>
      </c>
      <c r="J2266" s="101">
        <f t="shared" si="144"/>
        <v>0</v>
      </c>
    </row>
    <row r="2267" spans="2:10" x14ac:dyDescent="0.2">
      <c r="B2267" s="93"/>
      <c r="C2267" s="97"/>
      <c r="D2267" s="93"/>
      <c r="E2267" s="98"/>
      <c r="F2267" s="100">
        <v>2263</v>
      </c>
      <c r="G2267" s="101">
        <f t="shared" si="141"/>
        <v>0</v>
      </c>
      <c r="H2267" s="101">
        <f t="shared" si="142"/>
        <v>0</v>
      </c>
      <c r="I2267" s="101">
        <f t="shared" si="143"/>
        <v>0</v>
      </c>
      <c r="J2267" s="101">
        <f t="shared" si="144"/>
        <v>0</v>
      </c>
    </row>
    <row r="2268" spans="2:10" x14ac:dyDescent="0.2">
      <c r="B2268" s="93"/>
      <c r="C2268" s="97"/>
      <c r="D2268" s="93"/>
      <c r="E2268" s="98"/>
      <c r="F2268" s="100">
        <v>2264</v>
      </c>
      <c r="G2268" s="101">
        <f t="shared" si="141"/>
        <v>0</v>
      </c>
      <c r="H2268" s="101">
        <f t="shared" si="142"/>
        <v>0</v>
      </c>
      <c r="I2268" s="101">
        <f t="shared" si="143"/>
        <v>0</v>
      </c>
      <c r="J2268" s="101">
        <f t="shared" si="144"/>
        <v>0</v>
      </c>
    </row>
    <row r="2269" spans="2:10" x14ac:dyDescent="0.2">
      <c r="B2269" s="93"/>
      <c r="C2269" s="97"/>
      <c r="D2269" s="93"/>
      <c r="E2269" s="98"/>
      <c r="F2269" s="100">
        <v>2265</v>
      </c>
      <c r="G2269" s="101">
        <f t="shared" si="141"/>
        <v>0</v>
      </c>
      <c r="H2269" s="101">
        <f t="shared" si="142"/>
        <v>0</v>
      </c>
      <c r="I2269" s="101">
        <f t="shared" si="143"/>
        <v>0</v>
      </c>
      <c r="J2269" s="101">
        <f t="shared" si="144"/>
        <v>0</v>
      </c>
    </row>
    <row r="2270" spans="2:10" x14ac:dyDescent="0.2">
      <c r="B2270" s="93"/>
      <c r="C2270" s="97"/>
      <c r="D2270" s="93"/>
      <c r="E2270" s="98"/>
      <c r="F2270" s="100">
        <v>2266</v>
      </c>
      <c r="G2270" s="101">
        <f t="shared" si="141"/>
        <v>0</v>
      </c>
      <c r="H2270" s="101">
        <f t="shared" si="142"/>
        <v>0</v>
      </c>
      <c r="I2270" s="101">
        <f t="shared" si="143"/>
        <v>0</v>
      </c>
      <c r="J2270" s="101">
        <f t="shared" si="144"/>
        <v>0</v>
      </c>
    </row>
    <row r="2271" spans="2:10" x14ac:dyDescent="0.2">
      <c r="B2271" s="93"/>
      <c r="C2271" s="97"/>
      <c r="D2271" s="93"/>
      <c r="E2271" s="98"/>
      <c r="F2271" s="100">
        <v>2267</v>
      </c>
      <c r="G2271" s="101">
        <f t="shared" si="141"/>
        <v>0</v>
      </c>
      <c r="H2271" s="101">
        <f t="shared" si="142"/>
        <v>0</v>
      </c>
      <c r="I2271" s="101">
        <f t="shared" si="143"/>
        <v>0</v>
      </c>
      <c r="J2271" s="101">
        <f t="shared" si="144"/>
        <v>0</v>
      </c>
    </row>
    <row r="2272" spans="2:10" x14ac:dyDescent="0.2">
      <c r="B2272" s="93"/>
      <c r="C2272" s="97"/>
      <c r="D2272" s="93"/>
      <c r="E2272" s="98"/>
      <c r="F2272" s="100">
        <v>2268</v>
      </c>
      <c r="G2272" s="101">
        <f t="shared" si="141"/>
        <v>0</v>
      </c>
      <c r="H2272" s="101">
        <f t="shared" si="142"/>
        <v>0</v>
      </c>
      <c r="I2272" s="101">
        <f t="shared" si="143"/>
        <v>0</v>
      </c>
      <c r="J2272" s="101">
        <f t="shared" si="144"/>
        <v>0</v>
      </c>
    </row>
    <row r="2273" spans="2:10" x14ac:dyDescent="0.2">
      <c r="B2273" s="93"/>
      <c r="C2273" s="97"/>
      <c r="D2273" s="93"/>
      <c r="E2273" s="98"/>
      <c r="F2273" s="100">
        <v>2269</v>
      </c>
      <c r="G2273" s="101">
        <f t="shared" si="141"/>
        <v>0</v>
      </c>
      <c r="H2273" s="101">
        <f t="shared" si="142"/>
        <v>0</v>
      </c>
      <c r="I2273" s="101">
        <f t="shared" si="143"/>
        <v>0</v>
      </c>
      <c r="J2273" s="101">
        <f t="shared" si="144"/>
        <v>0</v>
      </c>
    </row>
    <row r="2274" spans="2:10" x14ac:dyDescent="0.2">
      <c r="B2274" s="93"/>
      <c r="C2274" s="97"/>
      <c r="D2274" s="93"/>
      <c r="E2274" s="98"/>
      <c r="F2274" s="100">
        <v>2270</v>
      </c>
      <c r="G2274" s="101">
        <f t="shared" si="141"/>
        <v>0</v>
      </c>
      <c r="H2274" s="101">
        <f t="shared" si="142"/>
        <v>0</v>
      </c>
      <c r="I2274" s="101">
        <f t="shared" si="143"/>
        <v>0</v>
      </c>
      <c r="J2274" s="101">
        <f t="shared" si="144"/>
        <v>0</v>
      </c>
    </row>
    <row r="2275" spans="2:10" x14ac:dyDescent="0.2">
      <c r="B2275" s="93"/>
      <c r="C2275" s="97"/>
      <c r="D2275" s="93"/>
      <c r="E2275" s="98"/>
      <c r="F2275" s="100">
        <v>2271</v>
      </c>
      <c r="G2275" s="101">
        <f t="shared" si="141"/>
        <v>0</v>
      </c>
      <c r="H2275" s="101">
        <f t="shared" si="142"/>
        <v>0</v>
      </c>
      <c r="I2275" s="101">
        <f t="shared" si="143"/>
        <v>0</v>
      </c>
      <c r="J2275" s="101">
        <f t="shared" si="144"/>
        <v>0</v>
      </c>
    </row>
    <row r="2276" spans="2:10" x14ac:dyDescent="0.2">
      <c r="B2276" s="93"/>
      <c r="C2276" s="97"/>
      <c r="D2276" s="93"/>
      <c r="E2276" s="98"/>
      <c r="F2276" s="100">
        <v>2272</v>
      </c>
      <c r="G2276" s="101">
        <f t="shared" si="141"/>
        <v>0</v>
      </c>
      <c r="H2276" s="101">
        <f t="shared" si="142"/>
        <v>0</v>
      </c>
      <c r="I2276" s="101">
        <f t="shared" si="143"/>
        <v>0</v>
      </c>
      <c r="J2276" s="101">
        <f t="shared" si="144"/>
        <v>0</v>
      </c>
    </row>
    <row r="2277" spans="2:10" x14ac:dyDescent="0.2">
      <c r="B2277" s="93"/>
      <c r="C2277" s="97"/>
      <c r="D2277" s="93"/>
      <c r="E2277" s="98"/>
      <c r="F2277" s="100">
        <v>2273</v>
      </c>
      <c r="G2277" s="101">
        <f t="shared" si="141"/>
        <v>0</v>
      </c>
      <c r="H2277" s="101">
        <f t="shared" si="142"/>
        <v>0</v>
      </c>
      <c r="I2277" s="101">
        <f t="shared" si="143"/>
        <v>0</v>
      </c>
      <c r="J2277" s="101">
        <f t="shared" si="144"/>
        <v>0</v>
      </c>
    </row>
    <row r="2278" spans="2:10" x14ac:dyDescent="0.2">
      <c r="B2278" s="93"/>
      <c r="C2278" s="97"/>
      <c r="D2278" s="93"/>
      <c r="E2278" s="98"/>
      <c r="F2278" s="100">
        <v>2274</v>
      </c>
      <c r="G2278" s="101">
        <f t="shared" si="141"/>
        <v>0</v>
      </c>
      <c r="H2278" s="101">
        <f t="shared" si="142"/>
        <v>0</v>
      </c>
      <c r="I2278" s="101">
        <f t="shared" si="143"/>
        <v>0</v>
      </c>
      <c r="J2278" s="101">
        <f t="shared" si="144"/>
        <v>0</v>
      </c>
    </row>
    <row r="2279" spans="2:10" x14ac:dyDescent="0.2">
      <c r="B2279" s="93"/>
      <c r="C2279" s="97"/>
      <c r="D2279" s="93"/>
      <c r="E2279" s="98"/>
      <c r="F2279" s="100">
        <v>2275</v>
      </c>
      <c r="G2279" s="101">
        <f t="shared" si="141"/>
        <v>0</v>
      </c>
      <c r="H2279" s="101">
        <f t="shared" si="142"/>
        <v>0</v>
      </c>
      <c r="I2279" s="101">
        <f t="shared" si="143"/>
        <v>0</v>
      </c>
      <c r="J2279" s="101">
        <f t="shared" si="144"/>
        <v>0</v>
      </c>
    </row>
    <row r="2280" spans="2:10" x14ac:dyDescent="0.2">
      <c r="B2280" s="93"/>
      <c r="C2280" s="97"/>
      <c r="D2280" s="93"/>
      <c r="E2280" s="98"/>
      <c r="F2280" s="100">
        <v>2276</v>
      </c>
      <c r="G2280" s="101">
        <f t="shared" si="141"/>
        <v>0</v>
      </c>
      <c r="H2280" s="101">
        <f t="shared" si="142"/>
        <v>0</v>
      </c>
      <c r="I2280" s="101">
        <f t="shared" si="143"/>
        <v>0</v>
      </c>
      <c r="J2280" s="101">
        <f t="shared" si="144"/>
        <v>0</v>
      </c>
    </row>
    <row r="2281" spans="2:10" x14ac:dyDescent="0.2">
      <c r="B2281" s="93"/>
      <c r="C2281" s="97"/>
      <c r="D2281" s="93"/>
      <c r="E2281" s="98"/>
      <c r="F2281" s="100">
        <v>2277</v>
      </c>
      <c r="G2281" s="101">
        <f t="shared" si="141"/>
        <v>0</v>
      </c>
      <c r="H2281" s="101">
        <f t="shared" si="142"/>
        <v>0</v>
      </c>
      <c r="I2281" s="101">
        <f t="shared" si="143"/>
        <v>0</v>
      </c>
      <c r="J2281" s="101">
        <f t="shared" si="144"/>
        <v>0</v>
      </c>
    </row>
    <row r="2282" spans="2:10" x14ac:dyDescent="0.2">
      <c r="B2282" s="93"/>
      <c r="C2282" s="97"/>
      <c r="D2282" s="93"/>
      <c r="E2282" s="98"/>
      <c r="F2282" s="100">
        <v>2278</v>
      </c>
      <c r="G2282" s="101">
        <f t="shared" si="141"/>
        <v>0</v>
      </c>
      <c r="H2282" s="101">
        <f t="shared" si="142"/>
        <v>0</v>
      </c>
      <c r="I2282" s="101">
        <f t="shared" si="143"/>
        <v>0</v>
      </c>
      <c r="J2282" s="101">
        <f t="shared" si="144"/>
        <v>0</v>
      </c>
    </row>
    <row r="2283" spans="2:10" x14ac:dyDescent="0.2">
      <c r="B2283" s="93"/>
      <c r="C2283" s="97"/>
      <c r="D2283" s="93"/>
      <c r="E2283" s="98"/>
      <c r="F2283" s="100">
        <v>2279</v>
      </c>
      <c r="G2283" s="101">
        <f t="shared" si="141"/>
        <v>0</v>
      </c>
      <c r="H2283" s="101">
        <f t="shared" si="142"/>
        <v>0</v>
      </c>
      <c r="I2283" s="101">
        <f t="shared" si="143"/>
        <v>0</v>
      </c>
      <c r="J2283" s="101">
        <f t="shared" si="144"/>
        <v>0</v>
      </c>
    </row>
    <row r="2284" spans="2:10" x14ac:dyDescent="0.2">
      <c r="B2284" s="93"/>
      <c r="C2284" s="97"/>
      <c r="D2284" s="93"/>
      <c r="E2284" s="98"/>
      <c r="F2284" s="100">
        <v>2280</v>
      </c>
      <c r="G2284" s="101">
        <f t="shared" si="141"/>
        <v>0</v>
      </c>
      <c r="H2284" s="101">
        <f t="shared" si="142"/>
        <v>0</v>
      </c>
      <c r="I2284" s="101">
        <f t="shared" si="143"/>
        <v>0</v>
      </c>
      <c r="J2284" s="101">
        <f t="shared" si="144"/>
        <v>0</v>
      </c>
    </row>
    <row r="2285" spans="2:10" x14ac:dyDescent="0.2">
      <c r="B2285" s="93"/>
      <c r="C2285" s="97"/>
      <c r="D2285" s="93"/>
      <c r="E2285" s="98"/>
      <c r="F2285" s="100">
        <v>2281</v>
      </c>
      <c r="G2285" s="101">
        <f t="shared" si="141"/>
        <v>0</v>
      </c>
      <c r="H2285" s="101">
        <f t="shared" si="142"/>
        <v>0</v>
      </c>
      <c r="I2285" s="101">
        <f t="shared" si="143"/>
        <v>0</v>
      </c>
      <c r="J2285" s="101">
        <f t="shared" si="144"/>
        <v>0</v>
      </c>
    </row>
    <row r="2286" spans="2:10" x14ac:dyDescent="0.2">
      <c r="B2286" s="93"/>
      <c r="C2286" s="97"/>
      <c r="D2286" s="93"/>
      <c r="E2286" s="98"/>
      <c r="F2286" s="100">
        <v>2282</v>
      </c>
      <c r="G2286" s="101">
        <f t="shared" si="141"/>
        <v>0</v>
      </c>
      <c r="H2286" s="101">
        <f t="shared" si="142"/>
        <v>0</v>
      </c>
      <c r="I2286" s="101">
        <f t="shared" si="143"/>
        <v>0</v>
      </c>
      <c r="J2286" s="101">
        <f t="shared" si="144"/>
        <v>0</v>
      </c>
    </row>
    <row r="2287" spans="2:10" x14ac:dyDescent="0.2">
      <c r="B2287" s="93"/>
      <c r="C2287" s="97"/>
      <c r="D2287" s="93"/>
      <c r="E2287" s="98"/>
      <c r="F2287" s="100">
        <v>2283</v>
      </c>
      <c r="G2287" s="101">
        <f t="shared" si="141"/>
        <v>0</v>
      </c>
      <c r="H2287" s="101">
        <f t="shared" si="142"/>
        <v>0</v>
      </c>
      <c r="I2287" s="101">
        <f t="shared" si="143"/>
        <v>0</v>
      </c>
      <c r="J2287" s="101">
        <f t="shared" si="144"/>
        <v>0</v>
      </c>
    </row>
    <row r="2288" spans="2:10" x14ac:dyDescent="0.2">
      <c r="B2288" s="93"/>
      <c r="C2288" s="97"/>
      <c r="D2288" s="93"/>
      <c r="E2288" s="98"/>
      <c r="F2288" s="100">
        <v>2284</v>
      </c>
      <c r="G2288" s="101">
        <f t="shared" si="141"/>
        <v>0</v>
      </c>
      <c r="H2288" s="101">
        <f t="shared" si="142"/>
        <v>0</v>
      </c>
      <c r="I2288" s="101">
        <f t="shared" si="143"/>
        <v>0</v>
      </c>
      <c r="J2288" s="101">
        <f t="shared" si="144"/>
        <v>0</v>
      </c>
    </row>
    <row r="2289" spans="2:10" x14ac:dyDescent="0.2">
      <c r="B2289" s="93"/>
      <c r="C2289" s="97"/>
      <c r="D2289" s="93"/>
      <c r="E2289" s="98"/>
      <c r="F2289" s="100">
        <v>2285</v>
      </c>
      <c r="G2289" s="101">
        <f t="shared" si="141"/>
        <v>0</v>
      </c>
      <c r="H2289" s="101">
        <f t="shared" si="142"/>
        <v>0</v>
      </c>
      <c r="I2289" s="101">
        <f t="shared" si="143"/>
        <v>0</v>
      </c>
      <c r="J2289" s="101">
        <f t="shared" si="144"/>
        <v>0</v>
      </c>
    </row>
    <row r="2290" spans="2:10" x14ac:dyDescent="0.2">
      <c r="B2290" s="93"/>
      <c r="C2290" s="97"/>
      <c r="D2290" s="93"/>
      <c r="E2290" s="98"/>
      <c r="F2290" s="100">
        <v>2286</v>
      </c>
      <c r="G2290" s="101">
        <f t="shared" si="141"/>
        <v>0</v>
      </c>
      <c r="H2290" s="101">
        <f t="shared" si="142"/>
        <v>0</v>
      </c>
      <c r="I2290" s="101">
        <f t="shared" si="143"/>
        <v>0</v>
      </c>
      <c r="J2290" s="101">
        <f t="shared" si="144"/>
        <v>0</v>
      </c>
    </row>
    <row r="2291" spans="2:10" x14ac:dyDescent="0.2">
      <c r="B2291" s="93"/>
      <c r="C2291" s="97"/>
      <c r="D2291" s="93"/>
      <c r="E2291" s="98"/>
      <c r="F2291" s="100">
        <v>2287</v>
      </c>
      <c r="G2291" s="101">
        <f t="shared" si="141"/>
        <v>0</v>
      </c>
      <c r="H2291" s="101">
        <f t="shared" si="142"/>
        <v>0</v>
      </c>
      <c r="I2291" s="101">
        <f t="shared" si="143"/>
        <v>0</v>
      </c>
      <c r="J2291" s="101">
        <f t="shared" si="144"/>
        <v>0</v>
      </c>
    </row>
    <row r="2292" spans="2:10" x14ac:dyDescent="0.2">
      <c r="B2292" s="93"/>
      <c r="C2292" s="97"/>
      <c r="D2292" s="93"/>
      <c r="E2292" s="98"/>
      <c r="F2292" s="100">
        <v>2288</v>
      </c>
      <c r="G2292" s="101">
        <f t="shared" si="141"/>
        <v>0</v>
      </c>
      <c r="H2292" s="101">
        <f t="shared" si="142"/>
        <v>0</v>
      </c>
      <c r="I2292" s="101">
        <f t="shared" si="143"/>
        <v>0</v>
      </c>
      <c r="J2292" s="101">
        <f t="shared" si="144"/>
        <v>0</v>
      </c>
    </row>
    <row r="2293" spans="2:10" x14ac:dyDescent="0.2">
      <c r="B2293" s="93"/>
      <c r="C2293" s="97"/>
      <c r="D2293" s="93"/>
      <c r="E2293" s="98"/>
      <c r="F2293" s="100">
        <v>2289</v>
      </c>
      <c r="G2293" s="101">
        <f t="shared" si="141"/>
        <v>0</v>
      </c>
      <c r="H2293" s="101">
        <f t="shared" si="142"/>
        <v>0</v>
      </c>
      <c r="I2293" s="101">
        <f t="shared" si="143"/>
        <v>0</v>
      </c>
      <c r="J2293" s="101">
        <f t="shared" si="144"/>
        <v>0</v>
      </c>
    </row>
    <row r="2294" spans="2:10" x14ac:dyDescent="0.2">
      <c r="B2294" s="93"/>
      <c r="C2294" s="97"/>
      <c r="D2294" s="93"/>
      <c r="E2294" s="98"/>
      <c r="F2294" s="100">
        <v>2290</v>
      </c>
      <c r="G2294" s="101">
        <f t="shared" si="141"/>
        <v>0</v>
      </c>
      <c r="H2294" s="101">
        <f t="shared" si="142"/>
        <v>0</v>
      </c>
      <c r="I2294" s="101">
        <f t="shared" si="143"/>
        <v>0</v>
      </c>
      <c r="J2294" s="101">
        <f t="shared" si="144"/>
        <v>0</v>
      </c>
    </row>
    <row r="2295" spans="2:10" x14ac:dyDescent="0.2">
      <c r="B2295" s="93"/>
      <c r="C2295" s="97"/>
      <c r="D2295" s="93"/>
      <c r="E2295" s="98"/>
      <c r="F2295" s="100">
        <v>2291</v>
      </c>
      <c r="G2295" s="101">
        <f t="shared" si="141"/>
        <v>0</v>
      </c>
      <c r="H2295" s="101">
        <f t="shared" si="142"/>
        <v>0</v>
      </c>
      <c r="I2295" s="101">
        <f t="shared" si="143"/>
        <v>0</v>
      </c>
      <c r="J2295" s="101">
        <f t="shared" si="144"/>
        <v>0</v>
      </c>
    </row>
    <row r="2296" spans="2:10" x14ac:dyDescent="0.2">
      <c r="B2296" s="93"/>
      <c r="C2296" s="97"/>
      <c r="D2296" s="93"/>
      <c r="E2296" s="98"/>
      <c r="F2296" s="100">
        <v>2292</v>
      </c>
      <c r="G2296" s="101">
        <f t="shared" si="141"/>
        <v>0</v>
      </c>
      <c r="H2296" s="101">
        <f t="shared" si="142"/>
        <v>0</v>
      </c>
      <c r="I2296" s="101">
        <f t="shared" si="143"/>
        <v>0</v>
      </c>
      <c r="J2296" s="101">
        <f t="shared" si="144"/>
        <v>0</v>
      </c>
    </row>
    <row r="2297" spans="2:10" x14ac:dyDescent="0.2">
      <c r="B2297" s="93"/>
      <c r="C2297" s="97"/>
      <c r="D2297" s="93"/>
      <c r="E2297" s="98"/>
      <c r="F2297" s="100">
        <v>2293</v>
      </c>
      <c r="G2297" s="101">
        <f t="shared" si="141"/>
        <v>0</v>
      </c>
      <c r="H2297" s="101">
        <f t="shared" si="142"/>
        <v>0</v>
      </c>
      <c r="I2297" s="101">
        <f t="shared" si="143"/>
        <v>0</v>
      </c>
      <c r="J2297" s="101">
        <f t="shared" si="144"/>
        <v>0</v>
      </c>
    </row>
    <row r="2298" spans="2:10" x14ac:dyDescent="0.2">
      <c r="B2298" s="93"/>
      <c r="C2298" s="97"/>
      <c r="D2298" s="93"/>
      <c r="E2298" s="98"/>
      <c r="F2298" s="100">
        <v>2294</v>
      </c>
      <c r="G2298" s="101">
        <f t="shared" si="141"/>
        <v>0</v>
      </c>
      <c r="H2298" s="101">
        <f t="shared" si="142"/>
        <v>0</v>
      </c>
      <c r="I2298" s="101">
        <f t="shared" si="143"/>
        <v>0</v>
      </c>
      <c r="J2298" s="101">
        <f t="shared" si="144"/>
        <v>0</v>
      </c>
    </row>
    <row r="2299" spans="2:10" x14ac:dyDescent="0.2">
      <c r="B2299" s="93"/>
      <c r="C2299" s="97"/>
      <c r="D2299" s="93"/>
      <c r="E2299" s="98"/>
      <c r="F2299" s="100">
        <v>2295</v>
      </c>
      <c r="G2299" s="101">
        <f t="shared" si="141"/>
        <v>0</v>
      </c>
      <c r="H2299" s="101">
        <f t="shared" si="142"/>
        <v>0</v>
      </c>
      <c r="I2299" s="101">
        <f t="shared" si="143"/>
        <v>0</v>
      </c>
      <c r="J2299" s="101">
        <f t="shared" si="144"/>
        <v>0</v>
      </c>
    </row>
    <row r="2300" spans="2:10" x14ac:dyDescent="0.2">
      <c r="B2300" s="93"/>
      <c r="C2300" s="97"/>
      <c r="D2300" s="93"/>
      <c r="E2300" s="98"/>
      <c r="F2300" s="100">
        <v>2296</v>
      </c>
      <c r="G2300" s="101">
        <f t="shared" si="141"/>
        <v>0</v>
      </c>
      <c r="H2300" s="101">
        <f t="shared" si="142"/>
        <v>0</v>
      </c>
      <c r="I2300" s="101">
        <f t="shared" si="143"/>
        <v>0</v>
      </c>
      <c r="J2300" s="101">
        <f t="shared" si="144"/>
        <v>0</v>
      </c>
    </row>
    <row r="2301" spans="2:10" x14ac:dyDescent="0.2">
      <c r="B2301" s="93"/>
      <c r="C2301" s="97"/>
      <c r="D2301" s="93"/>
      <c r="E2301" s="98"/>
      <c r="F2301" s="100">
        <v>2297</v>
      </c>
      <c r="G2301" s="101">
        <f t="shared" si="141"/>
        <v>0</v>
      </c>
      <c r="H2301" s="101">
        <f t="shared" si="142"/>
        <v>0</v>
      </c>
      <c r="I2301" s="101">
        <f t="shared" si="143"/>
        <v>0</v>
      </c>
      <c r="J2301" s="101">
        <f t="shared" si="144"/>
        <v>0</v>
      </c>
    </row>
    <row r="2302" spans="2:10" x14ac:dyDescent="0.2">
      <c r="B2302" s="93"/>
      <c r="C2302" s="97"/>
      <c r="D2302" s="93"/>
      <c r="E2302" s="98"/>
      <c r="F2302" s="100">
        <v>2298</v>
      </c>
      <c r="G2302" s="101">
        <f t="shared" si="141"/>
        <v>0</v>
      </c>
      <c r="H2302" s="101">
        <f t="shared" si="142"/>
        <v>0</v>
      </c>
      <c r="I2302" s="101">
        <f t="shared" si="143"/>
        <v>0</v>
      </c>
      <c r="J2302" s="101">
        <f t="shared" si="144"/>
        <v>0</v>
      </c>
    </row>
    <row r="2303" spans="2:10" x14ac:dyDescent="0.2">
      <c r="B2303" s="93"/>
      <c r="C2303" s="97"/>
      <c r="D2303" s="93"/>
      <c r="E2303" s="98"/>
      <c r="F2303" s="100">
        <v>2299</v>
      </c>
      <c r="G2303" s="101">
        <f t="shared" si="141"/>
        <v>0</v>
      </c>
      <c r="H2303" s="101">
        <f t="shared" si="142"/>
        <v>0</v>
      </c>
      <c r="I2303" s="101">
        <f t="shared" si="143"/>
        <v>0</v>
      </c>
      <c r="J2303" s="101">
        <f t="shared" si="144"/>
        <v>0</v>
      </c>
    </row>
    <row r="2304" spans="2:10" x14ac:dyDescent="0.2">
      <c r="B2304" s="93"/>
      <c r="C2304" s="97"/>
      <c r="D2304" s="93"/>
      <c r="E2304" s="98"/>
      <c r="F2304" s="100">
        <v>2300</v>
      </c>
      <c r="G2304" s="101">
        <f t="shared" si="141"/>
        <v>0</v>
      </c>
      <c r="H2304" s="101">
        <f t="shared" si="142"/>
        <v>0</v>
      </c>
      <c r="I2304" s="101">
        <f t="shared" si="143"/>
        <v>0</v>
      </c>
      <c r="J2304" s="101">
        <f t="shared" si="144"/>
        <v>0</v>
      </c>
    </row>
    <row r="2305" spans="2:10" x14ac:dyDescent="0.2">
      <c r="B2305" s="93"/>
      <c r="C2305" s="97"/>
      <c r="D2305" s="93"/>
      <c r="E2305" s="98"/>
      <c r="F2305" s="100">
        <v>2301</v>
      </c>
      <c r="G2305" s="101">
        <f t="shared" si="141"/>
        <v>0</v>
      </c>
      <c r="H2305" s="101">
        <f t="shared" si="142"/>
        <v>0</v>
      </c>
      <c r="I2305" s="101">
        <f t="shared" si="143"/>
        <v>0</v>
      </c>
      <c r="J2305" s="101">
        <f t="shared" si="144"/>
        <v>0</v>
      </c>
    </row>
    <row r="2306" spans="2:10" x14ac:dyDescent="0.2">
      <c r="B2306" s="93"/>
      <c r="C2306" s="97"/>
      <c r="D2306" s="93"/>
      <c r="E2306" s="98"/>
      <c r="F2306" s="100">
        <v>2302</v>
      </c>
      <c r="G2306" s="101">
        <f t="shared" si="141"/>
        <v>0</v>
      </c>
      <c r="H2306" s="101">
        <f t="shared" si="142"/>
        <v>0</v>
      </c>
      <c r="I2306" s="101">
        <f t="shared" si="143"/>
        <v>0</v>
      </c>
      <c r="J2306" s="101">
        <f t="shared" si="144"/>
        <v>0</v>
      </c>
    </row>
    <row r="2307" spans="2:10" x14ac:dyDescent="0.2">
      <c r="B2307" s="93"/>
      <c r="C2307" s="97"/>
      <c r="D2307" s="93"/>
      <c r="E2307" s="98"/>
      <c r="F2307" s="100">
        <v>2303</v>
      </c>
      <c r="G2307" s="101">
        <f t="shared" si="141"/>
        <v>0</v>
      </c>
      <c r="H2307" s="101">
        <f t="shared" si="142"/>
        <v>0</v>
      </c>
      <c r="I2307" s="101">
        <f t="shared" si="143"/>
        <v>0</v>
      </c>
      <c r="J2307" s="101">
        <f t="shared" si="144"/>
        <v>0</v>
      </c>
    </row>
    <row r="2308" spans="2:10" x14ac:dyDescent="0.2">
      <c r="B2308" s="93"/>
      <c r="C2308" s="97"/>
      <c r="D2308" s="93"/>
      <c r="E2308" s="98"/>
      <c r="F2308" s="100">
        <v>2304</v>
      </c>
      <c r="G2308" s="101">
        <f t="shared" si="141"/>
        <v>0</v>
      </c>
      <c r="H2308" s="101">
        <f t="shared" si="142"/>
        <v>0</v>
      </c>
      <c r="I2308" s="101">
        <f t="shared" si="143"/>
        <v>0</v>
      </c>
      <c r="J2308" s="101">
        <f t="shared" si="144"/>
        <v>0</v>
      </c>
    </row>
    <row r="2309" spans="2:10" x14ac:dyDescent="0.2">
      <c r="B2309" s="93"/>
      <c r="C2309" s="97"/>
      <c r="D2309" s="93"/>
      <c r="E2309" s="98"/>
      <c r="F2309" s="100">
        <v>2305</v>
      </c>
      <c r="G2309" s="101">
        <f t="shared" si="141"/>
        <v>0</v>
      </c>
      <c r="H2309" s="101">
        <f t="shared" si="142"/>
        <v>0</v>
      </c>
      <c r="I2309" s="101">
        <f t="shared" si="143"/>
        <v>0</v>
      </c>
      <c r="J2309" s="101">
        <f t="shared" si="144"/>
        <v>0</v>
      </c>
    </row>
    <row r="2310" spans="2:10" x14ac:dyDescent="0.2">
      <c r="B2310" s="93"/>
      <c r="C2310" s="97"/>
      <c r="D2310" s="93"/>
      <c r="E2310" s="98"/>
      <c r="F2310" s="100">
        <v>2306</v>
      </c>
      <c r="G2310" s="101">
        <f t="shared" ref="G2310:G2373" si="145">B2310</f>
        <v>0</v>
      </c>
      <c r="H2310" s="101">
        <f t="shared" ref="H2310:H2373" si="146">C2310</f>
        <v>0</v>
      </c>
      <c r="I2310" s="101">
        <f t="shared" ref="I2310:I2373" si="147">D2310</f>
        <v>0</v>
      </c>
      <c r="J2310" s="101">
        <f t="shared" ref="J2310:J2373" si="148">E2310</f>
        <v>0</v>
      </c>
    </row>
    <row r="2311" spans="2:10" x14ac:dyDescent="0.2">
      <c r="B2311" s="93"/>
      <c r="C2311" s="97"/>
      <c r="D2311" s="93"/>
      <c r="E2311" s="98"/>
      <c r="F2311" s="100">
        <v>2307</v>
      </c>
      <c r="G2311" s="101">
        <f t="shared" si="145"/>
        <v>0</v>
      </c>
      <c r="H2311" s="101">
        <f t="shared" si="146"/>
        <v>0</v>
      </c>
      <c r="I2311" s="101">
        <f t="shared" si="147"/>
        <v>0</v>
      </c>
      <c r="J2311" s="101">
        <f t="shared" si="148"/>
        <v>0</v>
      </c>
    </row>
    <row r="2312" spans="2:10" x14ac:dyDescent="0.2">
      <c r="B2312" s="93"/>
      <c r="C2312" s="97"/>
      <c r="D2312" s="93"/>
      <c r="E2312" s="98"/>
      <c r="F2312" s="100">
        <v>2308</v>
      </c>
      <c r="G2312" s="101">
        <f t="shared" si="145"/>
        <v>0</v>
      </c>
      <c r="H2312" s="101">
        <f t="shared" si="146"/>
        <v>0</v>
      </c>
      <c r="I2312" s="101">
        <f t="shared" si="147"/>
        <v>0</v>
      </c>
      <c r="J2312" s="101">
        <f t="shared" si="148"/>
        <v>0</v>
      </c>
    </row>
    <row r="2313" spans="2:10" x14ac:dyDescent="0.2">
      <c r="B2313" s="93"/>
      <c r="C2313" s="97"/>
      <c r="D2313" s="93"/>
      <c r="E2313" s="98"/>
      <c r="F2313" s="100">
        <v>2309</v>
      </c>
      <c r="G2313" s="101">
        <f t="shared" si="145"/>
        <v>0</v>
      </c>
      <c r="H2313" s="101">
        <f t="shared" si="146"/>
        <v>0</v>
      </c>
      <c r="I2313" s="101">
        <f t="shared" si="147"/>
        <v>0</v>
      </c>
      <c r="J2313" s="101">
        <f t="shared" si="148"/>
        <v>0</v>
      </c>
    </row>
    <row r="2314" spans="2:10" x14ac:dyDescent="0.2">
      <c r="B2314" s="93"/>
      <c r="C2314" s="97"/>
      <c r="D2314" s="93"/>
      <c r="E2314" s="98"/>
      <c r="F2314" s="100">
        <v>2310</v>
      </c>
      <c r="G2314" s="101">
        <f t="shared" si="145"/>
        <v>0</v>
      </c>
      <c r="H2314" s="101">
        <f t="shared" si="146"/>
        <v>0</v>
      </c>
      <c r="I2314" s="101">
        <f t="shared" si="147"/>
        <v>0</v>
      </c>
      <c r="J2314" s="101">
        <f t="shared" si="148"/>
        <v>0</v>
      </c>
    </row>
    <row r="2315" spans="2:10" x14ac:dyDescent="0.2">
      <c r="B2315" s="93"/>
      <c r="C2315" s="97"/>
      <c r="D2315" s="93"/>
      <c r="E2315" s="98"/>
      <c r="F2315" s="100">
        <v>2311</v>
      </c>
      <c r="G2315" s="101">
        <f t="shared" si="145"/>
        <v>0</v>
      </c>
      <c r="H2315" s="101">
        <f t="shared" si="146"/>
        <v>0</v>
      </c>
      <c r="I2315" s="101">
        <f t="shared" si="147"/>
        <v>0</v>
      </c>
      <c r="J2315" s="101">
        <f t="shared" si="148"/>
        <v>0</v>
      </c>
    </row>
    <row r="2316" spans="2:10" x14ac:dyDescent="0.2">
      <c r="B2316" s="93"/>
      <c r="C2316" s="97"/>
      <c r="D2316" s="93"/>
      <c r="E2316" s="98"/>
      <c r="F2316" s="100">
        <v>2312</v>
      </c>
      <c r="G2316" s="101">
        <f t="shared" si="145"/>
        <v>0</v>
      </c>
      <c r="H2316" s="101">
        <f t="shared" si="146"/>
        <v>0</v>
      </c>
      <c r="I2316" s="101">
        <f t="shared" si="147"/>
        <v>0</v>
      </c>
      <c r="J2316" s="101">
        <f t="shared" si="148"/>
        <v>0</v>
      </c>
    </row>
    <row r="2317" spans="2:10" x14ac:dyDescent="0.2">
      <c r="B2317" s="93"/>
      <c r="C2317" s="97"/>
      <c r="D2317" s="93"/>
      <c r="E2317" s="98"/>
      <c r="F2317" s="100">
        <v>2313</v>
      </c>
      <c r="G2317" s="101">
        <f t="shared" si="145"/>
        <v>0</v>
      </c>
      <c r="H2317" s="101">
        <f t="shared" si="146"/>
        <v>0</v>
      </c>
      <c r="I2317" s="101">
        <f t="shared" si="147"/>
        <v>0</v>
      </c>
      <c r="J2317" s="101">
        <f t="shared" si="148"/>
        <v>0</v>
      </c>
    </row>
    <row r="2318" spans="2:10" x14ac:dyDescent="0.2">
      <c r="B2318" s="93"/>
      <c r="C2318" s="97"/>
      <c r="D2318" s="93"/>
      <c r="E2318" s="98"/>
      <c r="F2318" s="100">
        <v>2314</v>
      </c>
      <c r="G2318" s="101">
        <f t="shared" si="145"/>
        <v>0</v>
      </c>
      <c r="H2318" s="101">
        <f t="shared" si="146"/>
        <v>0</v>
      </c>
      <c r="I2318" s="101">
        <f t="shared" si="147"/>
        <v>0</v>
      </c>
      <c r="J2318" s="101">
        <f t="shared" si="148"/>
        <v>0</v>
      </c>
    </row>
    <row r="2319" spans="2:10" x14ac:dyDescent="0.2">
      <c r="B2319" s="93"/>
      <c r="C2319" s="97"/>
      <c r="D2319" s="93"/>
      <c r="E2319" s="98"/>
      <c r="F2319" s="100">
        <v>2315</v>
      </c>
      <c r="G2319" s="101">
        <f t="shared" si="145"/>
        <v>0</v>
      </c>
      <c r="H2319" s="101">
        <f t="shared" si="146"/>
        <v>0</v>
      </c>
      <c r="I2319" s="101">
        <f t="shared" si="147"/>
        <v>0</v>
      </c>
      <c r="J2319" s="101">
        <f t="shared" si="148"/>
        <v>0</v>
      </c>
    </row>
    <row r="2320" spans="2:10" x14ac:dyDescent="0.2">
      <c r="B2320" s="93"/>
      <c r="C2320" s="97"/>
      <c r="D2320" s="93"/>
      <c r="E2320" s="98"/>
      <c r="F2320" s="100">
        <v>2316</v>
      </c>
      <c r="G2320" s="101">
        <f t="shared" si="145"/>
        <v>0</v>
      </c>
      <c r="H2320" s="101">
        <f t="shared" si="146"/>
        <v>0</v>
      </c>
      <c r="I2320" s="101">
        <f t="shared" si="147"/>
        <v>0</v>
      </c>
      <c r="J2320" s="101">
        <f t="shared" si="148"/>
        <v>0</v>
      </c>
    </row>
    <row r="2321" spans="2:10" x14ac:dyDescent="0.2">
      <c r="B2321" s="93"/>
      <c r="C2321" s="97"/>
      <c r="D2321" s="93"/>
      <c r="E2321" s="98"/>
      <c r="F2321" s="100">
        <v>2317</v>
      </c>
      <c r="G2321" s="101">
        <f t="shared" si="145"/>
        <v>0</v>
      </c>
      <c r="H2321" s="101">
        <f t="shared" si="146"/>
        <v>0</v>
      </c>
      <c r="I2321" s="101">
        <f t="shared" si="147"/>
        <v>0</v>
      </c>
      <c r="J2321" s="101">
        <f t="shared" si="148"/>
        <v>0</v>
      </c>
    </row>
    <row r="2322" spans="2:10" x14ac:dyDescent="0.2">
      <c r="B2322" s="93"/>
      <c r="C2322" s="97"/>
      <c r="D2322" s="93"/>
      <c r="E2322" s="98"/>
      <c r="F2322" s="100">
        <v>2318</v>
      </c>
      <c r="G2322" s="101">
        <f t="shared" si="145"/>
        <v>0</v>
      </c>
      <c r="H2322" s="101">
        <f t="shared" si="146"/>
        <v>0</v>
      </c>
      <c r="I2322" s="101">
        <f t="shared" si="147"/>
        <v>0</v>
      </c>
      <c r="J2322" s="101">
        <f t="shared" si="148"/>
        <v>0</v>
      </c>
    </row>
    <row r="2323" spans="2:10" x14ac:dyDescent="0.2">
      <c r="B2323" s="93"/>
      <c r="C2323" s="97"/>
      <c r="D2323" s="93"/>
      <c r="E2323" s="98"/>
      <c r="F2323" s="100">
        <v>2319</v>
      </c>
      <c r="G2323" s="101">
        <f t="shared" si="145"/>
        <v>0</v>
      </c>
      <c r="H2323" s="101">
        <f t="shared" si="146"/>
        <v>0</v>
      </c>
      <c r="I2323" s="101">
        <f t="shared" si="147"/>
        <v>0</v>
      </c>
      <c r="J2323" s="101">
        <f t="shared" si="148"/>
        <v>0</v>
      </c>
    </row>
    <row r="2324" spans="2:10" x14ac:dyDescent="0.2">
      <c r="B2324" s="93"/>
      <c r="C2324" s="97"/>
      <c r="D2324" s="93"/>
      <c r="E2324" s="98"/>
      <c r="F2324" s="100">
        <v>2320</v>
      </c>
      <c r="G2324" s="101">
        <f t="shared" si="145"/>
        <v>0</v>
      </c>
      <c r="H2324" s="101">
        <f t="shared" si="146"/>
        <v>0</v>
      </c>
      <c r="I2324" s="101">
        <f t="shared" si="147"/>
        <v>0</v>
      </c>
      <c r="J2324" s="101">
        <f t="shared" si="148"/>
        <v>0</v>
      </c>
    </row>
    <row r="2325" spans="2:10" x14ac:dyDescent="0.2">
      <c r="B2325" s="93"/>
      <c r="C2325" s="97"/>
      <c r="D2325" s="93"/>
      <c r="E2325" s="98"/>
      <c r="F2325" s="100">
        <v>2321</v>
      </c>
      <c r="G2325" s="101">
        <f t="shared" si="145"/>
        <v>0</v>
      </c>
      <c r="H2325" s="101">
        <f t="shared" si="146"/>
        <v>0</v>
      </c>
      <c r="I2325" s="101">
        <f t="shared" si="147"/>
        <v>0</v>
      </c>
      <c r="J2325" s="101">
        <f t="shared" si="148"/>
        <v>0</v>
      </c>
    </row>
    <row r="2326" spans="2:10" x14ac:dyDescent="0.2">
      <c r="B2326" s="93"/>
      <c r="C2326" s="97"/>
      <c r="D2326" s="93"/>
      <c r="E2326" s="98"/>
      <c r="F2326" s="100">
        <v>2322</v>
      </c>
      <c r="G2326" s="101">
        <f t="shared" si="145"/>
        <v>0</v>
      </c>
      <c r="H2326" s="101">
        <f t="shared" si="146"/>
        <v>0</v>
      </c>
      <c r="I2326" s="101">
        <f t="shared" si="147"/>
        <v>0</v>
      </c>
      <c r="J2326" s="101">
        <f t="shared" si="148"/>
        <v>0</v>
      </c>
    </row>
    <row r="2327" spans="2:10" x14ac:dyDescent="0.2">
      <c r="B2327" s="93"/>
      <c r="C2327" s="97"/>
      <c r="D2327" s="93"/>
      <c r="E2327" s="98"/>
      <c r="F2327" s="100">
        <v>2323</v>
      </c>
      <c r="G2327" s="101">
        <f t="shared" si="145"/>
        <v>0</v>
      </c>
      <c r="H2327" s="101">
        <f t="shared" si="146"/>
        <v>0</v>
      </c>
      <c r="I2327" s="101">
        <f t="shared" si="147"/>
        <v>0</v>
      </c>
      <c r="J2327" s="101">
        <f t="shared" si="148"/>
        <v>0</v>
      </c>
    </row>
    <row r="2328" spans="2:10" x14ac:dyDescent="0.2">
      <c r="B2328" s="93"/>
      <c r="C2328" s="97"/>
      <c r="D2328" s="93"/>
      <c r="E2328" s="98"/>
      <c r="F2328" s="100">
        <v>2324</v>
      </c>
      <c r="G2328" s="101">
        <f t="shared" si="145"/>
        <v>0</v>
      </c>
      <c r="H2328" s="101">
        <f t="shared" si="146"/>
        <v>0</v>
      </c>
      <c r="I2328" s="101">
        <f t="shared" si="147"/>
        <v>0</v>
      </c>
      <c r="J2328" s="101">
        <f t="shared" si="148"/>
        <v>0</v>
      </c>
    </row>
    <row r="2329" spans="2:10" x14ac:dyDescent="0.2">
      <c r="B2329" s="93"/>
      <c r="C2329" s="97"/>
      <c r="D2329" s="93"/>
      <c r="E2329" s="98"/>
      <c r="F2329" s="100">
        <v>2325</v>
      </c>
      <c r="G2329" s="101">
        <f t="shared" si="145"/>
        <v>0</v>
      </c>
      <c r="H2329" s="101">
        <f t="shared" si="146"/>
        <v>0</v>
      </c>
      <c r="I2329" s="101">
        <f t="shared" si="147"/>
        <v>0</v>
      </c>
      <c r="J2329" s="101">
        <f t="shared" si="148"/>
        <v>0</v>
      </c>
    </row>
    <row r="2330" spans="2:10" x14ac:dyDescent="0.2">
      <c r="B2330" s="93"/>
      <c r="C2330" s="97"/>
      <c r="D2330" s="93"/>
      <c r="E2330" s="98"/>
      <c r="F2330" s="100">
        <v>2326</v>
      </c>
      <c r="G2330" s="101">
        <f t="shared" si="145"/>
        <v>0</v>
      </c>
      <c r="H2330" s="101">
        <f t="shared" si="146"/>
        <v>0</v>
      </c>
      <c r="I2330" s="101">
        <f t="shared" si="147"/>
        <v>0</v>
      </c>
      <c r="J2330" s="101">
        <f t="shared" si="148"/>
        <v>0</v>
      </c>
    </row>
    <row r="2331" spans="2:10" x14ac:dyDescent="0.2">
      <c r="B2331" s="93"/>
      <c r="C2331" s="97"/>
      <c r="D2331" s="93"/>
      <c r="E2331" s="98"/>
      <c r="F2331" s="100">
        <v>2327</v>
      </c>
      <c r="G2331" s="101">
        <f t="shared" si="145"/>
        <v>0</v>
      </c>
      <c r="H2331" s="101">
        <f t="shared" si="146"/>
        <v>0</v>
      </c>
      <c r="I2331" s="101">
        <f t="shared" si="147"/>
        <v>0</v>
      </c>
      <c r="J2331" s="101">
        <f t="shared" si="148"/>
        <v>0</v>
      </c>
    </row>
    <row r="2332" spans="2:10" x14ac:dyDescent="0.2">
      <c r="B2332" s="93"/>
      <c r="C2332" s="97"/>
      <c r="D2332" s="93"/>
      <c r="E2332" s="98"/>
      <c r="F2332" s="100">
        <v>2328</v>
      </c>
      <c r="G2332" s="101">
        <f t="shared" si="145"/>
        <v>0</v>
      </c>
      <c r="H2332" s="101">
        <f t="shared" si="146"/>
        <v>0</v>
      </c>
      <c r="I2332" s="101">
        <f t="shared" si="147"/>
        <v>0</v>
      </c>
      <c r="J2332" s="101">
        <f t="shared" si="148"/>
        <v>0</v>
      </c>
    </row>
    <row r="2333" spans="2:10" x14ac:dyDescent="0.2">
      <c r="B2333" s="93"/>
      <c r="C2333" s="97"/>
      <c r="D2333" s="93"/>
      <c r="E2333" s="98"/>
      <c r="F2333" s="100">
        <v>2329</v>
      </c>
      <c r="G2333" s="101">
        <f t="shared" si="145"/>
        <v>0</v>
      </c>
      <c r="H2333" s="101">
        <f t="shared" si="146"/>
        <v>0</v>
      </c>
      <c r="I2333" s="101">
        <f t="shared" si="147"/>
        <v>0</v>
      </c>
      <c r="J2333" s="101">
        <f t="shared" si="148"/>
        <v>0</v>
      </c>
    </row>
    <row r="2334" spans="2:10" x14ac:dyDescent="0.2">
      <c r="B2334" s="93"/>
      <c r="C2334" s="97"/>
      <c r="D2334" s="93"/>
      <c r="E2334" s="98"/>
      <c r="F2334" s="100">
        <v>2330</v>
      </c>
      <c r="G2334" s="101">
        <f t="shared" si="145"/>
        <v>0</v>
      </c>
      <c r="H2334" s="101">
        <f t="shared" si="146"/>
        <v>0</v>
      </c>
      <c r="I2334" s="101">
        <f t="shared" si="147"/>
        <v>0</v>
      </c>
      <c r="J2334" s="101">
        <f t="shared" si="148"/>
        <v>0</v>
      </c>
    </row>
    <row r="2335" spans="2:10" x14ac:dyDescent="0.2">
      <c r="B2335" s="93"/>
      <c r="C2335" s="97"/>
      <c r="D2335" s="93"/>
      <c r="E2335" s="98"/>
      <c r="F2335" s="100">
        <v>2331</v>
      </c>
      <c r="G2335" s="101">
        <f t="shared" si="145"/>
        <v>0</v>
      </c>
      <c r="H2335" s="101">
        <f t="shared" si="146"/>
        <v>0</v>
      </c>
      <c r="I2335" s="101">
        <f t="shared" si="147"/>
        <v>0</v>
      </c>
      <c r="J2335" s="101">
        <f t="shared" si="148"/>
        <v>0</v>
      </c>
    </row>
    <row r="2336" spans="2:10" x14ac:dyDescent="0.2">
      <c r="B2336" s="93"/>
      <c r="C2336" s="97"/>
      <c r="D2336" s="93"/>
      <c r="E2336" s="98"/>
      <c r="F2336" s="100">
        <v>2332</v>
      </c>
      <c r="G2336" s="101">
        <f t="shared" si="145"/>
        <v>0</v>
      </c>
      <c r="H2336" s="101">
        <f t="shared" si="146"/>
        <v>0</v>
      </c>
      <c r="I2336" s="101">
        <f t="shared" si="147"/>
        <v>0</v>
      </c>
      <c r="J2336" s="101">
        <f t="shared" si="148"/>
        <v>0</v>
      </c>
    </row>
    <row r="2337" spans="2:10" x14ac:dyDescent="0.2">
      <c r="B2337" s="93"/>
      <c r="C2337" s="97"/>
      <c r="D2337" s="93"/>
      <c r="E2337" s="98"/>
      <c r="F2337" s="100">
        <v>2333</v>
      </c>
      <c r="G2337" s="101">
        <f t="shared" si="145"/>
        <v>0</v>
      </c>
      <c r="H2337" s="101">
        <f t="shared" si="146"/>
        <v>0</v>
      </c>
      <c r="I2337" s="101">
        <f t="shared" si="147"/>
        <v>0</v>
      </c>
      <c r="J2337" s="101">
        <f t="shared" si="148"/>
        <v>0</v>
      </c>
    </row>
    <row r="2338" spans="2:10" x14ac:dyDescent="0.2">
      <c r="B2338" s="93"/>
      <c r="C2338" s="97"/>
      <c r="D2338" s="93"/>
      <c r="E2338" s="98"/>
      <c r="F2338" s="100">
        <v>2334</v>
      </c>
      <c r="G2338" s="101">
        <f t="shared" si="145"/>
        <v>0</v>
      </c>
      <c r="H2338" s="101">
        <f t="shared" si="146"/>
        <v>0</v>
      </c>
      <c r="I2338" s="101">
        <f t="shared" si="147"/>
        <v>0</v>
      </c>
      <c r="J2338" s="101">
        <f t="shared" si="148"/>
        <v>0</v>
      </c>
    </row>
    <row r="2339" spans="2:10" x14ac:dyDescent="0.2">
      <c r="B2339" s="93"/>
      <c r="C2339" s="97"/>
      <c r="D2339" s="93"/>
      <c r="E2339" s="98"/>
      <c r="F2339" s="100">
        <v>2335</v>
      </c>
      <c r="G2339" s="101">
        <f t="shared" si="145"/>
        <v>0</v>
      </c>
      <c r="H2339" s="101">
        <f t="shared" si="146"/>
        <v>0</v>
      </c>
      <c r="I2339" s="101">
        <f t="shared" si="147"/>
        <v>0</v>
      </c>
      <c r="J2339" s="101">
        <f t="shared" si="148"/>
        <v>0</v>
      </c>
    </row>
    <row r="2340" spans="2:10" x14ac:dyDescent="0.2">
      <c r="B2340" s="93"/>
      <c r="C2340" s="97"/>
      <c r="D2340" s="93"/>
      <c r="E2340" s="98"/>
      <c r="F2340" s="100">
        <v>2336</v>
      </c>
      <c r="G2340" s="101">
        <f t="shared" si="145"/>
        <v>0</v>
      </c>
      <c r="H2340" s="101">
        <f t="shared" si="146"/>
        <v>0</v>
      </c>
      <c r="I2340" s="101">
        <f t="shared" si="147"/>
        <v>0</v>
      </c>
      <c r="J2340" s="101">
        <f t="shared" si="148"/>
        <v>0</v>
      </c>
    </row>
    <row r="2341" spans="2:10" x14ac:dyDescent="0.2">
      <c r="B2341" s="93"/>
      <c r="C2341" s="97"/>
      <c r="D2341" s="93"/>
      <c r="E2341" s="98"/>
      <c r="F2341" s="100">
        <v>2337</v>
      </c>
      <c r="G2341" s="101">
        <f t="shared" si="145"/>
        <v>0</v>
      </c>
      <c r="H2341" s="101">
        <f t="shared" si="146"/>
        <v>0</v>
      </c>
      <c r="I2341" s="101">
        <f t="shared" si="147"/>
        <v>0</v>
      </c>
      <c r="J2341" s="101">
        <f t="shared" si="148"/>
        <v>0</v>
      </c>
    </row>
    <row r="2342" spans="2:10" x14ac:dyDescent="0.2">
      <c r="B2342" s="93"/>
      <c r="C2342" s="97"/>
      <c r="D2342" s="93"/>
      <c r="E2342" s="98"/>
      <c r="F2342" s="100">
        <v>2338</v>
      </c>
      <c r="G2342" s="101">
        <f t="shared" si="145"/>
        <v>0</v>
      </c>
      <c r="H2342" s="101">
        <f t="shared" si="146"/>
        <v>0</v>
      </c>
      <c r="I2342" s="101">
        <f t="shared" si="147"/>
        <v>0</v>
      </c>
      <c r="J2342" s="101">
        <f t="shared" si="148"/>
        <v>0</v>
      </c>
    </row>
    <row r="2343" spans="2:10" x14ac:dyDescent="0.2">
      <c r="B2343" s="93"/>
      <c r="C2343" s="97"/>
      <c r="D2343" s="93"/>
      <c r="E2343" s="98"/>
      <c r="F2343" s="100">
        <v>2339</v>
      </c>
      <c r="G2343" s="101">
        <f t="shared" si="145"/>
        <v>0</v>
      </c>
      <c r="H2343" s="101">
        <f t="shared" si="146"/>
        <v>0</v>
      </c>
      <c r="I2343" s="101">
        <f t="shared" si="147"/>
        <v>0</v>
      </c>
      <c r="J2343" s="101">
        <f t="shared" si="148"/>
        <v>0</v>
      </c>
    </row>
    <row r="2344" spans="2:10" x14ac:dyDescent="0.2">
      <c r="B2344" s="93"/>
      <c r="C2344" s="97"/>
      <c r="D2344" s="93"/>
      <c r="E2344" s="98"/>
      <c r="F2344" s="100">
        <v>2340</v>
      </c>
      <c r="G2344" s="101">
        <f t="shared" si="145"/>
        <v>0</v>
      </c>
      <c r="H2344" s="101">
        <f t="shared" si="146"/>
        <v>0</v>
      </c>
      <c r="I2344" s="101">
        <f t="shared" si="147"/>
        <v>0</v>
      </c>
      <c r="J2344" s="101">
        <f t="shared" si="148"/>
        <v>0</v>
      </c>
    </row>
    <row r="2345" spans="2:10" x14ac:dyDescent="0.2">
      <c r="B2345" s="93"/>
      <c r="C2345" s="97"/>
      <c r="D2345" s="93"/>
      <c r="E2345" s="98"/>
      <c r="F2345" s="100">
        <v>2341</v>
      </c>
      <c r="G2345" s="101">
        <f t="shared" si="145"/>
        <v>0</v>
      </c>
      <c r="H2345" s="101">
        <f t="shared" si="146"/>
        <v>0</v>
      </c>
      <c r="I2345" s="101">
        <f t="shared" si="147"/>
        <v>0</v>
      </c>
      <c r="J2345" s="101">
        <f t="shared" si="148"/>
        <v>0</v>
      </c>
    </row>
    <row r="2346" spans="2:10" x14ac:dyDescent="0.2">
      <c r="B2346" s="93"/>
      <c r="C2346" s="97"/>
      <c r="D2346" s="93"/>
      <c r="E2346" s="98"/>
      <c r="F2346" s="100">
        <v>2342</v>
      </c>
      <c r="G2346" s="101">
        <f t="shared" si="145"/>
        <v>0</v>
      </c>
      <c r="H2346" s="101">
        <f t="shared" si="146"/>
        <v>0</v>
      </c>
      <c r="I2346" s="101">
        <f t="shared" si="147"/>
        <v>0</v>
      </c>
      <c r="J2346" s="101">
        <f t="shared" si="148"/>
        <v>0</v>
      </c>
    </row>
    <row r="2347" spans="2:10" x14ac:dyDescent="0.2">
      <c r="B2347" s="93"/>
      <c r="C2347" s="97"/>
      <c r="D2347" s="93"/>
      <c r="E2347" s="98"/>
      <c r="F2347" s="100">
        <v>2343</v>
      </c>
      <c r="G2347" s="101">
        <f t="shared" si="145"/>
        <v>0</v>
      </c>
      <c r="H2347" s="101">
        <f t="shared" si="146"/>
        <v>0</v>
      </c>
      <c r="I2347" s="101">
        <f t="shared" si="147"/>
        <v>0</v>
      </c>
      <c r="J2347" s="101">
        <f t="shared" si="148"/>
        <v>0</v>
      </c>
    </row>
    <row r="2348" spans="2:10" x14ac:dyDescent="0.2">
      <c r="B2348" s="93"/>
      <c r="C2348" s="97"/>
      <c r="D2348" s="93"/>
      <c r="E2348" s="98"/>
      <c r="F2348" s="100">
        <v>2344</v>
      </c>
      <c r="G2348" s="101">
        <f t="shared" si="145"/>
        <v>0</v>
      </c>
      <c r="H2348" s="101">
        <f t="shared" si="146"/>
        <v>0</v>
      </c>
      <c r="I2348" s="101">
        <f t="shared" si="147"/>
        <v>0</v>
      </c>
      <c r="J2348" s="101">
        <f t="shared" si="148"/>
        <v>0</v>
      </c>
    </row>
    <row r="2349" spans="2:10" x14ac:dyDescent="0.2">
      <c r="B2349" s="93"/>
      <c r="C2349" s="97"/>
      <c r="D2349" s="93"/>
      <c r="E2349" s="98"/>
      <c r="F2349" s="100">
        <v>2345</v>
      </c>
      <c r="G2349" s="101">
        <f t="shared" si="145"/>
        <v>0</v>
      </c>
      <c r="H2349" s="101">
        <f t="shared" si="146"/>
        <v>0</v>
      </c>
      <c r="I2349" s="101">
        <f t="shared" si="147"/>
        <v>0</v>
      </c>
      <c r="J2349" s="101">
        <f t="shared" si="148"/>
        <v>0</v>
      </c>
    </row>
    <row r="2350" spans="2:10" x14ac:dyDescent="0.2">
      <c r="B2350" s="93"/>
      <c r="C2350" s="97"/>
      <c r="D2350" s="93"/>
      <c r="E2350" s="98"/>
      <c r="F2350" s="100">
        <v>2346</v>
      </c>
      <c r="G2350" s="101">
        <f t="shared" si="145"/>
        <v>0</v>
      </c>
      <c r="H2350" s="101">
        <f t="shared" si="146"/>
        <v>0</v>
      </c>
      <c r="I2350" s="101">
        <f t="shared" si="147"/>
        <v>0</v>
      </c>
      <c r="J2350" s="101">
        <f t="shared" si="148"/>
        <v>0</v>
      </c>
    </row>
    <row r="2351" spans="2:10" x14ac:dyDescent="0.2">
      <c r="B2351" s="93"/>
      <c r="C2351" s="97"/>
      <c r="D2351" s="93"/>
      <c r="E2351" s="98"/>
      <c r="F2351" s="100">
        <v>2347</v>
      </c>
      <c r="G2351" s="101">
        <f t="shared" si="145"/>
        <v>0</v>
      </c>
      <c r="H2351" s="101">
        <f t="shared" si="146"/>
        <v>0</v>
      </c>
      <c r="I2351" s="101">
        <f t="shared" si="147"/>
        <v>0</v>
      </c>
      <c r="J2351" s="101">
        <f t="shared" si="148"/>
        <v>0</v>
      </c>
    </row>
    <row r="2352" spans="2:10" x14ac:dyDescent="0.2">
      <c r="B2352" s="93"/>
      <c r="C2352" s="97"/>
      <c r="D2352" s="93"/>
      <c r="E2352" s="98"/>
      <c r="F2352" s="100">
        <v>2348</v>
      </c>
      <c r="G2352" s="101">
        <f t="shared" si="145"/>
        <v>0</v>
      </c>
      <c r="H2352" s="101">
        <f t="shared" si="146"/>
        <v>0</v>
      </c>
      <c r="I2352" s="101">
        <f t="shared" si="147"/>
        <v>0</v>
      </c>
      <c r="J2352" s="101">
        <f t="shared" si="148"/>
        <v>0</v>
      </c>
    </row>
    <row r="2353" spans="2:10" x14ac:dyDescent="0.2">
      <c r="B2353" s="93"/>
      <c r="C2353" s="97"/>
      <c r="D2353" s="93"/>
      <c r="E2353" s="98"/>
      <c r="F2353" s="100">
        <v>2349</v>
      </c>
      <c r="G2353" s="101">
        <f t="shared" si="145"/>
        <v>0</v>
      </c>
      <c r="H2353" s="101">
        <f t="shared" si="146"/>
        <v>0</v>
      </c>
      <c r="I2353" s="101">
        <f t="shared" si="147"/>
        <v>0</v>
      </c>
      <c r="J2353" s="101">
        <f t="shared" si="148"/>
        <v>0</v>
      </c>
    </row>
    <row r="2354" spans="2:10" x14ac:dyDescent="0.2">
      <c r="B2354" s="93"/>
      <c r="C2354" s="97"/>
      <c r="D2354" s="93"/>
      <c r="E2354" s="98"/>
      <c r="F2354" s="100">
        <v>2350</v>
      </c>
      <c r="G2354" s="101">
        <f t="shared" si="145"/>
        <v>0</v>
      </c>
      <c r="H2354" s="101">
        <f t="shared" si="146"/>
        <v>0</v>
      </c>
      <c r="I2354" s="101">
        <f t="shared" si="147"/>
        <v>0</v>
      </c>
      <c r="J2354" s="101">
        <f t="shared" si="148"/>
        <v>0</v>
      </c>
    </row>
    <row r="2355" spans="2:10" x14ac:dyDescent="0.2">
      <c r="B2355" s="93"/>
      <c r="C2355" s="97"/>
      <c r="D2355" s="93"/>
      <c r="E2355" s="98"/>
      <c r="F2355" s="100">
        <v>2351</v>
      </c>
      <c r="G2355" s="101">
        <f t="shared" si="145"/>
        <v>0</v>
      </c>
      <c r="H2355" s="101">
        <f t="shared" si="146"/>
        <v>0</v>
      </c>
      <c r="I2355" s="101">
        <f t="shared" si="147"/>
        <v>0</v>
      </c>
      <c r="J2355" s="101">
        <f t="shared" si="148"/>
        <v>0</v>
      </c>
    </row>
    <row r="2356" spans="2:10" x14ac:dyDescent="0.2">
      <c r="B2356" s="93"/>
      <c r="C2356" s="97"/>
      <c r="D2356" s="93"/>
      <c r="E2356" s="98"/>
      <c r="F2356" s="100">
        <v>2352</v>
      </c>
      <c r="G2356" s="101">
        <f t="shared" si="145"/>
        <v>0</v>
      </c>
      <c r="H2356" s="101">
        <f t="shared" si="146"/>
        <v>0</v>
      </c>
      <c r="I2356" s="101">
        <f t="shared" si="147"/>
        <v>0</v>
      </c>
      <c r="J2356" s="101">
        <f t="shared" si="148"/>
        <v>0</v>
      </c>
    </row>
    <row r="2357" spans="2:10" x14ac:dyDescent="0.2">
      <c r="B2357" s="93"/>
      <c r="C2357" s="97"/>
      <c r="D2357" s="93"/>
      <c r="E2357" s="98"/>
      <c r="F2357" s="100">
        <v>2353</v>
      </c>
      <c r="G2357" s="101">
        <f t="shared" si="145"/>
        <v>0</v>
      </c>
      <c r="H2357" s="101">
        <f t="shared" si="146"/>
        <v>0</v>
      </c>
      <c r="I2357" s="101">
        <f t="shared" si="147"/>
        <v>0</v>
      </c>
      <c r="J2357" s="101">
        <f t="shared" si="148"/>
        <v>0</v>
      </c>
    </row>
    <row r="2358" spans="2:10" x14ac:dyDescent="0.2">
      <c r="B2358" s="93"/>
      <c r="C2358" s="97"/>
      <c r="D2358" s="93"/>
      <c r="E2358" s="98"/>
      <c r="F2358" s="100">
        <v>2354</v>
      </c>
      <c r="G2358" s="101">
        <f t="shared" si="145"/>
        <v>0</v>
      </c>
      <c r="H2358" s="101">
        <f t="shared" si="146"/>
        <v>0</v>
      </c>
      <c r="I2358" s="101">
        <f t="shared" si="147"/>
        <v>0</v>
      </c>
      <c r="J2358" s="101">
        <f t="shared" si="148"/>
        <v>0</v>
      </c>
    </row>
    <row r="2359" spans="2:10" x14ac:dyDescent="0.2">
      <c r="B2359" s="93"/>
      <c r="C2359" s="97"/>
      <c r="D2359" s="93"/>
      <c r="E2359" s="98"/>
      <c r="F2359" s="100">
        <v>2355</v>
      </c>
      <c r="G2359" s="101">
        <f t="shared" si="145"/>
        <v>0</v>
      </c>
      <c r="H2359" s="101">
        <f t="shared" si="146"/>
        <v>0</v>
      </c>
      <c r="I2359" s="101">
        <f t="shared" si="147"/>
        <v>0</v>
      </c>
      <c r="J2359" s="101">
        <f t="shared" si="148"/>
        <v>0</v>
      </c>
    </row>
    <row r="2360" spans="2:10" x14ac:dyDescent="0.2">
      <c r="B2360" s="93"/>
      <c r="C2360" s="97"/>
      <c r="D2360" s="93"/>
      <c r="E2360" s="98"/>
      <c r="F2360" s="100">
        <v>2356</v>
      </c>
      <c r="G2360" s="101">
        <f t="shared" si="145"/>
        <v>0</v>
      </c>
      <c r="H2360" s="101">
        <f t="shared" si="146"/>
        <v>0</v>
      </c>
      <c r="I2360" s="101">
        <f t="shared" si="147"/>
        <v>0</v>
      </c>
      <c r="J2360" s="101">
        <f t="shared" si="148"/>
        <v>0</v>
      </c>
    </row>
    <row r="2361" spans="2:10" x14ac:dyDescent="0.2">
      <c r="B2361" s="93"/>
      <c r="C2361" s="97"/>
      <c r="D2361" s="93"/>
      <c r="E2361" s="98"/>
      <c r="F2361" s="100">
        <v>2357</v>
      </c>
      <c r="G2361" s="101">
        <f t="shared" si="145"/>
        <v>0</v>
      </c>
      <c r="H2361" s="101">
        <f t="shared" si="146"/>
        <v>0</v>
      </c>
      <c r="I2361" s="101">
        <f t="shared" si="147"/>
        <v>0</v>
      </c>
      <c r="J2361" s="101">
        <f t="shared" si="148"/>
        <v>0</v>
      </c>
    </row>
    <row r="2362" spans="2:10" x14ac:dyDescent="0.2">
      <c r="B2362" s="93"/>
      <c r="C2362" s="97"/>
      <c r="D2362" s="93"/>
      <c r="E2362" s="98"/>
      <c r="F2362" s="100">
        <v>2358</v>
      </c>
      <c r="G2362" s="101">
        <f t="shared" si="145"/>
        <v>0</v>
      </c>
      <c r="H2362" s="101">
        <f t="shared" si="146"/>
        <v>0</v>
      </c>
      <c r="I2362" s="101">
        <f t="shared" si="147"/>
        <v>0</v>
      </c>
      <c r="J2362" s="101">
        <f t="shared" si="148"/>
        <v>0</v>
      </c>
    </row>
    <row r="2363" spans="2:10" x14ac:dyDescent="0.2">
      <c r="B2363" s="93"/>
      <c r="C2363" s="97"/>
      <c r="D2363" s="93"/>
      <c r="E2363" s="98"/>
      <c r="F2363" s="100">
        <v>2359</v>
      </c>
      <c r="G2363" s="101">
        <f t="shared" si="145"/>
        <v>0</v>
      </c>
      <c r="H2363" s="101">
        <f t="shared" si="146"/>
        <v>0</v>
      </c>
      <c r="I2363" s="101">
        <f t="shared" si="147"/>
        <v>0</v>
      </c>
      <c r="J2363" s="101">
        <f t="shared" si="148"/>
        <v>0</v>
      </c>
    </row>
    <row r="2364" spans="2:10" x14ac:dyDescent="0.2">
      <c r="B2364" s="93"/>
      <c r="C2364" s="97"/>
      <c r="D2364" s="93"/>
      <c r="E2364" s="98"/>
      <c r="F2364" s="100">
        <v>2360</v>
      </c>
      <c r="G2364" s="101">
        <f t="shared" si="145"/>
        <v>0</v>
      </c>
      <c r="H2364" s="101">
        <f t="shared" si="146"/>
        <v>0</v>
      </c>
      <c r="I2364" s="101">
        <f t="shared" si="147"/>
        <v>0</v>
      </c>
      <c r="J2364" s="101">
        <f t="shared" si="148"/>
        <v>0</v>
      </c>
    </row>
    <row r="2365" spans="2:10" x14ac:dyDescent="0.2">
      <c r="B2365" s="93"/>
      <c r="C2365" s="97"/>
      <c r="D2365" s="93"/>
      <c r="E2365" s="98"/>
      <c r="F2365" s="100">
        <v>2361</v>
      </c>
      <c r="G2365" s="101">
        <f t="shared" si="145"/>
        <v>0</v>
      </c>
      <c r="H2365" s="101">
        <f t="shared" si="146"/>
        <v>0</v>
      </c>
      <c r="I2365" s="101">
        <f t="shared" si="147"/>
        <v>0</v>
      </c>
      <c r="J2365" s="101">
        <f t="shared" si="148"/>
        <v>0</v>
      </c>
    </row>
    <row r="2366" spans="2:10" x14ac:dyDescent="0.2">
      <c r="B2366" s="93"/>
      <c r="C2366" s="97"/>
      <c r="D2366" s="93"/>
      <c r="E2366" s="98"/>
      <c r="F2366" s="100">
        <v>2362</v>
      </c>
      <c r="G2366" s="101">
        <f t="shared" si="145"/>
        <v>0</v>
      </c>
      <c r="H2366" s="101">
        <f t="shared" si="146"/>
        <v>0</v>
      </c>
      <c r="I2366" s="101">
        <f t="shared" si="147"/>
        <v>0</v>
      </c>
      <c r="J2366" s="101">
        <f t="shared" si="148"/>
        <v>0</v>
      </c>
    </row>
    <row r="2367" spans="2:10" x14ac:dyDescent="0.2">
      <c r="B2367" s="93"/>
      <c r="C2367" s="97"/>
      <c r="D2367" s="93"/>
      <c r="E2367" s="98"/>
      <c r="F2367" s="100">
        <v>2363</v>
      </c>
      <c r="G2367" s="101">
        <f t="shared" si="145"/>
        <v>0</v>
      </c>
      <c r="H2367" s="101">
        <f t="shared" si="146"/>
        <v>0</v>
      </c>
      <c r="I2367" s="101">
        <f t="shared" si="147"/>
        <v>0</v>
      </c>
      <c r="J2367" s="101">
        <f t="shared" si="148"/>
        <v>0</v>
      </c>
    </row>
    <row r="2368" spans="2:10" x14ac:dyDescent="0.2">
      <c r="B2368" s="93"/>
      <c r="C2368" s="97"/>
      <c r="D2368" s="93"/>
      <c r="E2368" s="98"/>
      <c r="F2368" s="100">
        <v>2364</v>
      </c>
      <c r="G2368" s="101">
        <f t="shared" si="145"/>
        <v>0</v>
      </c>
      <c r="H2368" s="101">
        <f t="shared" si="146"/>
        <v>0</v>
      </c>
      <c r="I2368" s="101">
        <f t="shared" si="147"/>
        <v>0</v>
      </c>
      <c r="J2368" s="101">
        <f t="shared" si="148"/>
        <v>0</v>
      </c>
    </row>
    <row r="2369" spans="2:10" x14ac:dyDescent="0.2">
      <c r="B2369" s="93"/>
      <c r="C2369" s="97"/>
      <c r="D2369" s="93"/>
      <c r="E2369" s="98"/>
      <c r="F2369" s="100">
        <v>2365</v>
      </c>
      <c r="G2369" s="101">
        <f t="shared" si="145"/>
        <v>0</v>
      </c>
      <c r="H2369" s="101">
        <f t="shared" si="146"/>
        <v>0</v>
      </c>
      <c r="I2369" s="101">
        <f t="shared" si="147"/>
        <v>0</v>
      </c>
      <c r="J2369" s="101">
        <f t="shared" si="148"/>
        <v>0</v>
      </c>
    </row>
    <row r="2370" spans="2:10" x14ac:dyDescent="0.2">
      <c r="B2370" s="93"/>
      <c r="C2370" s="97"/>
      <c r="D2370" s="93"/>
      <c r="E2370" s="98"/>
      <c r="F2370" s="100">
        <v>2366</v>
      </c>
      <c r="G2370" s="101">
        <f t="shared" si="145"/>
        <v>0</v>
      </c>
      <c r="H2370" s="101">
        <f t="shared" si="146"/>
        <v>0</v>
      </c>
      <c r="I2370" s="101">
        <f t="shared" si="147"/>
        <v>0</v>
      </c>
      <c r="J2370" s="101">
        <f t="shared" si="148"/>
        <v>0</v>
      </c>
    </row>
    <row r="2371" spans="2:10" x14ac:dyDescent="0.2">
      <c r="B2371" s="93"/>
      <c r="C2371" s="97"/>
      <c r="D2371" s="93"/>
      <c r="E2371" s="98"/>
      <c r="F2371" s="100">
        <v>2367</v>
      </c>
      <c r="G2371" s="101">
        <f t="shared" si="145"/>
        <v>0</v>
      </c>
      <c r="H2371" s="101">
        <f t="shared" si="146"/>
        <v>0</v>
      </c>
      <c r="I2371" s="101">
        <f t="shared" si="147"/>
        <v>0</v>
      </c>
      <c r="J2371" s="101">
        <f t="shared" si="148"/>
        <v>0</v>
      </c>
    </row>
    <row r="2372" spans="2:10" x14ac:dyDescent="0.2">
      <c r="B2372" s="93"/>
      <c r="C2372" s="97"/>
      <c r="D2372" s="93"/>
      <c r="E2372" s="98"/>
      <c r="F2372" s="100">
        <v>2368</v>
      </c>
      <c r="G2372" s="101">
        <f t="shared" si="145"/>
        <v>0</v>
      </c>
      <c r="H2372" s="101">
        <f t="shared" si="146"/>
        <v>0</v>
      </c>
      <c r="I2372" s="101">
        <f t="shared" si="147"/>
        <v>0</v>
      </c>
      <c r="J2372" s="101">
        <f t="shared" si="148"/>
        <v>0</v>
      </c>
    </row>
    <row r="2373" spans="2:10" x14ac:dyDescent="0.2">
      <c r="B2373" s="93"/>
      <c r="C2373" s="97"/>
      <c r="D2373" s="93"/>
      <c r="E2373" s="98"/>
      <c r="F2373" s="100">
        <v>2369</v>
      </c>
      <c r="G2373" s="101">
        <f t="shared" si="145"/>
        <v>0</v>
      </c>
      <c r="H2373" s="101">
        <f t="shared" si="146"/>
        <v>0</v>
      </c>
      <c r="I2373" s="101">
        <f t="shared" si="147"/>
        <v>0</v>
      </c>
      <c r="J2373" s="101">
        <f t="shared" si="148"/>
        <v>0</v>
      </c>
    </row>
    <row r="2374" spans="2:10" x14ac:dyDescent="0.2">
      <c r="B2374" s="93"/>
      <c r="C2374" s="97"/>
      <c r="D2374" s="93"/>
      <c r="E2374" s="98"/>
      <c r="F2374" s="100">
        <v>2370</v>
      </c>
      <c r="G2374" s="101">
        <f t="shared" ref="G2374:G2437" si="149">B2374</f>
        <v>0</v>
      </c>
      <c r="H2374" s="101">
        <f t="shared" ref="H2374:H2437" si="150">C2374</f>
        <v>0</v>
      </c>
      <c r="I2374" s="101">
        <f t="shared" ref="I2374:I2437" si="151">D2374</f>
        <v>0</v>
      </c>
      <c r="J2374" s="101">
        <f t="shared" ref="J2374:J2437" si="152">E2374</f>
        <v>0</v>
      </c>
    </row>
    <row r="2375" spans="2:10" x14ac:dyDescent="0.2">
      <c r="B2375" s="93"/>
      <c r="C2375" s="97"/>
      <c r="D2375" s="93"/>
      <c r="E2375" s="98"/>
      <c r="F2375" s="100">
        <v>2371</v>
      </c>
      <c r="G2375" s="101">
        <f t="shared" si="149"/>
        <v>0</v>
      </c>
      <c r="H2375" s="101">
        <f t="shared" si="150"/>
        <v>0</v>
      </c>
      <c r="I2375" s="101">
        <f t="shared" si="151"/>
        <v>0</v>
      </c>
      <c r="J2375" s="101">
        <f t="shared" si="152"/>
        <v>0</v>
      </c>
    </row>
    <row r="2376" spans="2:10" x14ac:dyDescent="0.2">
      <c r="B2376" s="93"/>
      <c r="C2376" s="97"/>
      <c r="D2376" s="93"/>
      <c r="E2376" s="98"/>
      <c r="F2376" s="100">
        <v>2372</v>
      </c>
      <c r="G2376" s="101">
        <f t="shared" si="149"/>
        <v>0</v>
      </c>
      <c r="H2376" s="101">
        <f t="shared" si="150"/>
        <v>0</v>
      </c>
      <c r="I2376" s="101">
        <f t="shared" si="151"/>
        <v>0</v>
      </c>
      <c r="J2376" s="101">
        <f t="shared" si="152"/>
        <v>0</v>
      </c>
    </row>
    <row r="2377" spans="2:10" x14ac:dyDescent="0.2">
      <c r="B2377" s="93"/>
      <c r="C2377" s="97"/>
      <c r="D2377" s="93"/>
      <c r="E2377" s="98"/>
      <c r="F2377" s="100">
        <v>2373</v>
      </c>
      <c r="G2377" s="101">
        <f t="shared" si="149"/>
        <v>0</v>
      </c>
      <c r="H2377" s="101">
        <f t="shared" si="150"/>
        <v>0</v>
      </c>
      <c r="I2377" s="101">
        <f t="shared" si="151"/>
        <v>0</v>
      </c>
      <c r="J2377" s="101">
        <f t="shared" si="152"/>
        <v>0</v>
      </c>
    </row>
    <row r="2378" spans="2:10" x14ac:dyDescent="0.2">
      <c r="B2378" s="93"/>
      <c r="C2378" s="97"/>
      <c r="D2378" s="93"/>
      <c r="E2378" s="98"/>
      <c r="F2378" s="100">
        <v>2374</v>
      </c>
      <c r="G2378" s="101">
        <f t="shared" si="149"/>
        <v>0</v>
      </c>
      <c r="H2378" s="101">
        <f t="shared" si="150"/>
        <v>0</v>
      </c>
      <c r="I2378" s="101">
        <f t="shared" si="151"/>
        <v>0</v>
      </c>
      <c r="J2378" s="101">
        <f t="shared" si="152"/>
        <v>0</v>
      </c>
    </row>
    <row r="2379" spans="2:10" x14ac:dyDescent="0.2">
      <c r="B2379" s="93"/>
      <c r="C2379" s="97"/>
      <c r="D2379" s="93"/>
      <c r="E2379" s="98"/>
      <c r="F2379" s="100">
        <v>2375</v>
      </c>
      <c r="G2379" s="101">
        <f t="shared" si="149"/>
        <v>0</v>
      </c>
      <c r="H2379" s="101">
        <f t="shared" si="150"/>
        <v>0</v>
      </c>
      <c r="I2379" s="101">
        <f t="shared" si="151"/>
        <v>0</v>
      </c>
      <c r="J2379" s="101">
        <f t="shared" si="152"/>
        <v>0</v>
      </c>
    </row>
    <row r="2380" spans="2:10" x14ac:dyDescent="0.2">
      <c r="B2380" s="93"/>
      <c r="C2380" s="97"/>
      <c r="D2380" s="93"/>
      <c r="E2380" s="98"/>
      <c r="F2380" s="100">
        <v>2376</v>
      </c>
      <c r="G2380" s="101">
        <f t="shared" si="149"/>
        <v>0</v>
      </c>
      <c r="H2380" s="101">
        <f t="shared" si="150"/>
        <v>0</v>
      </c>
      <c r="I2380" s="101">
        <f t="shared" si="151"/>
        <v>0</v>
      </c>
      <c r="J2380" s="101">
        <f t="shared" si="152"/>
        <v>0</v>
      </c>
    </row>
    <row r="2381" spans="2:10" x14ac:dyDescent="0.2">
      <c r="B2381" s="93"/>
      <c r="C2381" s="97"/>
      <c r="D2381" s="93"/>
      <c r="E2381" s="98"/>
      <c r="F2381" s="100">
        <v>2377</v>
      </c>
      <c r="G2381" s="101">
        <f t="shared" si="149"/>
        <v>0</v>
      </c>
      <c r="H2381" s="101">
        <f t="shared" si="150"/>
        <v>0</v>
      </c>
      <c r="I2381" s="101">
        <f t="shared" si="151"/>
        <v>0</v>
      </c>
      <c r="J2381" s="101">
        <f t="shared" si="152"/>
        <v>0</v>
      </c>
    </row>
    <row r="2382" spans="2:10" x14ac:dyDescent="0.2">
      <c r="B2382" s="93"/>
      <c r="C2382" s="97"/>
      <c r="D2382" s="93"/>
      <c r="E2382" s="98"/>
      <c r="F2382" s="100">
        <v>2378</v>
      </c>
      <c r="G2382" s="101">
        <f t="shared" si="149"/>
        <v>0</v>
      </c>
      <c r="H2382" s="101">
        <f t="shared" si="150"/>
        <v>0</v>
      </c>
      <c r="I2382" s="101">
        <f t="shared" si="151"/>
        <v>0</v>
      </c>
      <c r="J2382" s="101">
        <f t="shared" si="152"/>
        <v>0</v>
      </c>
    </row>
    <row r="2383" spans="2:10" x14ac:dyDescent="0.2">
      <c r="B2383" s="93"/>
      <c r="C2383" s="97"/>
      <c r="D2383" s="93"/>
      <c r="E2383" s="98"/>
      <c r="F2383" s="100">
        <v>2379</v>
      </c>
      <c r="G2383" s="101">
        <f t="shared" si="149"/>
        <v>0</v>
      </c>
      <c r="H2383" s="101">
        <f t="shared" si="150"/>
        <v>0</v>
      </c>
      <c r="I2383" s="101">
        <f t="shared" si="151"/>
        <v>0</v>
      </c>
      <c r="J2383" s="101">
        <f t="shared" si="152"/>
        <v>0</v>
      </c>
    </row>
    <row r="2384" spans="2:10" x14ac:dyDescent="0.2">
      <c r="B2384" s="93"/>
      <c r="C2384" s="97"/>
      <c r="D2384" s="93"/>
      <c r="E2384" s="98"/>
      <c r="F2384" s="100">
        <v>2380</v>
      </c>
      <c r="G2384" s="101">
        <f t="shared" si="149"/>
        <v>0</v>
      </c>
      <c r="H2384" s="101">
        <f t="shared" si="150"/>
        <v>0</v>
      </c>
      <c r="I2384" s="101">
        <f t="shared" si="151"/>
        <v>0</v>
      </c>
      <c r="J2384" s="101">
        <f t="shared" si="152"/>
        <v>0</v>
      </c>
    </row>
    <row r="2385" spans="2:10" x14ac:dyDescent="0.2">
      <c r="B2385" s="93"/>
      <c r="C2385" s="97"/>
      <c r="D2385" s="93"/>
      <c r="E2385" s="98"/>
      <c r="F2385" s="100">
        <v>2381</v>
      </c>
      <c r="G2385" s="101">
        <f t="shared" si="149"/>
        <v>0</v>
      </c>
      <c r="H2385" s="101">
        <f t="shared" si="150"/>
        <v>0</v>
      </c>
      <c r="I2385" s="101">
        <f t="shared" si="151"/>
        <v>0</v>
      </c>
      <c r="J2385" s="101">
        <f t="shared" si="152"/>
        <v>0</v>
      </c>
    </row>
    <row r="2386" spans="2:10" x14ac:dyDescent="0.2">
      <c r="B2386" s="93"/>
      <c r="C2386" s="97"/>
      <c r="D2386" s="93"/>
      <c r="E2386" s="98"/>
      <c r="F2386" s="100">
        <v>2382</v>
      </c>
      <c r="G2386" s="101">
        <f t="shared" si="149"/>
        <v>0</v>
      </c>
      <c r="H2386" s="101">
        <f t="shared" si="150"/>
        <v>0</v>
      </c>
      <c r="I2386" s="101">
        <f t="shared" si="151"/>
        <v>0</v>
      </c>
      <c r="J2386" s="101">
        <f t="shared" si="152"/>
        <v>0</v>
      </c>
    </row>
    <row r="2387" spans="2:10" x14ac:dyDescent="0.2">
      <c r="B2387" s="93"/>
      <c r="C2387" s="97"/>
      <c r="D2387" s="93"/>
      <c r="E2387" s="98"/>
      <c r="F2387" s="100">
        <v>2383</v>
      </c>
      <c r="G2387" s="101">
        <f t="shared" si="149"/>
        <v>0</v>
      </c>
      <c r="H2387" s="101">
        <f t="shared" si="150"/>
        <v>0</v>
      </c>
      <c r="I2387" s="101">
        <f t="shared" si="151"/>
        <v>0</v>
      </c>
      <c r="J2387" s="101">
        <f t="shared" si="152"/>
        <v>0</v>
      </c>
    </row>
    <row r="2388" spans="2:10" x14ac:dyDescent="0.2">
      <c r="B2388" s="93"/>
      <c r="C2388" s="97"/>
      <c r="D2388" s="93"/>
      <c r="E2388" s="98"/>
      <c r="F2388" s="100">
        <v>2384</v>
      </c>
      <c r="G2388" s="101">
        <f t="shared" si="149"/>
        <v>0</v>
      </c>
      <c r="H2388" s="101">
        <f t="shared" si="150"/>
        <v>0</v>
      </c>
      <c r="I2388" s="101">
        <f t="shared" si="151"/>
        <v>0</v>
      </c>
      <c r="J2388" s="101">
        <f t="shared" si="152"/>
        <v>0</v>
      </c>
    </row>
    <row r="2389" spans="2:10" x14ac:dyDescent="0.2">
      <c r="B2389" s="93"/>
      <c r="C2389" s="97"/>
      <c r="D2389" s="93"/>
      <c r="E2389" s="98"/>
      <c r="F2389" s="100">
        <v>2385</v>
      </c>
      <c r="G2389" s="101">
        <f t="shared" si="149"/>
        <v>0</v>
      </c>
      <c r="H2389" s="101">
        <f t="shared" si="150"/>
        <v>0</v>
      </c>
      <c r="I2389" s="101">
        <f t="shared" si="151"/>
        <v>0</v>
      </c>
      <c r="J2389" s="101">
        <f t="shared" si="152"/>
        <v>0</v>
      </c>
    </row>
    <row r="2390" spans="2:10" x14ac:dyDescent="0.2">
      <c r="B2390" s="93"/>
      <c r="C2390" s="97"/>
      <c r="D2390" s="93"/>
      <c r="E2390" s="98"/>
      <c r="F2390" s="100">
        <v>2386</v>
      </c>
      <c r="G2390" s="101">
        <f t="shared" si="149"/>
        <v>0</v>
      </c>
      <c r="H2390" s="101">
        <f t="shared" si="150"/>
        <v>0</v>
      </c>
      <c r="I2390" s="101">
        <f t="shared" si="151"/>
        <v>0</v>
      </c>
      <c r="J2390" s="101">
        <f t="shared" si="152"/>
        <v>0</v>
      </c>
    </row>
    <row r="2391" spans="2:10" x14ac:dyDescent="0.2">
      <c r="B2391" s="93"/>
      <c r="C2391" s="97"/>
      <c r="D2391" s="93"/>
      <c r="E2391" s="98"/>
      <c r="F2391" s="100">
        <v>2387</v>
      </c>
      <c r="G2391" s="101">
        <f t="shared" si="149"/>
        <v>0</v>
      </c>
      <c r="H2391" s="101">
        <f t="shared" si="150"/>
        <v>0</v>
      </c>
      <c r="I2391" s="101">
        <f t="shared" si="151"/>
        <v>0</v>
      </c>
      <c r="J2391" s="101">
        <f t="shared" si="152"/>
        <v>0</v>
      </c>
    </row>
    <row r="2392" spans="2:10" x14ac:dyDescent="0.2">
      <c r="B2392" s="93"/>
      <c r="C2392" s="97"/>
      <c r="D2392" s="93"/>
      <c r="E2392" s="98"/>
      <c r="F2392" s="100">
        <v>2388</v>
      </c>
      <c r="G2392" s="101">
        <f t="shared" si="149"/>
        <v>0</v>
      </c>
      <c r="H2392" s="101">
        <f t="shared" si="150"/>
        <v>0</v>
      </c>
      <c r="I2392" s="101">
        <f t="shared" si="151"/>
        <v>0</v>
      </c>
      <c r="J2392" s="101">
        <f t="shared" si="152"/>
        <v>0</v>
      </c>
    </row>
    <row r="2393" spans="2:10" x14ac:dyDescent="0.2">
      <c r="B2393" s="93"/>
      <c r="C2393" s="97"/>
      <c r="D2393" s="93"/>
      <c r="E2393" s="98"/>
      <c r="F2393" s="100">
        <v>2389</v>
      </c>
      <c r="G2393" s="101">
        <f t="shared" si="149"/>
        <v>0</v>
      </c>
      <c r="H2393" s="101">
        <f t="shared" si="150"/>
        <v>0</v>
      </c>
      <c r="I2393" s="101">
        <f t="shared" si="151"/>
        <v>0</v>
      </c>
      <c r="J2393" s="101">
        <f t="shared" si="152"/>
        <v>0</v>
      </c>
    </row>
    <row r="2394" spans="2:10" x14ac:dyDescent="0.2">
      <c r="B2394" s="93"/>
      <c r="C2394" s="97"/>
      <c r="D2394" s="93"/>
      <c r="E2394" s="98"/>
      <c r="F2394" s="100">
        <v>2390</v>
      </c>
      <c r="G2394" s="101">
        <f t="shared" si="149"/>
        <v>0</v>
      </c>
      <c r="H2394" s="101">
        <f t="shared" si="150"/>
        <v>0</v>
      </c>
      <c r="I2394" s="101">
        <f t="shared" si="151"/>
        <v>0</v>
      </c>
      <c r="J2394" s="101">
        <f t="shared" si="152"/>
        <v>0</v>
      </c>
    </row>
    <row r="2395" spans="2:10" x14ac:dyDescent="0.2">
      <c r="B2395" s="93"/>
      <c r="C2395" s="97"/>
      <c r="D2395" s="93"/>
      <c r="E2395" s="98"/>
      <c r="F2395" s="100">
        <v>2391</v>
      </c>
      <c r="G2395" s="101">
        <f t="shared" si="149"/>
        <v>0</v>
      </c>
      <c r="H2395" s="101">
        <f t="shared" si="150"/>
        <v>0</v>
      </c>
      <c r="I2395" s="101">
        <f t="shared" si="151"/>
        <v>0</v>
      </c>
      <c r="J2395" s="101">
        <f t="shared" si="152"/>
        <v>0</v>
      </c>
    </row>
    <row r="2396" spans="2:10" x14ac:dyDescent="0.2">
      <c r="B2396" s="93"/>
      <c r="C2396" s="97"/>
      <c r="D2396" s="93"/>
      <c r="E2396" s="98"/>
      <c r="F2396" s="100">
        <v>2392</v>
      </c>
      <c r="G2396" s="101">
        <f t="shared" si="149"/>
        <v>0</v>
      </c>
      <c r="H2396" s="101">
        <f t="shared" si="150"/>
        <v>0</v>
      </c>
      <c r="I2396" s="101">
        <f t="shared" si="151"/>
        <v>0</v>
      </c>
      <c r="J2396" s="101">
        <f t="shared" si="152"/>
        <v>0</v>
      </c>
    </row>
    <row r="2397" spans="2:10" x14ac:dyDescent="0.2">
      <c r="B2397" s="93"/>
      <c r="C2397" s="97"/>
      <c r="D2397" s="93"/>
      <c r="E2397" s="98"/>
      <c r="F2397" s="100">
        <v>2393</v>
      </c>
      <c r="G2397" s="101">
        <f t="shared" si="149"/>
        <v>0</v>
      </c>
      <c r="H2397" s="101">
        <f t="shared" si="150"/>
        <v>0</v>
      </c>
      <c r="I2397" s="101">
        <f t="shared" si="151"/>
        <v>0</v>
      </c>
      <c r="J2397" s="101">
        <f t="shared" si="152"/>
        <v>0</v>
      </c>
    </row>
    <row r="2398" spans="2:10" x14ac:dyDescent="0.2">
      <c r="B2398" s="93"/>
      <c r="C2398" s="97"/>
      <c r="D2398" s="93"/>
      <c r="E2398" s="98"/>
      <c r="F2398" s="100">
        <v>2394</v>
      </c>
      <c r="G2398" s="101">
        <f t="shared" si="149"/>
        <v>0</v>
      </c>
      <c r="H2398" s="101">
        <f t="shared" si="150"/>
        <v>0</v>
      </c>
      <c r="I2398" s="101">
        <f t="shared" si="151"/>
        <v>0</v>
      </c>
      <c r="J2398" s="101">
        <f t="shared" si="152"/>
        <v>0</v>
      </c>
    </row>
    <row r="2399" spans="2:10" x14ac:dyDescent="0.2">
      <c r="B2399" s="93"/>
      <c r="C2399" s="97"/>
      <c r="D2399" s="93"/>
      <c r="E2399" s="98"/>
      <c r="F2399" s="100">
        <v>2395</v>
      </c>
      <c r="G2399" s="101">
        <f t="shared" si="149"/>
        <v>0</v>
      </c>
      <c r="H2399" s="101">
        <f t="shared" si="150"/>
        <v>0</v>
      </c>
      <c r="I2399" s="101">
        <f t="shared" si="151"/>
        <v>0</v>
      </c>
      <c r="J2399" s="101">
        <f t="shared" si="152"/>
        <v>0</v>
      </c>
    </row>
    <row r="2400" spans="2:10" x14ac:dyDescent="0.2">
      <c r="B2400" s="93"/>
      <c r="C2400" s="97"/>
      <c r="D2400" s="93"/>
      <c r="E2400" s="98"/>
      <c r="F2400" s="100">
        <v>2396</v>
      </c>
      <c r="G2400" s="101">
        <f t="shared" si="149"/>
        <v>0</v>
      </c>
      <c r="H2400" s="101">
        <f t="shared" si="150"/>
        <v>0</v>
      </c>
      <c r="I2400" s="101">
        <f t="shared" si="151"/>
        <v>0</v>
      </c>
      <c r="J2400" s="101">
        <f t="shared" si="152"/>
        <v>0</v>
      </c>
    </row>
    <row r="2401" spans="2:10" x14ac:dyDescent="0.2">
      <c r="B2401" s="93"/>
      <c r="C2401" s="97"/>
      <c r="D2401" s="93"/>
      <c r="E2401" s="98"/>
      <c r="F2401" s="100">
        <v>2397</v>
      </c>
      <c r="G2401" s="101">
        <f t="shared" si="149"/>
        <v>0</v>
      </c>
      <c r="H2401" s="101">
        <f t="shared" si="150"/>
        <v>0</v>
      </c>
      <c r="I2401" s="101">
        <f t="shared" si="151"/>
        <v>0</v>
      </c>
      <c r="J2401" s="101">
        <f t="shared" si="152"/>
        <v>0</v>
      </c>
    </row>
    <row r="2402" spans="2:10" x14ac:dyDescent="0.2">
      <c r="B2402" s="93"/>
      <c r="C2402" s="97"/>
      <c r="D2402" s="93"/>
      <c r="E2402" s="98"/>
      <c r="F2402" s="100">
        <v>2398</v>
      </c>
      <c r="G2402" s="101">
        <f t="shared" si="149"/>
        <v>0</v>
      </c>
      <c r="H2402" s="101">
        <f t="shared" si="150"/>
        <v>0</v>
      </c>
      <c r="I2402" s="101">
        <f t="shared" si="151"/>
        <v>0</v>
      </c>
      <c r="J2402" s="101">
        <f t="shared" si="152"/>
        <v>0</v>
      </c>
    </row>
    <row r="2403" spans="2:10" x14ac:dyDescent="0.2">
      <c r="B2403" s="93"/>
      <c r="C2403" s="97"/>
      <c r="D2403" s="93"/>
      <c r="E2403" s="98"/>
      <c r="F2403" s="100">
        <v>2399</v>
      </c>
      <c r="G2403" s="101">
        <f t="shared" si="149"/>
        <v>0</v>
      </c>
      <c r="H2403" s="101">
        <f t="shared" si="150"/>
        <v>0</v>
      </c>
      <c r="I2403" s="101">
        <f t="shared" si="151"/>
        <v>0</v>
      </c>
      <c r="J2403" s="101">
        <f t="shared" si="152"/>
        <v>0</v>
      </c>
    </row>
    <row r="2404" spans="2:10" x14ac:dyDescent="0.2">
      <c r="B2404" s="93"/>
      <c r="C2404" s="97"/>
      <c r="D2404" s="93"/>
      <c r="E2404" s="98"/>
      <c r="F2404" s="100">
        <v>2400</v>
      </c>
      <c r="G2404" s="101">
        <f t="shared" si="149"/>
        <v>0</v>
      </c>
      <c r="H2404" s="101">
        <f t="shared" si="150"/>
        <v>0</v>
      </c>
      <c r="I2404" s="101">
        <f t="shared" si="151"/>
        <v>0</v>
      </c>
      <c r="J2404" s="101">
        <f t="shared" si="152"/>
        <v>0</v>
      </c>
    </row>
    <row r="2405" spans="2:10" x14ac:dyDescent="0.2">
      <c r="B2405" s="93"/>
      <c r="C2405" s="97"/>
      <c r="D2405" s="93"/>
      <c r="E2405" s="98"/>
      <c r="F2405" s="100">
        <v>2401</v>
      </c>
      <c r="G2405" s="101">
        <f t="shared" si="149"/>
        <v>0</v>
      </c>
      <c r="H2405" s="101">
        <f t="shared" si="150"/>
        <v>0</v>
      </c>
      <c r="I2405" s="101">
        <f t="shared" si="151"/>
        <v>0</v>
      </c>
      <c r="J2405" s="101">
        <f t="shared" si="152"/>
        <v>0</v>
      </c>
    </row>
    <row r="2406" spans="2:10" x14ac:dyDescent="0.2">
      <c r="B2406" s="93"/>
      <c r="C2406" s="97"/>
      <c r="D2406" s="93"/>
      <c r="E2406" s="98"/>
      <c r="F2406" s="100">
        <v>2402</v>
      </c>
      <c r="G2406" s="101">
        <f t="shared" si="149"/>
        <v>0</v>
      </c>
      <c r="H2406" s="101">
        <f t="shared" si="150"/>
        <v>0</v>
      </c>
      <c r="I2406" s="101">
        <f t="shared" si="151"/>
        <v>0</v>
      </c>
      <c r="J2406" s="101">
        <f t="shared" si="152"/>
        <v>0</v>
      </c>
    </row>
    <row r="2407" spans="2:10" x14ac:dyDescent="0.2">
      <c r="B2407" s="93"/>
      <c r="C2407" s="97"/>
      <c r="D2407" s="93"/>
      <c r="E2407" s="98"/>
      <c r="F2407" s="100">
        <v>2403</v>
      </c>
      <c r="G2407" s="101">
        <f t="shared" si="149"/>
        <v>0</v>
      </c>
      <c r="H2407" s="101">
        <f t="shared" si="150"/>
        <v>0</v>
      </c>
      <c r="I2407" s="101">
        <f t="shared" si="151"/>
        <v>0</v>
      </c>
      <c r="J2407" s="101">
        <f t="shared" si="152"/>
        <v>0</v>
      </c>
    </row>
    <row r="2408" spans="2:10" x14ac:dyDescent="0.2">
      <c r="B2408" s="93"/>
      <c r="C2408" s="97"/>
      <c r="D2408" s="93"/>
      <c r="E2408" s="98"/>
      <c r="F2408" s="100">
        <v>2404</v>
      </c>
      <c r="G2408" s="101">
        <f t="shared" si="149"/>
        <v>0</v>
      </c>
      <c r="H2408" s="101">
        <f t="shared" si="150"/>
        <v>0</v>
      </c>
      <c r="I2408" s="101">
        <f t="shared" si="151"/>
        <v>0</v>
      </c>
      <c r="J2408" s="101">
        <f t="shared" si="152"/>
        <v>0</v>
      </c>
    </row>
    <row r="2409" spans="2:10" x14ac:dyDescent="0.2">
      <c r="B2409" s="93"/>
      <c r="C2409" s="97"/>
      <c r="D2409" s="93"/>
      <c r="E2409" s="98"/>
      <c r="F2409" s="100">
        <v>2405</v>
      </c>
      <c r="G2409" s="101">
        <f t="shared" si="149"/>
        <v>0</v>
      </c>
      <c r="H2409" s="101">
        <f t="shared" si="150"/>
        <v>0</v>
      </c>
      <c r="I2409" s="101">
        <f t="shared" si="151"/>
        <v>0</v>
      </c>
      <c r="J2409" s="101">
        <f t="shared" si="152"/>
        <v>0</v>
      </c>
    </row>
    <row r="2410" spans="2:10" x14ac:dyDescent="0.2">
      <c r="B2410" s="93"/>
      <c r="C2410" s="97"/>
      <c r="D2410" s="93"/>
      <c r="E2410" s="98"/>
      <c r="F2410" s="100">
        <v>2406</v>
      </c>
      <c r="G2410" s="101">
        <f t="shared" si="149"/>
        <v>0</v>
      </c>
      <c r="H2410" s="101">
        <f t="shared" si="150"/>
        <v>0</v>
      </c>
      <c r="I2410" s="101">
        <f t="shared" si="151"/>
        <v>0</v>
      </c>
      <c r="J2410" s="101">
        <f t="shared" si="152"/>
        <v>0</v>
      </c>
    </row>
    <row r="2411" spans="2:10" x14ac:dyDescent="0.2">
      <c r="B2411" s="93"/>
      <c r="C2411" s="97"/>
      <c r="D2411" s="93"/>
      <c r="E2411" s="98"/>
      <c r="F2411" s="100">
        <v>2407</v>
      </c>
      <c r="G2411" s="101">
        <f t="shared" si="149"/>
        <v>0</v>
      </c>
      <c r="H2411" s="101">
        <f t="shared" si="150"/>
        <v>0</v>
      </c>
      <c r="I2411" s="101">
        <f t="shared" si="151"/>
        <v>0</v>
      </c>
      <c r="J2411" s="101">
        <f t="shared" si="152"/>
        <v>0</v>
      </c>
    </row>
    <row r="2412" spans="2:10" x14ac:dyDescent="0.2">
      <c r="B2412" s="93"/>
      <c r="C2412" s="97"/>
      <c r="D2412" s="93"/>
      <c r="E2412" s="98"/>
      <c r="F2412" s="100">
        <v>2408</v>
      </c>
      <c r="G2412" s="101">
        <f t="shared" si="149"/>
        <v>0</v>
      </c>
      <c r="H2412" s="101">
        <f t="shared" si="150"/>
        <v>0</v>
      </c>
      <c r="I2412" s="101">
        <f t="shared" si="151"/>
        <v>0</v>
      </c>
      <c r="J2412" s="101">
        <f t="shared" si="152"/>
        <v>0</v>
      </c>
    </row>
    <row r="2413" spans="2:10" x14ac:dyDescent="0.2">
      <c r="B2413" s="93"/>
      <c r="C2413" s="97"/>
      <c r="D2413" s="93"/>
      <c r="E2413" s="98"/>
      <c r="F2413" s="100">
        <v>2409</v>
      </c>
      <c r="G2413" s="101">
        <f t="shared" si="149"/>
        <v>0</v>
      </c>
      <c r="H2413" s="101">
        <f t="shared" si="150"/>
        <v>0</v>
      </c>
      <c r="I2413" s="101">
        <f t="shared" si="151"/>
        <v>0</v>
      </c>
      <c r="J2413" s="101">
        <f t="shared" si="152"/>
        <v>0</v>
      </c>
    </row>
    <row r="2414" spans="2:10" x14ac:dyDescent="0.2">
      <c r="B2414" s="93"/>
      <c r="C2414" s="97"/>
      <c r="D2414" s="93"/>
      <c r="E2414" s="98"/>
      <c r="F2414" s="100">
        <v>2410</v>
      </c>
      <c r="G2414" s="101">
        <f t="shared" si="149"/>
        <v>0</v>
      </c>
      <c r="H2414" s="101">
        <f t="shared" si="150"/>
        <v>0</v>
      </c>
      <c r="I2414" s="101">
        <f t="shared" si="151"/>
        <v>0</v>
      </c>
      <c r="J2414" s="101">
        <f t="shared" si="152"/>
        <v>0</v>
      </c>
    </row>
    <row r="2415" spans="2:10" x14ac:dyDescent="0.2">
      <c r="B2415" s="93"/>
      <c r="C2415" s="97"/>
      <c r="D2415" s="93"/>
      <c r="E2415" s="98"/>
      <c r="F2415" s="100">
        <v>2411</v>
      </c>
      <c r="G2415" s="101">
        <f t="shared" si="149"/>
        <v>0</v>
      </c>
      <c r="H2415" s="101">
        <f t="shared" si="150"/>
        <v>0</v>
      </c>
      <c r="I2415" s="101">
        <f t="shared" si="151"/>
        <v>0</v>
      </c>
      <c r="J2415" s="101">
        <f t="shared" si="152"/>
        <v>0</v>
      </c>
    </row>
    <row r="2416" spans="2:10" x14ac:dyDescent="0.2">
      <c r="B2416" s="93"/>
      <c r="C2416" s="97"/>
      <c r="D2416" s="93"/>
      <c r="E2416" s="98"/>
      <c r="F2416" s="100">
        <v>2412</v>
      </c>
      <c r="G2416" s="101">
        <f t="shared" si="149"/>
        <v>0</v>
      </c>
      <c r="H2416" s="101">
        <f t="shared" si="150"/>
        <v>0</v>
      </c>
      <c r="I2416" s="101">
        <f t="shared" si="151"/>
        <v>0</v>
      </c>
      <c r="J2416" s="101">
        <f t="shared" si="152"/>
        <v>0</v>
      </c>
    </row>
    <row r="2417" spans="2:10" x14ac:dyDescent="0.2">
      <c r="B2417" s="93"/>
      <c r="C2417" s="97"/>
      <c r="D2417" s="93"/>
      <c r="E2417" s="98"/>
      <c r="F2417" s="100">
        <v>2413</v>
      </c>
      <c r="G2417" s="101">
        <f t="shared" si="149"/>
        <v>0</v>
      </c>
      <c r="H2417" s="101">
        <f t="shared" si="150"/>
        <v>0</v>
      </c>
      <c r="I2417" s="101">
        <f t="shared" si="151"/>
        <v>0</v>
      </c>
      <c r="J2417" s="101">
        <f t="shared" si="152"/>
        <v>0</v>
      </c>
    </row>
    <row r="2418" spans="2:10" x14ac:dyDescent="0.2">
      <c r="B2418" s="93"/>
      <c r="C2418" s="97"/>
      <c r="D2418" s="93"/>
      <c r="E2418" s="98"/>
      <c r="F2418" s="100">
        <v>2414</v>
      </c>
      <c r="G2418" s="101">
        <f t="shared" si="149"/>
        <v>0</v>
      </c>
      <c r="H2418" s="101">
        <f t="shared" si="150"/>
        <v>0</v>
      </c>
      <c r="I2418" s="101">
        <f t="shared" si="151"/>
        <v>0</v>
      </c>
      <c r="J2418" s="101">
        <f t="shared" si="152"/>
        <v>0</v>
      </c>
    </row>
    <row r="2419" spans="2:10" x14ac:dyDescent="0.2">
      <c r="B2419" s="93"/>
      <c r="C2419" s="97"/>
      <c r="D2419" s="93"/>
      <c r="E2419" s="98"/>
      <c r="F2419" s="100">
        <v>2415</v>
      </c>
      <c r="G2419" s="101">
        <f t="shared" si="149"/>
        <v>0</v>
      </c>
      <c r="H2419" s="101">
        <f t="shared" si="150"/>
        <v>0</v>
      </c>
      <c r="I2419" s="101">
        <f t="shared" si="151"/>
        <v>0</v>
      </c>
      <c r="J2419" s="101">
        <f t="shared" si="152"/>
        <v>0</v>
      </c>
    </row>
    <row r="2420" spans="2:10" x14ac:dyDescent="0.2">
      <c r="B2420" s="93"/>
      <c r="C2420" s="97"/>
      <c r="D2420" s="93"/>
      <c r="E2420" s="98"/>
      <c r="F2420" s="100">
        <v>2416</v>
      </c>
      <c r="G2420" s="101">
        <f t="shared" si="149"/>
        <v>0</v>
      </c>
      <c r="H2420" s="101">
        <f t="shared" si="150"/>
        <v>0</v>
      </c>
      <c r="I2420" s="101">
        <f t="shared" si="151"/>
        <v>0</v>
      </c>
      <c r="J2420" s="101">
        <f t="shared" si="152"/>
        <v>0</v>
      </c>
    </row>
    <row r="2421" spans="2:10" x14ac:dyDescent="0.2">
      <c r="B2421" s="93"/>
      <c r="C2421" s="97"/>
      <c r="D2421" s="93"/>
      <c r="E2421" s="98"/>
      <c r="F2421" s="100">
        <v>2417</v>
      </c>
      <c r="G2421" s="101">
        <f t="shared" si="149"/>
        <v>0</v>
      </c>
      <c r="H2421" s="101">
        <f t="shared" si="150"/>
        <v>0</v>
      </c>
      <c r="I2421" s="101">
        <f t="shared" si="151"/>
        <v>0</v>
      </c>
      <c r="J2421" s="101">
        <f t="shared" si="152"/>
        <v>0</v>
      </c>
    </row>
    <row r="2422" spans="2:10" x14ac:dyDescent="0.2">
      <c r="B2422" s="93"/>
      <c r="C2422" s="97"/>
      <c r="D2422" s="93"/>
      <c r="E2422" s="98"/>
      <c r="F2422" s="100">
        <v>2418</v>
      </c>
      <c r="G2422" s="101">
        <f t="shared" si="149"/>
        <v>0</v>
      </c>
      <c r="H2422" s="101">
        <f t="shared" si="150"/>
        <v>0</v>
      </c>
      <c r="I2422" s="101">
        <f t="shared" si="151"/>
        <v>0</v>
      </c>
      <c r="J2422" s="101">
        <f t="shared" si="152"/>
        <v>0</v>
      </c>
    </row>
    <row r="2423" spans="2:10" x14ac:dyDescent="0.2">
      <c r="B2423" s="93"/>
      <c r="C2423" s="97"/>
      <c r="D2423" s="93"/>
      <c r="E2423" s="98"/>
      <c r="F2423" s="100">
        <v>2419</v>
      </c>
      <c r="G2423" s="101">
        <f t="shared" si="149"/>
        <v>0</v>
      </c>
      <c r="H2423" s="101">
        <f t="shared" si="150"/>
        <v>0</v>
      </c>
      <c r="I2423" s="101">
        <f t="shared" si="151"/>
        <v>0</v>
      </c>
      <c r="J2423" s="101">
        <f t="shared" si="152"/>
        <v>0</v>
      </c>
    </row>
    <row r="2424" spans="2:10" x14ac:dyDescent="0.2">
      <c r="B2424" s="93"/>
      <c r="C2424" s="97"/>
      <c r="D2424" s="93"/>
      <c r="E2424" s="98"/>
      <c r="F2424" s="100">
        <v>2420</v>
      </c>
      <c r="G2424" s="101">
        <f t="shared" si="149"/>
        <v>0</v>
      </c>
      <c r="H2424" s="101">
        <f t="shared" si="150"/>
        <v>0</v>
      </c>
      <c r="I2424" s="101">
        <f t="shared" si="151"/>
        <v>0</v>
      </c>
      <c r="J2424" s="101">
        <f t="shared" si="152"/>
        <v>0</v>
      </c>
    </row>
    <row r="2425" spans="2:10" x14ac:dyDescent="0.2">
      <c r="B2425" s="93"/>
      <c r="C2425" s="97"/>
      <c r="D2425" s="93"/>
      <c r="E2425" s="98"/>
      <c r="F2425" s="100">
        <v>2421</v>
      </c>
      <c r="G2425" s="101">
        <f t="shared" si="149"/>
        <v>0</v>
      </c>
      <c r="H2425" s="101">
        <f t="shared" si="150"/>
        <v>0</v>
      </c>
      <c r="I2425" s="101">
        <f t="shared" si="151"/>
        <v>0</v>
      </c>
      <c r="J2425" s="101">
        <f t="shared" si="152"/>
        <v>0</v>
      </c>
    </row>
    <row r="2426" spans="2:10" x14ac:dyDescent="0.2">
      <c r="B2426" s="93"/>
      <c r="C2426" s="97"/>
      <c r="D2426" s="93"/>
      <c r="E2426" s="98"/>
      <c r="F2426" s="100">
        <v>2422</v>
      </c>
      <c r="G2426" s="101">
        <f t="shared" si="149"/>
        <v>0</v>
      </c>
      <c r="H2426" s="101">
        <f t="shared" si="150"/>
        <v>0</v>
      </c>
      <c r="I2426" s="101">
        <f t="shared" si="151"/>
        <v>0</v>
      </c>
      <c r="J2426" s="101">
        <f t="shared" si="152"/>
        <v>0</v>
      </c>
    </row>
    <row r="2427" spans="2:10" x14ac:dyDescent="0.2">
      <c r="B2427" s="93"/>
      <c r="C2427" s="97"/>
      <c r="D2427" s="93"/>
      <c r="E2427" s="98"/>
      <c r="F2427" s="100">
        <v>2423</v>
      </c>
      <c r="G2427" s="101">
        <f t="shared" si="149"/>
        <v>0</v>
      </c>
      <c r="H2427" s="101">
        <f t="shared" si="150"/>
        <v>0</v>
      </c>
      <c r="I2427" s="101">
        <f t="shared" si="151"/>
        <v>0</v>
      </c>
      <c r="J2427" s="101">
        <f t="shared" si="152"/>
        <v>0</v>
      </c>
    </row>
    <row r="2428" spans="2:10" x14ac:dyDescent="0.2">
      <c r="B2428" s="93"/>
      <c r="C2428" s="97"/>
      <c r="D2428" s="93"/>
      <c r="E2428" s="98"/>
      <c r="F2428" s="100">
        <v>2424</v>
      </c>
      <c r="G2428" s="101">
        <f t="shared" si="149"/>
        <v>0</v>
      </c>
      <c r="H2428" s="101">
        <f t="shared" si="150"/>
        <v>0</v>
      </c>
      <c r="I2428" s="101">
        <f t="shared" si="151"/>
        <v>0</v>
      </c>
      <c r="J2428" s="101">
        <f t="shared" si="152"/>
        <v>0</v>
      </c>
    </row>
    <row r="2429" spans="2:10" x14ac:dyDescent="0.2">
      <c r="B2429" s="93"/>
      <c r="C2429" s="97"/>
      <c r="D2429" s="93"/>
      <c r="E2429" s="98"/>
      <c r="F2429" s="100">
        <v>2425</v>
      </c>
      <c r="G2429" s="101">
        <f t="shared" si="149"/>
        <v>0</v>
      </c>
      <c r="H2429" s="101">
        <f t="shared" si="150"/>
        <v>0</v>
      </c>
      <c r="I2429" s="101">
        <f t="shared" si="151"/>
        <v>0</v>
      </c>
      <c r="J2429" s="101">
        <f t="shared" si="152"/>
        <v>0</v>
      </c>
    </row>
    <row r="2430" spans="2:10" x14ac:dyDescent="0.2">
      <c r="B2430" s="93"/>
      <c r="C2430" s="97"/>
      <c r="D2430" s="93"/>
      <c r="E2430" s="98"/>
      <c r="F2430" s="100">
        <v>2426</v>
      </c>
      <c r="G2430" s="101">
        <f t="shared" si="149"/>
        <v>0</v>
      </c>
      <c r="H2430" s="101">
        <f t="shared" si="150"/>
        <v>0</v>
      </c>
      <c r="I2430" s="101">
        <f t="shared" si="151"/>
        <v>0</v>
      </c>
      <c r="J2430" s="101">
        <f t="shared" si="152"/>
        <v>0</v>
      </c>
    </row>
    <row r="2431" spans="2:10" x14ac:dyDescent="0.2">
      <c r="B2431" s="93"/>
      <c r="C2431" s="97"/>
      <c r="D2431" s="93"/>
      <c r="E2431" s="98"/>
      <c r="F2431" s="100">
        <v>2427</v>
      </c>
      <c r="G2431" s="101">
        <f t="shared" si="149"/>
        <v>0</v>
      </c>
      <c r="H2431" s="101">
        <f t="shared" si="150"/>
        <v>0</v>
      </c>
      <c r="I2431" s="101">
        <f t="shared" si="151"/>
        <v>0</v>
      </c>
      <c r="J2431" s="101">
        <f t="shared" si="152"/>
        <v>0</v>
      </c>
    </row>
    <row r="2432" spans="2:10" x14ac:dyDescent="0.2">
      <c r="B2432" s="93"/>
      <c r="C2432" s="97"/>
      <c r="D2432" s="93"/>
      <c r="E2432" s="98"/>
      <c r="F2432" s="100">
        <v>2428</v>
      </c>
      <c r="G2432" s="101">
        <f t="shared" si="149"/>
        <v>0</v>
      </c>
      <c r="H2432" s="101">
        <f t="shared" si="150"/>
        <v>0</v>
      </c>
      <c r="I2432" s="101">
        <f t="shared" si="151"/>
        <v>0</v>
      </c>
      <c r="J2432" s="101">
        <f t="shared" si="152"/>
        <v>0</v>
      </c>
    </row>
    <row r="2433" spans="2:10" x14ac:dyDescent="0.2">
      <c r="B2433" s="93"/>
      <c r="C2433" s="97"/>
      <c r="D2433" s="93"/>
      <c r="E2433" s="98"/>
      <c r="F2433" s="100">
        <v>2429</v>
      </c>
      <c r="G2433" s="101">
        <f t="shared" si="149"/>
        <v>0</v>
      </c>
      <c r="H2433" s="101">
        <f t="shared" si="150"/>
        <v>0</v>
      </c>
      <c r="I2433" s="101">
        <f t="shared" si="151"/>
        <v>0</v>
      </c>
      <c r="J2433" s="101">
        <f t="shared" si="152"/>
        <v>0</v>
      </c>
    </row>
    <row r="2434" spans="2:10" x14ac:dyDescent="0.2">
      <c r="B2434" s="93"/>
      <c r="C2434" s="97"/>
      <c r="D2434" s="93"/>
      <c r="E2434" s="98"/>
      <c r="F2434" s="100">
        <v>2430</v>
      </c>
      <c r="G2434" s="101">
        <f t="shared" si="149"/>
        <v>0</v>
      </c>
      <c r="H2434" s="101">
        <f t="shared" si="150"/>
        <v>0</v>
      </c>
      <c r="I2434" s="101">
        <f t="shared" si="151"/>
        <v>0</v>
      </c>
      <c r="J2434" s="101">
        <f t="shared" si="152"/>
        <v>0</v>
      </c>
    </row>
    <row r="2435" spans="2:10" x14ac:dyDescent="0.2">
      <c r="B2435" s="93"/>
      <c r="C2435" s="97"/>
      <c r="D2435" s="93"/>
      <c r="E2435" s="98"/>
      <c r="F2435" s="100">
        <v>2431</v>
      </c>
      <c r="G2435" s="101">
        <f t="shared" si="149"/>
        <v>0</v>
      </c>
      <c r="H2435" s="101">
        <f t="shared" si="150"/>
        <v>0</v>
      </c>
      <c r="I2435" s="101">
        <f t="shared" si="151"/>
        <v>0</v>
      </c>
      <c r="J2435" s="101">
        <f t="shared" si="152"/>
        <v>0</v>
      </c>
    </row>
    <row r="2436" spans="2:10" x14ac:dyDescent="0.2">
      <c r="B2436" s="93"/>
      <c r="C2436" s="97"/>
      <c r="D2436" s="93"/>
      <c r="E2436" s="98"/>
      <c r="F2436" s="100">
        <v>2432</v>
      </c>
      <c r="G2436" s="101">
        <f t="shared" si="149"/>
        <v>0</v>
      </c>
      <c r="H2436" s="101">
        <f t="shared" si="150"/>
        <v>0</v>
      </c>
      <c r="I2436" s="101">
        <f t="shared" si="151"/>
        <v>0</v>
      </c>
      <c r="J2436" s="101">
        <f t="shared" si="152"/>
        <v>0</v>
      </c>
    </row>
    <row r="2437" spans="2:10" x14ac:dyDescent="0.2">
      <c r="B2437" s="93"/>
      <c r="C2437" s="97"/>
      <c r="D2437" s="93"/>
      <c r="E2437" s="98"/>
      <c r="F2437" s="100">
        <v>2433</v>
      </c>
      <c r="G2437" s="101">
        <f t="shared" si="149"/>
        <v>0</v>
      </c>
      <c r="H2437" s="101">
        <f t="shared" si="150"/>
        <v>0</v>
      </c>
      <c r="I2437" s="101">
        <f t="shared" si="151"/>
        <v>0</v>
      </c>
      <c r="J2437" s="101">
        <f t="shared" si="152"/>
        <v>0</v>
      </c>
    </row>
    <row r="2438" spans="2:10" x14ac:dyDescent="0.2">
      <c r="B2438" s="93"/>
      <c r="C2438" s="97"/>
      <c r="D2438" s="93"/>
      <c r="E2438" s="98"/>
      <c r="F2438" s="100">
        <v>2434</v>
      </c>
      <c r="G2438" s="101">
        <f t="shared" ref="G2438:G2472" si="153">B2438</f>
        <v>0</v>
      </c>
      <c r="H2438" s="101">
        <f t="shared" ref="H2438:H2472" si="154">C2438</f>
        <v>0</v>
      </c>
      <c r="I2438" s="101">
        <f t="shared" ref="I2438:I2472" si="155">D2438</f>
        <v>0</v>
      </c>
      <c r="J2438" s="101">
        <f t="shared" ref="J2438:J2472" si="156">E2438</f>
        <v>0</v>
      </c>
    </row>
    <row r="2439" spans="2:10" x14ac:dyDescent="0.2">
      <c r="B2439" s="93"/>
      <c r="C2439" s="97"/>
      <c r="D2439" s="93"/>
      <c r="E2439" s="98"/>
      <c r="F2439" s="100">
        <v>2435</v>
      </c>
      <c r="G2439" s="101">
        <f t="shared" si="153"/>
        <v>0</v>
      </c>
      <c r="H2439" s="101">
        <f t="shared" si="154"/>
        <v>0</v>
      </c>
      <c r="I2439" s="101">
        <f t="shared" si="155"/>
        <v>0</v>
      </c>
      <c r="J2439" s="101">
        <f t="shared" si="156"/>
        <v>0</v>
      </c>
    </row>
    <row r="2440" spans="2:10" x14ac:dyDescent="0.2">
      <c r="B2440" s="93"/>
      <c r="C2440" s="97"/>
      <c r="D2440" s="93"/>
      <c r="E2440" s="98"/>
      <c r="F2440" s="100">
        <v>2436</v>
      </c>
      <c r="G2440" s="101">
        <f t="shared" si="153"/>
        <v>0</v>
      </c>
      <c r="H2440" s="101">
        <f t="shared" si="154"/>
        <v>0</v>
      </c>
      <c r="I2440" s="101">
        <f t="shared" si="155"/>
        <v>0</v>
      </c>
      <c r="J2440" s="101">
        <f t="shared" si="156"/>
        <v>0</v>
      </c>
    </row>
    <row r="2441" spans="2:10" x14ac:dyDescent="0.2">
      <c r="B2441" s="93"/>
      <c r="C2441" s="97"/>
      <c r="D2441" s="93"/>
      <c r="E2441" s="98"/>
      <c r="F2441" s="100">
        <v>2437</v>
      </c>
      <c r="G2441" s="101">
        <f t="shared" si="153"/>
        <v>0</v>
      </c>
      <c r="H2441" s="101">
        <f t="shared" si="154"/>
        <v>0</v>
      </c>
      <c r="I2441" s="101">
        <f t="shared" si="155"/>
        <v>0</v>
      </c>
      <c r="J2441" s="101">
        <f t="shared" si="156"/>
        <v>0</v>
      </c>
    </row>
    <row r="2442" spans="2:10" x14ac:dyDescent="0.2">
      <c r="B2442" s="93"/>
      <c r="C2442" s="97"/>
      <c r="D2442" s="93"/>
      <c r="E2442" s="98"/>
      <c r="F2442" s="100">
        <v>2438</v>
      </c>
      <c r="G2442" s="101">
        <f t="shared" si="153"/>
        <v>0</v>
      </c>
      <c r="H2442" s="101">
        <f t="shared" si="154"/>
        <v>0</v>
      </c>
      <c r="I2442" s="101">
        <f t="shared" si="155"/>
        <v>0</v>
      </c>
      <c r="J2442" s="101">
        <f t="shared" si="156"/>
        <v>0</v>
      </c>
    </row>
    <row r="2443" spans="2:10" x14ac:dyDescent="0.2">
      <c r="B2443" s="93"/>
      <c r="C2443" s="97"/>
      <c r="D2443" s="93"/>
      <c r="E2443" s="98"/>
      <c r="F2443" s="100">
        <v>2439</v>
      </c>
      <c r="G2443" s="101">
        <f t="shared" si="153"/>
        <v>0</v>
      </c>
      <c r="H2443" s="101">
        <f t="shared" si="154"/>
        <v>0</v>
      </c>
      <c r="I2443" s="101">
        <f t="shared" si="155"/>
        <v>0</v>
      </c>
      <c r="J2443" s="101">
        <f t="shared" si="156"/>
        <v>0</v>
      </c>
    </row>
    <row r="2444" spans="2:10" x14ac:dyDescent="0.2">
      <c r="B2444" s="93"/>
      <c r="C2444" s="97"/>
      <c r="D2444" s="93"/>
      <c r="E2444" s="98"/>
      <c r="F2444" s="100">
        <v>2440</v>
      </c>
      <c r="G2444" s="101">
        <f t="shared" si="153"/>
        <v>0</v>
      </c>
      <c r="H2444" s="101">
        <f t="shared" si="154"/>
        <v>0</v>
      </c>
      <c r="I2444" s="101">
        <f t="shared" si="155"/>
        <v>0</v>
      </c>
      <c r="J2444" s="101">
        <f t="shared" si="156"/>
        <v>0</v>
      </c>
    </row>
    <row r="2445" spans="2:10" x14ac:dyDescent="0.2">
      <c r="B2445" s="93"/>
      <c r="C2445" s="97"/>
      <c r="D2445" s="93"/>
      <c r="E2445" s="98"/>
      <c r="F2445" s="100">
        <v>2441</v>
      </c>
      <c r="G2445" s="101">
        <f t="shared" si="153"/>
        <v>0</v>
      </c>
      <c r="H2445" s="101">
        <f t="shared" si="154"/>
        <v>0</v>
      </c>
      <c r="I2445" s="101">
        <f t="shared" si="155"/>
        <v>0</v>
      </c>
      <c r="J2445" s="101">
        <f t="shared" si="156"/>
        <v>0</v>
      </c>
    </row>
    <row r="2446" spans="2:10" x14ac:dyDescent="0.2">
      <c r="B2446" s="93"/>
      <c r="C2446" s="97"/>
      <c r="D2446" s="93"/>
      <c r="E2446" s="98"/>
      <c r="F2446" s="100">
        <v>2442</v>
      </c>
      <c r="G2446" s="101">
        <f t="shared" si="153"/>
        <v>0</v>
      </c>
      <c r="H2446" s="101">
        <f t="shared" si="154"/>
        <v>0</v>
      </c>
      <c r="I2446" s="101">
        <f t="shared" si="155"/>
        <v>0</v>
      </c>
      <c r="J2446" s="101">
        <f t="shared" si="156"/>
        <v>0</v>
      </c>
    </row>
    <row r="2447" spans="2:10" x14ac:dyDescent="0.2">
      <c r="B2447" s="93"/>
      <c r="C2447" s="97"/>
      <c r="D2447" s="93"/>
      <c r="E2447" s="98"/>
      <c r="F2447" s="100">
        <v>2443</v>
      </c>
      <c r="G2447" s="101">
        <f t="shared" si="153"/>
        <v>0</v>
      </c>
      <c r="H2447" s="101">
        <f t="shared" si="154"/>
        <v>0</v>
      </c>
      <c r="I2447" s="101">
        <f t="shared" si="155"/>
        <v>0</v>
      </c>
      <c r="J2447" s="101">
        <f t="shared" si="156"/>
        <v>0</v>
      </c>
    </row>
    <row r="2448" spans="2:10" x14ac:dyDescent="0.2">
      <c r="B2448" s="93"/>
      <c r="C2448" s="97"/>
      <c r="D2448" s="93"/>
      <c r="E2448" s="98"/>
      <c r="F2448" s="100">
        <v>2444</v>
      </c>
      <c r="G2448" s="101">
        <f t="shared" si="153"/>
        <v>0</v>
      </c>
      <c r="H2448" s="101">
        <f t="shared" si="154"/>
        <v>0</v>
      </c>
      <c r="I2448" s="101">
        <f t="shared" si="155"/>
        <v>0</v>
      </c>
      <c r="J2448" s="101">
        <f t="shared" si="156"/>
        <v>0</v>
      </c>
    </row>
    <row r="2449" spans="2:10" x14ac:dyDescent="0.2">
      <c r="B2449" s="93"/>
      <c r="C2449" s="97"/>
      <c r="D2449" s="93"/>
      <c r="E2449" s="98"/>
      <c r="F2449" s="100">
        <v>2445</v>
      </c>
      <c r="G2449" s="101">
        <f t="shared" si="153"/>
        <v>0</v>
      </c>
      <c r="H2449" s="101">
        <f t="shared" si="154"/>
        <v>0</v>
      </c>
      <c r="I2449" s="101">
        <f t="shared" si="155"/>
        <v>0</v>
      </c>
      <c r="J2449" s="101">
        <f t="shared" si="156"/>
        <v>0</v>
      </c>
    </row>
    <row r="2450" spans="2:10" x14ac:dyDescent="0.2">
      <c r="B2450" s="93"/>
      <c r="C2450" s="97"/>
      <c r="D2450" s="93"/>
      <c r="E2450" s="98"/>
      <c r="F2450" s="100">
        <v>2446</v>
      </c>
      <c r="G2450" s="101">
        <f t="shared" si="153"/>
        <v>0</v>
      </c>
      <c r="H2450" s="101">
        <f t="shared" si="154"/>
        <v>0</v>
      </c>
      <c r="I2450" s="101">
        <f t="shared" si="155"/>
        <v>0</v>
      </c>
      <c r="J2450" s="101">
        <f t="shared" si="156"/>
        <v>0</v>
      </c>
    </row>
    <row r="2451" spans="2:10" x14ac:dyDescent="0.2">
      <c r="B2451" s="93"/>
      <c r="C2451" s="97"/>
      <c r="D2451" s="93"/>
      <c r="E2451" s="98"/>
      <c r="F2451" s="100">
        <v>2447</v>
      </c>
      <c r="G2451" s="101">
        <f t="shared" si="153"/>
        <v>0</v>
      </c>
      <c r="H2451" s="101">
        <f t="shared" si="154"/>
        <v>0</v>
      </c>
      <c r="I2451" s="101">
        <f t="shared" si="155"/>
        <v>0</v>
      </c>
      <c r="J2451" s="101">
        <f t="shared" si="156"/>
        <v>0</v>
      </c>
    </row>
    <row r="2452" spans="2:10" x14ac:dyDescent="0.2">
      <c r="B2452" s="93"/>
      <c r="C2452" s="97"/>
      <c r="D2452" s="93"/>
      <c r="E2452" s="98"/>
      <c r="F2452" s="100">
        <v>2448</v>
      </c>
      <c r="G2452" s="101">
        <f t="shared" si="153"/>
        <v>0</v>
      </c>
      <c r="H2452" s="101">
        <f t="shared" si="154"/>
        <v>0</v>
      </c>
      <c r="I2452" s="101">
        <f t="shared" si="155"/>
        <v>0</v>
      </c>
      <c r="J2452" s="101">
        <f t="shared" si="156"/>
        <v>0</v>
      </c>
    </row>
    <row r="2453" spans="2:10" x14ac:dyDescent="0.2">
      <c r="B2453" s="93"/>
      <c r="C2453" s="97"/>
      <c r="D2453" s="93"/>
      <c r="E2453" s="98"/>
      <c r="F2453" s="100">
        <v>2449</v>
      </c>
      <c r="G2453" s="101">
        <f t="shared" si="153"/>
        <v>0</v>
      </c>
      <c r="H2453" s="101">
        <f t="shared" si="154"/>
        <v>0</v>
      </c>
      <c r="I2453" s="101">
        <f t="shared" si="155"/>
        <v>0</v>
      </c>
      <c r="J2453" s="101">
        <f t="shared" si="156"/>
        <v>0</v>
      </c>
    </row>
    <row r="2454" spans="2:10" x14ac:dyDescent="0.2">
      <c r="B2454" s="93"/>
      <c r="C2454" s="97"/>
      <c r="D2454" s="93"/>
      <c r="E2454" s="98"/>
      <c r="F2454" s="100">
        <v>2450</v>
      </c>
      <c r="G2454" s="101">
        <f t="shared" si="153"/>
        <v>0</v>
      </c>
      <c r="H2454" s="101">
        <f t="shared" si="154"/>
        <v>0</v>
      </c>
      <c r="I2454" s="101">
        <f t="shared" si="155"/>
        <v>0</v>
      </c>
      <c r="J2454" s="101">
        <f t="shared" si="156"/>
        <v>0</v>
      </c>
    </row>
    <row r="2455" spans="2:10" x14ac:dyDescent="0.2">
      <c r="B2455" s="93"/>
      <c r="C2455" s="97"/>
      <c r="D2455" s="93"/>
      <c r="E2455" s="98"/>
      <c r="F2455" s="100">
        <v>2451</v>
      </c>
      <c r="G2455" s="101">
        <f t="shared" si="153"/>
        <v>0</v>
      </c>
      <c r="H2455" s="101">
        <f t="shared" si="154"/>
        <v>0</v>
      </c>
      <c r="I2455" s="101">
        <f t="shared" si="155"/>
        <v>0</v>
      </c>
      <c r="J2455" s="101">
        <f t="shared" si="156"/>
        <v>0</v>
      </c>
    </row>
    <row r="2456" spans="2:10" x14ac:dyDescent="0.2">
      <c r="B2456" s="93"/>
      <c r="C2456" s="97"/>
      <c r="D2456" s="93"/>
      <c r="E2456" s="98"/>
      <c r="F2456" s="100">
        <v>2452</v>
      </c>
      <c r="G2456" s="101">
        <f t="shared" si="153"/>
        <v>0</v>
      </c>
      <c r="H2456" s="101">
        <f t="shared" si="154"/>
        <v>0</v>
      </c>
      <c r="I2456" s="101">
        <f t="shared" si="155"/>
        <v>0</v>
      </c>
      <c r="J2456" s="101">
        <f t="shared" si="156"/>
        <v>0</v>
      </c>
    </row>
    <row r="2457" spans="2:10" x14ac:dyDescent="0.2">
      <c r="B2457" s="93"/>
      <c r="C2457" s="97"/>
      <c r="D2457" s="93"/>
      <c r="E2457" s="98"/>
      <c r="F2457" s="100">
        <v>2453</v>
      </c>
      <c r="G2457" s="101">
        <f t="shared" si="153"/>
        <v>0</v>
      </c>
      <c r="H2457" s="101">
        <f t="shared" si="154"/>
        <v>0</v>
      </c>
      <c r="I2457" s="101">
        <f t="shared" si="155"/>
        <v>0</v>
      </c>
      <c r="J2457" s="101">
        <f t="shared" si="156"/>
        <v>0</v>
      </c>
    </row>
    <row r="2458" spans="2:10" x14ac:dyDescent="0.2">
      <c r="B2458" s="93"/>
      <c r="C2458" s="97"/>
      <c r="D2458" s="93"/>
      <c r="E2458" s="98"/>
      <c r="F2458" s="100">
        <v>2454</v>
      </c>
      <c r="G2458" s="101">
        <f t="shared" si="153"/>
        <v>0</v>
      </c>
      <c r="H2458" s="101">
        <f t="shared" si="154"/>
        <v>0</v>
      </c>
      <c r="I2458" s="101">
        <f t="shared" si="155"/>
        <v>0</v>
      </c>
      <c r="J2458" s="101">
        <f t="shared" si="156"/>
        <v>0</v>
      </c>
    </row>
    <row r="2459" spans="2:10" x14ac:dyDescent="0.2">
      <c r="B2459" s="93"/>
      <c r="C2459" s="97"/>
      <c r="D2459" s="93"/>
      <c r="E2459" s="98"/>
      <c r="F2459" s="100">
        <v>2455</v>
      </c>
      <c r="G2459" s="101">
        <f t="shared" si="153"/>
        <v>0</v>
      </c>
      <c r="H2459" s="101">
        <f t="shared" si="154"/>
        <v>0</v>
      </c>
      <c r="I2459" s="101">
        <f t="shared" si="155"/>
        <v>0</v>
      </c>
      <c r="J2459" s="101">
        <f t="shared" si="156"/>
        <v>0</v>
      </c>
    </row>
    <row r="2460" spans="2:10" x14ac:dyDescent="0.2">
      <c r="B2460" s="93"/>
      <c r="C2460" s="97"/>
      <c r="D2460" s="93"/>
      <c r="E2460" s="98"/>
      <c r="F2460" s="100">
        <v>2456</v>
      </c>
      <c r="G2460" s="101">
        <f t="shared" si="153"/>
        <v>0</v>
      </c>
      <c r="H2460" s="101">
        <f t="shared" si="154"/>
        <v>0</v>
      </c>
      <c r="I2460" s="101">
        <f t="shared" si="155"/>
        <v>0</v>
      </c>
      <c r="J2460" s="101">
        <f t="shared" si="156"/>
        <v>0</v>
      </c>
    </row>
    <row r="2461" spans="2:10" x14ac:dyDescent="0.2">
      <c r="B2461" s="93"/>
      <c r="C2461" s="97"/>
      <c r="D2461" s="93"/>
      <c r="E2461" s="98"/>
      <c r="F2461" s="100">
        <v>2457</v>
      </c>
      <c r="G2461" s="101">
        <f t="shared" si="153"/>
        <v>0</v>
      </c>
      <c r="H2461" s="101">
        <f t="shared" si="154"/>
        <v>0</v>
      </c>
      <c r="I2461" s="101">
        <f t="shared" si="155"/>
        <v>0</v>
      </c>
      <c r="J2461" s="101">
        <f t="shared" si="156"/>
        <v>0</v>
      </c>
    </row>
    <row r="2462" spans="2:10" x14ac:dyDescent="0.2">
      <c r="B2462" s="93"/>
      <c r="C2462" s="97"/>
      <c r="D2462" s="93"/>
      <c r="E2462" s="98"/>
      <c r="F2462" s="100">
        <v>2458</v>
      </c>
      <c r="G2462" s="101">
        <f t="shared" si="153"/>
        <v>0</v>
      </c>
      <c r="H2462" s="101">
        <f t="shared" si="154"/>
        <v>0</v>
      </c>
      <c r="I2462" s="101">
        <f t="shared" si="155"/>
        <v>0</v>
      </c>
      <c r="J2462" s="101">
        <f t="shared" si="156"/>
        <v>0</v>
      </c>
    </row>
    <row r="2463" spans="2:10" x14ac:dyDescent="0.2">
      <c r="B2463" s="93"/>
      <c r="C2463" s="97"/>
      <c r="D2463" s="93"/>
      <c r="E2463" s="98"/>
      <c r="F2463" s="100">
        <v>2459</v>
      </c>
      <c r="G2463" s="101">
        <f t="shared" si="153"/>
        <v>0</v>
      </c>
      <c r="H2463" s="101">
        <f t="shared" si="154"/>
        <v>0</v>
      </c>
      <c r="I2463" s="101">
        <f t="shared" si="155"/>
        <v>0</v>
      </c>
      <c r="J2463" s="101">
        <f t="shared" si="156"/>
        <v>0</v>
      </c>
    </row>
    <row r="2464" spans="2:10" x14ac:dyDescent="0.2">
      <c r="B2464" s="93"/>
      <c r="C2464" s="97"/>
      <c r="D2464" s="93"/>
      <c r="E2464" s="98"/>
      <c r="F2464" s="100">
        <v>2460</v>
      </c>
      <c r="G2464" s="101">
        <f t="shared" si="153"/>
        <v>0</v>
      </c>
      <c r="H2464" s="101">
        <f t="shared" si="154"/>
        <v>0</v>
      </c>
      <c r="I2464" s="101">
        <f t="shared" si="155"/>
        <v>0</v>
      </c>
      <c r="J2464" s="101">
        <f t="shared" si="156"/>
        <v>0</v>
      </c>
    </row>
    <row r="2465" spans="2:10" x14ac:dyDescent="0.2">
      <c r="B2465" s="93"/>
      <c r="C2465" s="97"/>
      <c r="D2465" s="93"/>
      <c r="E2465" s="98"/>
      <c r="F2465" s="100">
        <v>2461</v>
      </c>
      <c r="G2465" s="101">
        <f t="shared" si="153"/>
        <v>0</v>
      </c>
      <c r="H2465" s="101">
        <f t="shared" si="154"/>
        <v>0</v>
      </c>
      <c r="I2465" s="101">
        <f t="shared" si="155"/>
        <v>0</v>
      </c>
      <c r="J2465" s="101">
        <f t="shared" si="156"/>
        <v>0</v>
      </c>
    </row>
    <row r="2466" spans="2:10" x14ac:dyDescent="0.2">
      <c r="B2466" s="93"/>
      <c r="C2466" s="97"/>
      <c r="D2466" s="93"/>
      <c r="E2466" s="98"/>
      <c r="F2466" s="100">
        <v>2462</v>
      </c>
      <c r="G2466" s="101">
        <f t="shared" si="153"/>
        <v>0</v>
      </c>
      <c r="H2466" s="101">
        <f t="shared" si="154"/>
        <v>0</v>
      </c>
      <c r="I2466" s="101">
        <f t="shared" si="155"/>
        <v>0</v>
      </c>
      <c r="J2466" s="101">
        <f t="shared" si="156"/>
        <v>0</v>
      </c>
    </row>
    <row r="2467" spans="2:10" x14ac:dyDescent="0.2">
      <c r="B2467" s="93"/>
      <c r="C2467" s="97"/>
      <c r="D2467" s="93"/>
      <c r="E2467" s="98"/>
      <c r="F2467" s="100">
        <v>2463</v>
      </c>
      <c r="G2467" s="101">
        <f t="shared" si="153"/>
        <v>0</v>
      </c>
      <c r="H2467" s="101">
        <f t="shared" si="154"/>
        <v>0</v>
      </c>
      <c r="I2467" s="101">
        <f t="shared" si="155"/>
        <v>0</v>
      </c>
      <c r="J2467" s="101">
        <f t="shared" si="156"/>
        <v>0</v>
      </c>
    </row>
    <row r="2468" spans="2:10" x14ac:dyDescent="0.2">
      <c r="B2468" s="93"/>
      <c r="C2468" s="97"/>
      <c r="D2468" s="93"/>
      <c r="E2468" s="98"/>
      <c r="F2468" s="100">
        <v>2464</v>
      </c>
      <c r="G2468" s="101">
        <f t="shared" si="153"/>
        <v>0</v>
      </c>
      <c r="H2468" s="101">
        <f t="shared" si="154"/>
        <v>0</v>
      </c>
      <c r="I2468" s="101">
        <f t="shared" si="155"/>
        <v>0</v>
      </c>
      <c r="J2468" s="101">
        <f t="shared" si="156"/>
        <v>0</v>
      </c>
    </row>
    <row r="2469" spans="2:10" x14ac:dyDescent="0.2">
      <c r="B2469" s="93"/>
      <c r="C2469" s="97"/>
      <c r="D2469" s="93"/>
      <c r="E2469" s="98"/>
      <c r="F2469" s="100">
        <v>2465</v>
      </c>
      <c r="G2469" s="101">
        <f t="shared" si="153"/>
        <v>0</v>
      </c>
      <c r="H2469" s="101">
        <f t="shared" si="154"/>
        <v>0</v>
      </c>
      <c r="I2469" s="101">
        <f t="shared" si="155"/>
        <v>0</v>
      </c>
      <c r="J2469" s="101">
        <f t="shared" si="156"/>
        <v>0</v>
      </c>
    </row>
    <row r="2470" spans="2:10" x14ac:dyDescent="0.2">
      <c r="B2470" s="93"/>
      <c r="C2470" s="97"/>
      <c r="D2470" s="93"/>
      <c r="E2470" s="98"/>
      <c r="F2470" s="100">
        <v>2466</v>
      </c>
      <c r="G2470" s="101">
        <f t="shared" si="153"/>
        <v>0</v>
      </c>
      <c r="H2470" s="101">
        <f t="shared" si="154"/>
        <v>0</v>
      </c>
      <c r="I2470" s="101">
        <f t="shared" si="155"/>
        <v>0</v>
      </c>
      <c r="J2470" s="101">
        <f t="shared" si="156"/>
        <v>0</v>
      </c>
    </row>
    <row r="2471" spans="2:10" x14ac:dyDescent="0.2">
      <c r="B2471" s="93"/>
      <c r="C2471" s="97"/>
      <c r="D2471" s="93"/>
      <c r="E2471" s="98"/>
      <c r="F2471" s="100">
        <v>2467</v>
      </c>
      <c r="G2471" s="101">
        <f t="shared" si="153"/>
        <v>0</v>
      </c>
      <c r="H2471" s="101">
        <f t="shared" si="154"/>
        <v>0</v>
      </c>
      <c r="I2471" s="101">
        <f t="shared" si="155"/>
        <v>0</v>
      </c>
      <c r="J2471" s="101">
        <f t="shared" si="156"/>
        <v>0</v>
      </c>
    </row>
    <row r="2472" spans="2:10" x14ac:dyDescent="0.2">
      <c r="B2472" s="93"/>
      <c r="C2472" s="97"/>
      <c r="D2472" s="93"/>
      <c r="E2472" s="98"/>
      <c r="F2472" s="100">
        <v>2468</v>
      </c>
      <c r="G2472" s="101">
        <f t="shared" si="153"/>
        <v>0</v>
      </c>
      <c r="H2472" s="101">
        <f t="shared" si="154"/>
        <v>0</v>
      </c>
      <c r="I2472" s="101">
        <f t="shared" si="155"/>
        <v>0</v>
      </c>
      <c r="J2472" s="101">
        <f t="shared" si="156"/>
        <v>0</v>
      </c>
    </row>
  </sheetData>
  <autoFilter ref="B3:F2472"/>
  <mergeCells count="2">
    <mergeCell ref="A4:A35"/>
    <mergeCell ref="B1:C2"/>
  </mergeCells>
  <conditionalFormatting sqref="D5:D6 D20:D2472">
    <cfRule type="cellIs" dxfId="69" priority="101" operator="equal">
      <formula>"LEMBRETE"</formula>
    </cfRule>
    <cfRule type="cellIs" dxfId="68" priority="102" operator="equal">
      <formula>"COMUNICADO"</formula>
    </cfRule>
    <cfRule type="cellIs" dxfId="67" priority="103" operator="equal">
      <formula>"AVISOS URGÊNTES"</formula>
    </cfRule>
    <cfRule type="cellIs" dxfId="66" priority="104" operator="equal">
      <formula>"CHEGADA DE FÉRIAS"</formula>
    </cfRule>
    <cfRule type="cellIs" dxfId="65" priority="105" operator="equal">
      <formula>"SAÍDA DE FÉRIAS"</formula>
    </cfRule>
  </conditionalFormatting>
  <conditionalFormatting sqref="D7">
    <cfRule type="cellIs" dxfId="64" priority="96" operator="equal">
      <formula>"LEMBRETE"</formula>
    </cfRule>
    <cfRule type="cellIs" dxfId="63" priority="97" operator="equal">
      <formula>"COMUNICADO"</formula>
    </cfRule>
    <cfRule type="cellIs" dxfId="62" priority="98" operator="equal">
      <formula>"AVISOS URGÊNTES"</formula>
    </cfRule>
    <cfRule type="cellIs" dxfId="61" priority="99" operator="equal">
      <formula>"CHEGADA DE FÉRIAS"</formula>
    </cfRule>
    <cfRule type="cellIs" dxfId="60" priority="100" operator="equal">
      <formula>"SAÍDA DE FÉRIAS"</formula>
    </cfRule>
  </conditionalFormatting>
  <conditionalFormatting sqref="D8">
    <cfRule type="cellIs" dxfId="59" priority="91" operator="equal">
      <formula>"LEMBRETE"</formula>
    </cfRule>
    <cfRule type="cellIs" dxfId="58" priority="92" operator="equal">
      <formula>"COMUNICADO"</formula>
    </cfRule>
    <cfRule type="cellIs" dxfId="57" priority="93" operator="equal">
      <formula>"AVISOS URGÊNTES"</formula>
    </cfRule>
    <cfRule type="cellIs" dxfId="56" priority="94" operator="equal">
      <formula>"CHEGADA DE FÉRIAS"</formula>
    </cfRule>
    <cfRule type="cellIs" dxfId="55" priority="95" operator="equal">
      <formula>"SAÍDA DE FÉRIAS"</formula>
    </cfRule>
  </conditionalFormatting>
  <conditionalFormatting sqref="D9">
    <cfRule type="cellIs" dxfId="54" priority="51" operator="equal">
      <formula>"LEMBRETE"</formula>
    </cfRule>
    <cfRule type="cellIs" dxfId="53" priority="52" operator="equal">
      <formula>"COMUNICADO"</formula>
    </cfRule>
    <cfRule type="cellIs" dxfId="52" priority="53" operator="equal">
      <formula>"AVISOS URGÊNTES"</formula>
    </cfRule>
    <cfRule type="cellIs" dxfId="51" priority="54" operator="equal">
      <formula>"CHEGADA DE FÉRIAS"</formula>
    </cfRule>
    <cfRule type="cellIs" dxfId="50" priority="55" operator="equal">
      <formula>"SAÍDA DE FÉRIAS"</formula>
    </cfRule>
  </conditionalFormatting>
  <conditionalFormatting sqref="D10">
    <cfRule type="cellIs" dxfId="49" priority="46" operator="equal">
      <formula>"LEMBRETE"</formula>
    </cfRule>
    <cfRule type="cellIs" dxfId="48" priority="47" operator="equal">
      <formula>"COMUNICADO"</formula>
    </cfRule>
    <cfRule type="cellIs" dxfId="47" priority="48" operator="equal">
      <formula>"AVISOS URGÊNTES"</formula>
    </cfRule>
    <cfRule type="cellIs" dxfId="46" priority="49" operator="equal">
      <formula>"CHEGADA DE FÉRIAS"</formula>
    </cfRule>
    <cfRule type="cellIs" dxfId="45" priority="50" operator="equal">
      <formula>"SAÍDA DE FÉRIAS"</formula>
    </cfRule>
  </conditionalFormatting>
  <conditionalFormatting sqref="D11">
    <cfRule type="cellIs" dxfId="44" priority="41" operator="equal">
      <formula>"LEMBRETE"</formula>
    </cfRule>
    <cfRule type="cellIs" dxfId="43" priority="42" operator="equal">
      <formula>"COMUNICADO"</formula>
    </cfRule>
    <cfRule type="cellIs" dxfId="42" priority="43" operator="equal">
      <formula>"AVISOS URGÊNTES"</formula>
    </cfRule>
    <cfRule type="cellIs" dxfId="41" priority="44" operator="equal">
      <formula>"CHEGADA DE FÉRIAS"</formula>
    </cfRule>
    <cfRule type="cellIs" dxfId="40" priority="45" operator="equal">
      <formula>"SAÍDA DE FÉRIAS"</formula>
    </cfRule>
  </conditionalFormatting>
  <conditionalFormatting sqref="D12">
    <cfRule type="cellIs" dxfId="39" priority="36" operator="equal">
      <formula>"LEMBRETE"</formula>
    </cfRule>
    <cfRule type="cellIs" dxfId="38" priority="37" operator="equal">
      <formula>"COMUNICADO"</formula>
    </cfRule>
    <cfRule type="cellIs" dxfId="37" priority="38" operator="equal">
      <formula>"AVISOS URGÊNTES"</formula>
    </cfRule>
    <cfRule type="cellIs" dxfId="36" priority="39" operator="equal">
      <formula>"CHEGADA DE FÉRIAS"</formula>
    </cfRule>
    <cfRule type="cellIs" dxfId="35" priority="40" operator="equal">
      <formula>"SAÍDA DE FÉRIAS"</formula>
    </cfRule>
  </conditionalFormatting>
  <conditionalFormatting sqref="D13">
    <cfRule type="cellIs" dxfId="34" priority="31" operator="equal">
      <formula>"LEMBRETE"</formula>
    </cfRule>
    <cfRule type="cellIs" dxfId="33" priority="32" operator="equal">
      <formula>"COMUNICADO"</formula>
    </cfRule>
    <cfRule type="cellIs" dxfId="32" priority="33" operator="equal">
      <formula>"AVISOS URGÊNTES"</formula>
    </cfRule>
    <cfRule type="cellIs" dxfId="31" priority="34" operator="equal">
      <formula>"CHEGADA DE FÉRIAS"</formula>
    </cfRule>
    <cfRule type="cellIs" dxfId="30" priority="35" operator="equal">
      <formula>"SAÍDA DE FÉRIAS"</formula>
    </cfRule>
  </conditionalFormatting>
  <conditionalFormatting sqref="D14">
    <cfRule type="cellIs" dxfId="29" priority="26" operator="equal">
      <formula>"LEMBRETE"</formula>
    </cfRule>
    <cfRule type="cellIs" dxfId="28" priority="27" operator="equal">
      <formula>"COMUNICADO"</formula>
    </cfRule>
    <cfRule type="cellIs" dxfId="27" priority="28" operator="equal">
      <formula>"AVISOS URGÊNTES"</formula>
    </cfRule>
    <cfRule type="cellIs" dxfId="26" priority="29" operator="equal">
      <formula>"CHEGADA DE FÉRIAS"</formula>
    </cfRule>
    <cfRule type="cellIs" dxfId="25" priority="30" operator="equal">
      <formula>"SAÍDA DE FÉRIAS"</formula>
    </cfRule>
  </conditionalFormatting>
  <conditionalFormatting sqref="D15">
    <cfRule type="cellIs" dxfId="24" priority="21" operator="equal">
      <formula>"LEMBRETE"</formula>
    </cfRule>
    <cfRule type="cellIs" dxfId="23" priority="22" operator="equal">
      <formula>"COMUNICADO"</formula>
    </cfRule>
    <cfRule type="cellIs" dxfId="22" priority="23" operator="equal">
      <formula>"AVISOS URGÊNTES"</formula>
    </cfRule>
    <cfRule type="cellIs" dxfId="21" priority="24" operator="equal">
      <formula>"CHEGADA DE FÉRIAS"</formula>
    </cfRule>
    <cfRule type="cellIs" dxfId="20" priority="25" operator="equal">
      <formula>"SAÍDA DE FÉRIAS"</formula>
    </cfRule>
  </conditionalFormatting>
  <conditionalFormatting sqref="D16">
    <cfRule type="cellIs" dxfId="19" priority="16" operator="equal">
      <formula>"LEMBRETE"</formula>
    </cfRule>
    <cfRule type="cellIs" dxfId="18" priority="17" operator="equal">
      <formula>"COMUNICADO"</formula>
    </cfRule>
    <cfRule type="cellIs" dxfId="17" priority="18" operator="equal">
      <formula>"AVISOS URGÊNTES"</formula>
    </cfRule>
    <cfRule type="cellIs" dxfId="16" priority="19" operator="equal">
      <formula>"CHEGADA DE FÉRIAS"</formula>
    </cfRule>
    <cfRule type="cellIs" dxfId="15" priority="20" operator="equal">
      <formula>"SAÍDA DE FÉRIAS"</formula>
    </cfRule>
  </conditionalFormatting>
  <conditionalFormatting sqref="D17">
    <cfRule type="cellIs" dxfId="14" priority="11" operator="equal">
      <formula>"LEMBRETE"</formula>
    </cfRule>
    <cfRule type="cellIs" dxfId="13" priority="12" operator="equal">
      <formula>"COMUNICADO"</formula>
    </cfRule>
    <cfRule type="cellIs" dxfId="12" priority="13" operator="equal">
      <formula>"AVISOS URGÊNTES"</formula>
    </cfRule>
    <cfRule type="cellIs" dxfId="11" priority="14" operator="equal">
      <formula>"CHEGADA DE FÉRIAS"</formula>
    </cfRule>
    <cfRule type="cellIs" dxfId="10" priority="15" operator="equal">
      <formula>"SAÍDA DE FÉRIAS"</formula>
    </cfRule>
  </conditionalFormatting>
  <conditionalFormatting sqref="D18">
    <cfRule type="cellIs" dxfId="9" priority="6" operator="equal">
      <formula>"LEMBRETE"</formula>
    </cfRule>
    <cfRule type="cellIs" dxfId="8" priority="7" operator="equal">
      <formula>"COMUNICADO"</formula>
    </cfRule>
    <cfRule type="cellIs" dxfId="7" priority="8" operator="equal">
      <formula>"AVISOS URGÊNTES"</formula>
    </cfRule>
    <cfRule type="cellIs" dxfId="6" priority="9" operator="equal">
      <formula>"CHEGADA DE FÉRIAS"</formula>
    </cfRule>
    <cfRule type="cellIs" dxfId="5" priority="10" operator="equal">
      <formula>"SAÍDA DE FÉRIAS"</formula>
    </cfRule>
  </conditionalFormatting>
  <conditionalFormatting sqref="D19">
    <cfRule type="cellIs" dxfId="4" priority="1" operator="equal">
      <formula>"LEMBRETE"</formula>
    </cfRule>
    <cfRule type="cellIs" dxfId="3" priority="2" operator="equal">
      <formula>"COMUNICADO"</formula>
    </cfRule>
    <cfRule type="cellIs" dxfId="2" priority="3" operator="equal">
      <formula>"AVISOS URGÊNTES"</formula>
    </cfRule>
    <cfRule type="cellIs" dxfId="1" priority="4" operator="equal">
      <formula>"CHEGADA DE FÉRIAS"</formula>
    </cfRule>
    <cfRule type="cellIs" dxfId="0" priority="5" operator="equal">
      <formula>"SAÍDA DE FÉRIAS"</formula>
    </cfRule>
  </conditionalFormatting>
  <dataValidations count="1">
    <dataValidation type="list" allowBlank="1" showInputMessage="1" showErrorMessage="1" sqref="D5:D2472">
      <formula1>"SAÍDA DE FÉRIAS,CHEGADA DE FÉRIAS,AVISOS URGÊNTES,COMUNICADO,LEMBRETE"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U115"/>
  <sheetViews>
    <sheetView showGridLines="0" showRowColHeaders="0" zoomScale="150" zoomScaleNormal="150" workbookViewId="0">
      <selection activeCell="E80" sqref="E80"/>
    </sheetView>
  </sheetViews>
  <sheetFormatPr defaultColWidth="0" defaultRowHeight="12.75" zeroHeight="1" x14ac:dyDescent="0.2"/>
  <cols>
    <col min="1" max="1" width="4.140625" style="1" customWidth="1"/>
    <col min="2" max="7" width="3.7109375" style="1" customWidth="1"/>
    <col min="8" max="8" width="3.42578125" style="1" customWidth="1"/>
    <col min="9" max="9" width="3.7109375" style="1" hidden="1" customWidth="1"/>
    <col min="10" max="10" width="4.85546875" style="1" hidden="1" customWidth="1"/>
    <col min="11" max="11" width="9" style="1" hidden="1" customWidth="1"/>
    <col min="12" max="12" width="16.28515625" style="1" hidden="1" customWidth="1"/>
    <col min="13" max="13" width="12.7109375" style="1" hidden="1" customWidth="1"/>
    <col min="14" max="14" width="19.5703125" style="1" hidden="1" customWidth="1"/>
    <col min="15" max="15" width="12.7109375" style="1" hidden="1" customWidth="1"/>
    <col min="16" max="16" width="16" style="1" hidden="1" customWidth="1"/>
    <col min="17" max="17" width="12.7109375" style="1" hidden="1" customWidth="1"/>
    <col min="18" max="237" width="3.7109375" style="1" hidden="1"/>
    <col min="238" max="238" width="23" style="1" hidden="1"/>
    <col min="239" max="239" width="1.28515625" style="1" hidden="1" customWidth="1"/>
    <col min="240" max="253" width="3.7109375" style="1" hidden="1" customWidth="1"/>
    <col min="254" max="254" width="23" style="1" hidden="1" customWidth="1"/>
    <col min="255" max="255" width="1.28515625" style="1" hidden="1" customWidth="1"/>
    <col min="256" max="16384" width="16.5703125" style="1" hidden="1"/>
  </cols>
  <sheetData>
    <row r="1" spans="1:17" ht="13.5" thickBot="1" x14ac:dyDescent="0.25">
      <c r="A1" s="5" t="s">
        <v>121</v>
      </c>
      <c r="B1" s="5"/>
      <c r="C1" s="5"/>
      <c r="D1" s="5"/>
      <c r="E1" s="5"/>
      <c r="F1" s="5"/>
      <c r="G1" s="5"/>
    </row>
    <row r="2" spans="1:17" ht="20.25" thickBot="1" x14ac:dyDescent="0.3">
      <c r="A2" s="6" t="s">
        <v>59</v>
      </c>
      <c r="B2" s="5"/>
      <c r="C2" s="141">
        <v>2019</v>
      </c>
      <c r="D2" s="142"/>
      <c r="E2" s="143"/>
      <c r="F2" s="5"/>
      <c r="G2" s="5"/>
      <c r="J2" s="9" t="s">
        <v>59</v>
      </c>
      <c r="K2" s="7">
        <f>Ano</f>
        <v>2019</v>
      </c>
      <c r="L2" s="9" t="s">
        <v>56</v>
      </c>
      <c r="M2" s="8" t="b">
        <v>0</v>
      </c>
      <c r="N2" s="9" t="s">
        <v>57</v>
      </c>
      <c r="O2" s="8" t="b">
        <v>0</v>
      </c>
      <c r="P2" s="9" t="s">
        <v>58</v>
      </c>
      <c r="Q2" s="8" t="b">
        <v>0</v>
      </c>
    </row>
    <row r="3" spans="1:17" x14ac:dyDescent="0.2">
      <c r="A3" s="5"/>
      <c r="B3" s="5"/>
      <c r="C3" s="5"/>
      <c r="D3" s="5"/>
      <c r="E3" s="5"/>
      <c r="F3" s="5"/>
      <c r="G3" s="5"/>
    </row>
    <row r="4" spans="1:17" hidden="1" x14ac:dyDescent="0.2"/>
    <row r="5" spans="1:17" hidden="1" x14ac:dyDescent="0.2"/>
    <row r="6" spans="1:17" hidden="1" x14ac:dyDescent="0.2"/>
    <row r="7" spans="1:17" hidden="1" x14ac:dyDescent="0.2"/>
    <row r="8" spans="1:17" hidden="1" x14ac:dyDescent="0.2"/>
    <row r="9" spans="1:17" hidden="1" x14ac:dyDescent="0.2"/>
    <row r="10" spans="1:17" hidden="1" x14ac:dyDescent="0.2"/>
    <row r="11" spans="1:17" hidden="1" x14ac:dyDescent="0.2"/>
    <row r="12" spans="1:17" hidden="1" x14ac:dyDescent="0.2"/>
    <row r="13" spans="1:17" hidden="1" x14ac:dyDescent="0.2"/>
    <row r="14" spans="1:17" hidden="1" x14ac:dyDescent="0.2"/>
    <row r="15" spans="1:17" hidden="1" x14ac:dyDescent="0.2"/>
    <row r="16" spans="1:17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</sheetData>
  <mergeCells count="1">
    <mergeCell ref="C2:E2"/>
  </mergeCells>
  <phoneticPr fontId="0" type="noConversion"/>
  <dataValidations count="1">
    <dataValidation type="whole" allowBlank="1" showErrorMessage="1" sqref="C2:E2">
      <formula1>1900</formula1>
      <formula2>2099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Spinner 5">
              <controlPr defaultSize="0" print="0" autoPict="0">
                <anchor moveWithCells="1" sizeWithCells="1">
                  <from>
                    <xdr:col>5</xdr:col>
                    <xdr:colOff>19050</xdr:colOff>
                    <xdr:row>0</xdr:row>
                    <xdr:rowOff>161925</xdr:rowOff>
                  </from>
                  <to>
                    <xdr:col>6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21"/>
  <sheetViews>
    <sheetView workbookViewId="0">
      <selection activeCell="A17" sqref="A17:A24"/>
    </sheetView>
  </sheetViews>
  <sheetFormatPr defaultRowHeight="12.75" x14ac:dyDescent="0.2"/>
  <cols>
    <col min="1" max="1" width="49.28515625" customWidth="1"/>
    <col min="2" max="2" width="10.140625" bestFit="1" customWidth="1"/>
    <col min="3" max="3" width="19.28515625" customWidth="1"/>
    <col min="4" max="4" width="61.5703125" customWidth="1"/>
    <col min="5" max="5" width="18.28515625" bestFit="1" customWidth="1"/>
    <col min="6" max="7" width="10.140625" bestFit="1" customWidth="1"/>
  </cols>
  <sheetData>
    <row r="1" spans="1:7" x14ac:dyDescent="0.2">
      <c r="A1" s="103">
        <f>VLOOKUP($E1,Eventos!$F$5:$J$5000,3,FALSE)</f>
        <v>0</v>
      </c>
      <c r="B1" s="103">
        <f>IFERROR(VLOOKUP($E1,Eventos!$F$5:$J$5000,2,FALSE),"")</f>
        <v>0</v>
      </c>
      <c r="C1" s="103">
        <f>IFERROR(VLOOKUP($E1,Eventos!$F$5:$J$5000,4,FALSE),"")</f>
        <v>0</v>
      </c>
      <c r="D1" s="103">
        <f>IFERROR(VLOOKUP($E1,Eventos!$F$5:$J$5000,5,FALSE),"")</f>
        <v>0</v>
      </c>
      <c r="E1" s="105">
        <f t="array" ref="E1">MAX(IF(Eventos!$B$5:$B$5000=$F$1,Eventos!$F$5:$F$5000,""))</f>
        <v>2468</v>
      </c>
      <c r="F1" s="103">
        <f>Calendário!Q4</f>
        <v>0</v>
      </c>
      <c r="G1" s="120"/>
    </row>
    <row r="2" spans="1:7" x14ac:dyDescent="0.2">
      <c r="A2" s="103">
        <f>IFERROR(VLOOKUP($E2,Eventos!$F$5:$J$5000,3,FALSE),"")</f>
        <v>0</v>
      </c>
      <c r="B2" s="103">
        <f>IFERROR(VLOOKUP($E2,Eventos!$F$5:$J$5000,2,FALSE),"")</f>
        <v>0</v>
      </c>
      <c r="C2" s="103">
        <f>IFERROR(VLOOKUP($E2,Eventos!$F$5:$J$5000,4,FALSE),"")</f>
        <v>0</v>
      </c>
      <c r="D2" s="103">
        <f>IFERROR(VLOOKUP($E2,Eventos!$F$5:$J$5000,5,FALSE),"")</f>
        <v>0</v>
      </c>
      <c r="E2" s="105">
        <f t="array" ref="E2">MAX(IF(Eventos!$B$5:$B$5000=$F$1,IF(Eventos!$F$5:$F$5000&lt;&gt;E1,Eventos!$F$5:$F$5000,""),""))</f>
        <v>2467</v>
      </c>
      <c r="F2" s="104"/>
    </row>
    <row r="3" spans="1:7" x14ac:dyDescent="0.2">
      <c r="A3" s="103">
        <f>IFERROR(VLOOKUP($E3,Eventos!$F$5:$J$5000,3,FALSE),"")</f>
        <v>0</v>
      </c>
      <c r="B3" s="103">
        <f>IFERROR(VLOOKUP($E3,Eventos!$F$5:$J$5000,2,FALSE),"")</f>
        <v>0</v>
      </c>
      <c r="C3" s="103">
        <f>IFERROR(VLOOKUP($E3,Eventos!$F$5:$J$5000,4,FALSE),"")</f>
        <v>0</v>
      </c>
      <c r="D3" s="103">
        <f>IFERROR(VLOOKUP($E3,Eventos!$F$5:$J$5000,5,FALSE),"")</f>
        <v>0</v>
      </c>
      <c r="E3" s="105">
        <f t="array" ref="E3">MAX(IF(Eventos!$B$5:$B$5000=$F$1,IF(Eventos!$F$5:$F$5000&lt;&gt;E1,IF(Eventos!$F$5:$F$5000&lt;&gt;E2,Eventos!$F$5:$F$5000,""),"")))</f>
        <v>2466</v>
      </c>
      <c r="F3" s="104"/>
    </row>
    <row r="4" spans="1:7" x14ac:dyDescent="0.2">
      <c r="A4" s="103">
        <f>IFERROR(VLOOKUP($E4,Eventos!$F$5:$J$5000,3,FALSE),"")</f>
        <v>0</v>
      </c>
      <c r="B4" s="103">
        <f>IFERROR(VLOOKUP($E4,Eventos!$F$5:$J$5000,2,FALSE),"")</f>
        <v>0</v>
      </c>
      <c r="C4" s="103">
        <f>IFERROR(VLOOKUP($E4,Eventos!$F$5:$J$5000,4,FALSE),"")</f>
        <v>0</v>
      </c>
      <c r="D4" s="103">
        <f>IFERROR(VLOOKUP($E4,Eventos!$F$5:$J$5000,5,FALSE),"")</f>
        <v>0</v>
      </c>
      <c r="E4" s="105">
        <f t="array" ref="E4">MAX(IF(Eventos!$B$5:$B$5000=$F$1,IF(Eventos!$F$5:$F$5000&lt;&gt;$E$1,IF(Eventos!$F$5:$F$5000&lt;&gt;$E$2,IF(Eventos!$F$5:$F$5000&lt;&gt;$E$3,Eventos!$F$5:$F$5000,""),""))))</f>
        <v>2465</v>
      </c>
      <c r="F4" s="104"/>
    </row>
    <row r="5" spans="1:7" x14ac:dyDescent="0.2">
      <c r="A5" s="103">
        <f>IFERROR(VLOOKUP($E5,Eventos!$F$5:$J$5000,3,FALSE),"")</f>
        <v>0</v>
      </c>
      <c r="B5" s="103">
        <f>IFERROR(VLOOKUP($E5,Eventos!$F$5:$J$5000,2,FALSE),"")</f>
        <v>0</v>
      </c>
      <c r="C5" s="103">
        <f>IFERROR(VLOOKUP($E5,Eventos!$F$5:$J$5000,4,FALSE),"")</f>
        <v>0</v>
      </c>
      <c r="D5" s="103">
        <f>IFERROR(VLOOKUP($E5,Eventos!$F$5:$J$5000,5,FALSE),"")</f>
        <v>0</v>
      </c>
      <c r="E5" s="105">
        <f t="array" ref="E5">MAX(IF(Eventos!$B$5:$B$5000=$F$1,IF(Eventos!$F$5:$F$5000&lt;&gt;$E$1,IF(Eventos!$F$5:$F$5000&lt;&gt;$E$2,IF(Eventos!$F$5:$F$5000&lt;&gt;$E$3,IF(Eventos!$F$5:$F$5000&lt;&gt;$E$4,Eventos!$F$5:$F$5000,""),"")))))</f>
        <v>2464</v>
      </c>
      <c r="F5" s="104"/>
    </row>
    <row r="6" spans="1:7" x14ac:dyDescent="0.2">
      <c r="A6" s="103">
        <f>IFERROR(VLOOKUP($E6,Eventos!$F$5:$J$5000,3,FALSE),"")</f>
        <v>0</v>
      </c>
      <c r="B6" s="103">
        <f>IFERROR(VLOOKUP($E6,Eventos!$F$5:$J$5000,2,FALSE),"")</f>
        <v>0</v>
      </c>
      <c r="C6" s="103">
        <f>IFERROR(VLOOKUP($E6,Eventos!$F$5:$J$5000,4,FALSE),"")</f>
        <v>0</v>
      </c>
      <c r="D6" s="103">
        <f>IFERROR(VLOOKUP($E6,Eventos!$F$5:$J$5000,5,FALSE),"")</f>
        <v>0</v>
      </c>
      <c r="E6" s="105">
        <f t="array" ref="E6">MAX(IF(Eventos!$B$5:$B$5000=$F$1,IF(Eventos!$F$5:$F$5000&lt;&gt;$E$1,IF(Eventos!$F$5:$F$5000&lt;&gt;$E$2,IF(Eventos!$F$5:$F$5000&lt;&gt;$E$3,IF(Eventos!$F$5:$F$5000&lt;&gt;$E$4,IF(Eventos!$F$5:$F$5000&lt;&gt;$E$5,Eventos!$F$5:$F$5000,""),""))))))</f>
        <v>2463</v>
      </c>
      <c r="F6" s="104"/>
    </row>
    <row r="7" spans="1:7" x14ac:dyDescent="0.2">
      <c r="A7" s="103">
        <f>IFERROR(VLOOKUP($E7,Eventos!$F$5:$J$5000,3,FALSE),"")</f>
        <v>0</v>
      </c>
      <c r="B7" s="103">
        <f>IFERROR(VLOOKUP($E7,Eventos!$F$5:$J$5000,2,FALSE),"")</f>
        <v>0</v>
      </c>
      <c r="C7" s="103">
        <f>IFERROR(VLOOKUP($E7,Eventos!$F$5:$J$5000,4,FALSE),"")</f>
        <v>0</v>
      </c>
      <c r="D7" s="103">
        <f>IFERROR(VLOOKUP($E7,Eventos!$F$5:$J$5000,5,FALSE),"")</f>
        <v>0</v>
      </c>
      <c r="E7" s="105">
        <f t="array" ref="E7">MAX(IF(Eventos!$B$5:$B$5000=$F$1,IF(Eventos!$F$5:$F$5000&lt;&gt;$E$1,IF(Eventos!$F$5:$F$5000&lt;&gt;$E$2,IF(Eventos!$F$5:$F$5000&lt;&gt;$E$3,IF(Eventos!$F$5:$F$5000&lt;&gt;$E$4,IF(Eventos!$F$5:$F$5000&lt;&gt;$E$5,IF(Eventos!$F$5:$F$5000&lt;&gt;$E$6,Eventos!$F$5:$F$5000,""),"")))))))</f>
        <v>2462</v>
      </c>
      <c r="F7" s="104"/>
    </row>
    <row r="8" spans="1:7" x14ac:dyDescent="0.2">
      <c r="A8" s="103">
        <f>IFERROR(VLOOKUP($E8,Eventos!$F$5:$J$5000,3,FALSE),"")</f>
        <v>0</v>
      </c>
      <c r="B8" s="103">
        <f>IFERROR(VLOOKUP($E8,Eventos!$F$5:$J$5000,2,FALSE),"")</f>
        <v>0</v>
      </c>
      <c r="C8" s="103">
        <f>IFERROR(VLOOKUP($E8,Eventos!$F$5:$J$5000,4,FALSE),"")</f>
        <v>0</v>
      </c>
      <c r="D8" s="103">
        <f>IFERROR(VLOOKUP($E8,Eventos!$F$5:$J$5000,5,FALSE),"")</f>
        <v>0</v>
      </c>
      <c r="E8" s="105">
        <f t="array" ref="E8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Eventos!$F$5:$F$5000,""),""))))))))</f>
        <v>2461</v>
      </c>
      <c r="F8" s="104"/>
    </row>
    <row r="9" spans="1:7" x14ac:dyDescent="0.2">
      <c r="A9" s="103">
        <f>IFERROR(VLOOKUP($E9,Eventos!$F$5:$J$5000,3,FALSE),"")</f>
        <v>0</v>
      </c>
      <c r="B9" s="103">
        <f>IFERROR(VLOOKUP($E9,Eventos!$F$5:$J$5000,2,FALSE),"")</f>
        <v>0</v>
      </c>
      <c r="C9" s="103">
        <f>IFERROR(VLOOKUP($E9,Eventos!$F$5:$J$5000,4,FALSE),"")</f>
        <v>0</v>
      </c>
      <c r="D9" s="103">
        <f>IFERROR(VLOOKUP($E9,Eventos!$F$5:$J$5000,5,FALSE),"")</f>
        <v>0</v>
      </c>
      <c r="E9" s="105">
        <f t="array" ref="E9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Eventos!$F$5:$F$5000,""),"")))))))))</f>
        <v>2460</v>
      </c>
      <c r="F9" s="104"/>
    </row>
    <row r="10" spans="1:7" x14ac:dyDescent="0.2">
      <c r="A10" s="103">
        <f>IFERROR(VLOOKUP($E10,Eventos!$F$5:$J$5000,3,FALSE),"")</f>
        <v>0</v>
      </c>
      <c r="B10" s="103">
        <f>IFERROR(VLOOKUP($E10,Eventos!$F$5:$J$5000,2,FALSE),"")</f>
        <v>0</v>
      </c>
      <c r="C10" s="103">
        <f>IFERROR(VLOOKUP($E10,Eventos!$F$5:$J$5000,4,FALSE),"")</f>
        <v>0</v>
      </c>
      <c r="D10" s="103">
        <f>IFERROR(VLOOKUP($E10,Eventos!$F$5:$J$5000,5,FALSE),"")</f>
        <v>0</v>
      </c>
      <c r="E10" s="105">
        <f t="array" ref="E10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Eventos!$F$5:$F$5000,""),""))))))))))</f>
        <v>2459</v>
      </c>
      <c r="F10" s="104"/>
    </row>
    <row r="11" spans="1:7" x14ac:dyDescent="0.2">
      <c r="A11" s="103">
        <f>IFERROR(VLOOKUP($E11,Eventos!$F$5:$J$5000,3,FALSE),"")</f>
        <v>0</v>
      </c>
      <c r="B11" s="103">
        <f>IFERROR(VLOOKUP($E11,Eventos!$F$5:$J$5000,2,FALSE),"")</f>
        <v>0</v>
      </c>
      <c r="C11" s="103">
        <f>IFERROR(VLOOKUP($E11,Eventos!$F$5:$J$5000,4,FALSE),"")</f>
        <v>0</v>
      </c>
      <c r="D11" s="103">
        <f>IFERROR(VLOOKUP($E11,Eventos!$F$5:$J$5000,5,FALSE),"")</f>
        <v>0</v>
      </c>
      <c r="E11" s="105">
        <f t="array" ref="E11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IF(Eventos!$F$5:$F$5000&lt;&gt;$E$10,Eventos!$F$5:$F$5000,""),"")))))))))))</f>
        <v>2458</v>
      </c>
      <c r="F11" s="104"/>
    </row>
    <row r="12" spans="1:7" x14ac:dyDescent="0.2">
      <c r="A12" s="103">
        <f>IFERROR(VLOOKUP($E12,Eventos!$F$5:$J$5000,3,FALSE),"")</f>
        <v>0</v>
      </c>
      <c r="B12" s="103">
        <f>IFERROR(VLOOKUP($E12,Eventos!$F$5:$J$5000,2,FALSE),"")</f>
        <v>0</v>
      </c>
      <c r="C12" s="103">
        <f>IFERROR(VLOOKUP($E12,Eventos!$F$5:$J$5000,4,FALSE),"")</f>
        <v>0</v>
      </c>
      <c r="D12" s="103">
        <f>IFERROR(VLOOKUP($E12,Eventos!$F$5:$J$5000,5,FALSE),"")</f>
        <v>0</v>
      </c>
      <c r="E12" s="105">
        <f t="array" ref="E12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IF(Eventos!$F$5:$F$5000&lt;&gt;$E$10,IF(Eventos!$F$5:$F$5000&lt;&gt;$E$11,Eventos!$F$5:$F$5000,""),""))))))))))))</f>
        <v>2457</v>
      </c>
      <c r="F12" s="104"/>
    </row>
    <row r="13" spans="1:7" x14ac:dyDescent="0.2">
      <c r="A13" s="103">
        <f>IFERROR(VLOOKUP($E13,Eventos!$F$5:$J$5000,3,FALSE),"")</f>
        <v>0</v>
      </c>
      <c r="B13" s="103">
        <f>IFERROR(VLOOKUP($E13,Eventos!$F$5:$J$5000,2,FALSE),"")</f>
        <v>0</v>
      </c>
      <c r="C13" s="103">
        <f>IFERROR(VLOOKUP($E13,Eventos!$F$5:$J$5000,4,FALSE),"")</f>
        <v>0</v>
      </c>
      <c r="D13" s="103">
        <f>IFERROR(VLOOKUP($E13,Eventos!$F$5:$J$5000,5,FALSE),"")</f>
        <v>0</v>
      </c>
      <c r="E13" s="105">
        <f t="array" ref="E13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IF(Eventos!$F$5:$F$5000&lt;&gt;$E$10,IF(Eventos!$F$5:$F$5000&lt;&gt;$E$11,IF(Eventos!$F$5:$F$5000&lt;&gt;$E$12,Eventos!$F$5:$F$5000,""),"")))))))))))))</f>
        <v>2456</v>
      </c>
      <c r="F13" s="104"/>
    </row>
    <row r="16" spans="1:7" x14ac:dyDescent="0.2">
      <c r="A16" s="99" t="s">
        <v>139</v>
      </c>
    </row>
    <row r="17" spans="1:1" x14ac:dyDescent="0.2">
      <c r="A17" s="99" t="s">
        <v>133</v>
      </c>
    </row>
    <row r="18" spans="1:1" x14ac:dyDescent="0.2">
      <c r="A18" t="s">
        <v>132</v>
      </c>
    </row>
    <row r="19" spans="1:1" x14ac:dyDescent="0.2">
      <c r="A19" t="s">
        <v>136</v>
      </c>
    </row>
    <row r="20" spans="1:1" x14ac:dyDescent="0.2">
      <c r="A20" t="s">
        <v>138</v>
      </c>
    </row>
    <row r="21" spans="1:1" x14ac:dyDescent="0.2">
      <c r="A21" s="99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G92"/>
  <sheetViews>
    <sheetView showGridLines="0" zoomScale="130" zoomScaleNormal="130" workbookViewId="0">
      <selection activeCell="C18" sqref="C18"/>
    </sheetView>
  </sheetViews>
  <sheetFormatPr defaultRowHeight="12.75" x14ac:dyDescent="0.2"/>
  <cols>
    <col min="1" max="1" width="7.7109375" style="1" customWidth="1"/>
    <col min="2" max="2" width="36.7109375" style="1" customWidth="1"/>
    <col min="3" max="3" width="20.7109375" style="1" customWidth="1"/>
    <col min="4" max="4" width="6.7109375" style="3" customWidth="1"/>
    <col min="5" max="5" width="24.7109375" style="4" customWidth="1"/>
    <col min="6" max="6" width="2.7109375" style="1" customWidth="1"/>
    <col min="7" max="7" width="0" style="1" hidden="1" customWidth="1"/>
    <col min="8" max="16384" width="9.140625" style="1"/>
  </cols>
  <sheetData>
    <row r="1" spans="1:7" ht="19.5" x14ac:dyDescent="0.25">
      <c r="B1" s="2" t="str">
        <f>"Tabelas de Feriados em "&amp;Ano</f>
        <v>Tabelas de Feriados em 2019</v>
      </c>
    </row>
    <row r="3" spans="1:7" ht="15.75" thickBot="1" x14ac:dyDescent="0.25">
      <c r="B3" s="60" t="s">
        <v>85</v>
      </c>
      <c r="C3" s="60" t="s">
        <v>0</v>
      </c>
      <c r="D3" s="60" t="s">
        <v>2</v>
      </c>
      <c r="E3" s="60" t="s">
        <v>1</v>
      </c>
    </row>
    <row r="4" spans="1:7" s="4" customFormat="1" ht="10.5" customHeight="1" x14ac:dyDescent="0.15">
      <c r="A4" s="145" t="s">
        <v>120</v>
      </c>
      <c r="B4" s="28" t="s">
        <v>88</v>
      </c>
      <c r="C4" s="29">
        <f>DATE(Ano,1,1)</f>
        <v>43466</v>
      </c>
      <c r="D4" s="30" t="s">
        <v>3</v>
      </c>
      <c r="E4" s="31" t="s">
        <v>5</v>
      </c>
      <c r="G4" s="4" t="s">
        <v>91</v>
      </c>
    </row>
    <row r="5" spans="1:7" s="4" customFormat="1" ht="10.5" x14ac:dyDescent="0.15">
      <c r="A5" s="145"/>
      <c r="B5" s="32" t="s">
        <v>24</v>
      </c>
      <c r="C5" s="33">
        <f>Páscoa-2</f>
        <v>43574</v>
      </c>
      <c r="D5" s="34" t="s">
        <v>4</v>
      </c>
      <c r="E5" s="35" t="s">
        <v>7</v>
      </c>
      <c r="G5" s="4" t="s">
        <v>92</v>
      </c>
    </row>
    <row r="6" spans="1:7" s="4" customFormat="1" ht="10.5" x14ac:dyDescent="0.15">
      <c r="A6" s="145"/>
      <c r="B6" s="36" t="s">
        <v>25</v>
      </c>
      <c r="C6" s="33">
        <f>DATE(Ano, P_Mês, P_Dia)</f>
        <v>43576</v>
      </c>
      <c r="D6" s="34" t="s">
        <v>4</v>
      </c>
      <c r="E6" s="35" t="s">
        <v>8</v>
      </c>
      <c r="G6" s="4" t="s">
        <v>93</v>
      </c>
    </row>
    <row r="7" spans="1:7" s="4" customFormat="1" ht="10.5" x14ac:dyDescent="0.15">
      <c r="A7" s="145"/>
      <c r="B7" s="32" t="s">
        <v>26</v>
      </c>
      <c r="C7" s="33">
        <f>DATE(Ano,4,21)</f>
        <v>43576</v>
      </c>
      <c r="D7" s="34" t="s">
        <v>3</v>
      </c>
      <c r="E7" s="35" t="s">
        <v>9</v>
      </c>
      <c r="G7" s="4" t="s">
        <v>94</v>
      </c>
    </row>
    <row r="8" spans="1:7" s="4" customFormat="1" ht="10.5" x14ac:dyDescent="0.15">
      <c r="A8" s="145"/>
      <c r="B8" s="32" t="s">
        <v>27</v>
      </c>
      <c r="C8" s="33">
        <f>DATE(Ano,5,1)</f>
        <v>43586</v>
      </c>
      <c r="D8" s="34" t="s">
        <v>3</v>
      </c>
      <c r="E8" s="35" t="s">
        <v>10</v>
      </c>
      <c r="G8" s="4" t="s">
        <v>95</v>
      </c>
    </row>
    <row r="9" spans="1:7" s="4" customFormat="1" ht="10.5" x14ac:dyDescent="0.15">
      <c r="A9" s="145"/>
      <c r="B9" s="32" t="s">
        <v>28</v>
      </c>
      <c r="C9" s="33">
        <f>Páscoa+60</f>
        <v>43636</v>
      </c>
      <c r="D9" s="34" t="s">
        <v>4</v>
      </c>
      <c r="E9" s="35" t="s">
        <v>11</v>
      </c>
      <c r="G9" s="4" t="s">
        <v>96</v>
      </c>
    </row>
    <row r="10" spans="1:7" s="4" customFormat="1" ht="10.5" x14ac:dyDescent="0.15">
      <c r="A10" s="145"/>
      <c r="B10" s="32" t="s">
        <v>89</v>
      </c>
      <c r="C10" s="33">
        <f>DATE(Ano,9,7)</f>
        <v>43715</v>
      </c>
      <c r="D10" s="34" t="s">
        <v>3</v>
      </c>
      <c r="E10" s="35" t="s">
        <v>12</v>
      </c>
      <c r="G10" s="4" t="s">
        <v>97</v>
      </c>
    </row>
    <row r="11" spans="1:7" s="4" customFormat="1" ht="10.5" x14ac:dyDescent="0.15">
      <c r="A11" s="145"/>
      <c r="B11" s="32" t="s">
        <v>90</v>
      </c>
      <c r="C11" s="33">
        <f>DATE(Ano,10,12)</f>
        <v>43750</v>
      </c>
      <c r="D11" s="34" t="s">
        <v>3</v>
      </c>
      <c r="E11" s="35" t="s">
        <v>13</v>
      </c>
      <c r="G11" s="4" t="s">
        <v>98</v>
      </c>
    </row>
    <row r="12" spans="1:7" s="4" customFormat="1" ht="10.5" x14ac:dyDescent="0.15">
      <c r="A12" s="145"/>
      <c r="B12" s="32" t="s">
        <v>29</v>
      </c>
      <c r="C12" s="33">
        <f>DATE(Ano,11,2)</f>
        <v>43771</v>
      </c>
      <c r="D12" s="34" t="s">
        <v>3</v>
      </c>
      <c r="E12" s="35" t="s">
        <v>14</v>
      </c>
      <c r="G12" s="4" t="s">
        <v>99</v>
      </c>
    </row>
    <row r="13" spans="1:7" s="4" customFormat="1" ht="10.5" x14ac:dyDescent="0.15">
      <c r="A13" s="145"/>
      <c r="B13" s="32" t="s">
        <v>30</v>
      </c>
      <c r="C13" s="33">
        <f>DATE(Ano,11,15)</f>
        <v>43784</v>
      </c>
      <c r="D13" s="34" t="s">
        <v>3</v>
      </c>
      <c r="E13" s="35" t="s">
        <v>15</v>
      </c>
      <c r="G13" s="4" t="s">
        <v>100</v>
      </c>
    </row>
    <row r="14" spans="1:7" s="4" customFormat="1" ht="11.25" thickBot="1" x14ac:dyDescent="0.2">
      <c r="A14" s="145"/>
      <c r="B14" s="37" t="s">
        <v>31</v>
      </c>
      <c r="C14" s="38">
        <f>DATE(Ano,12,25)</f>
        <v>43824</v>
      </c>
      <c r="D14" s="39" t="s">
        <v>3</v>
      </c>
      <c r="E14" s="40" t="s">
        <v>16</v>
      </c>
      <c r="G14" s="4" t="s">
        <v>101</v>
      </c>
    </row>
    <row r="15" spans="1:7" s="4" customFormat="1" ht="10.5" customHeight="1" x14ac:dyDescent="0.15">
      <c r="A15" s="145"/>
      <c r="B15" s="65" t="s">
        <v>104</v>
      </c>
      <c r="C15" s="66">
        <f>DATE(Ano,7,9)</f>
        <v>43655</v>
      </c>
      <c r="D15" s="67" t="s">
        <v>3</v>
      </c>
      <c r="E15" s="68" t="s">
        <v>106</v>
      </c>
      <c r="G15" s="4" t="s">
        <v>102</v>
      </c>
    </row>
    <row r="16" spans="1:7" s="4" customFormat="1" ht="10.5" customHeight="1" thickBot="1" x14ac:dyDescent="0.2">
      <c r="A16" s="145"/>
      <c r="B16" s="65" t="s">
        <v>105</v>
      </c>
      <c r="C16" s="66">
        <f>DATE(Ano,8,20)</f>
        <v>43697</v>
      </c>
      <c r="D16" s="67" t="s">
        <v>3</v>
      </c>
      <c r="E16" s="68" t="s">
        <v>107</v>
      </c>
    </row>
    <row r="17" spans="1:5" s="4" customFormat="1" ht="10.5" customHeight="1" x14ac:dyDescent="0.15">
      <c r="A17" s="145"/>
      <c r="B17" s="28" t="s">
        <v>110</v>
      </c>
      <c r="C17" s="29">
        <f>DATE(Ano,9,20)</f>
        <v>43728</v>
      </c>
      <c r="D17" s="34" t="s">
        <v>3</v>
      </c>
      <c r="E17" s="35" t="s">
        <v>111</v>
      </c>
    </row>
    <row r="18" spans="1:5" s="4" customFormat="1" ht="10.5" customHeight="1" x14ac:dyDescent="0.15">
      <c r="A18" s="145"/>
      <c r="B18" s="32"/>
      <c r="C18" s="33"/>
      <c r="D18" s="34"/>
      <c r="E18" s="35"/>
    </row>
    <row r="19" spans="1:5" s="4" customFormat="1" ht="10.5" customHeight="1" x14ac:dyDescent="0.15">
      <c r="A19" s="145"/>
      <c r="B19" s="36"/>
      <c r="C19" s="33"/>
      <c r="D19" s="34"/>
      <c r="E19" s="35"/>
    </row>
    <row r="20" spans="1:5" s="4" customFormat="1" ht="11.25" customHeight="1" x14ac:dyDescent="0.15">
      <c r="A20" s="145"/>
      <c r="B20" s="32"/>
      <c r="C20" s="33"/>
      <c r="D20" s="34"/>
      <c r="E20" s="35"/>
    </row>
    <row r="21" spans="1:5" s="4" customFormat="1" ht="10.5" customHeight="1" x14ac:dyDescent="0.15">
      <c r="A21" s="145"/>
      <c r="B21" s="32"/>
      <c r="C21" s="33"/>
      <c r="D21" s="34"/>
      <c r="E21" s="35"/>
    </row>
    <row r="22" spans="1:5" s="4" customFormat="1" ht="10.5" customHeight="1" x14ac:dyDescent="0.15">
      <c r="A22" s="145"/>
      <c r="B22" s="32"/>
      <c r="C22" s="33"/>
      <c r="D22" s="34"/>
      <c r="E22" s="35"/>
    </row>
    <row r="23" spans="1:5" s="4" customFormat="1" ht="10.5" customHeight="1" x14ac:dyDescent="0.15">
      <c r="A23" s="145"/>
      <c r="B23" s="32"/>
      <c r="C23" s="33"/>
      <c r="D23" s="34"/>
      <c r="E23" s="35"/>
    </row>
    <row r="24" spans="1:5" s="4" customFormat="1" ht="10.5" customHeight="1" x14ac:dyDescent="0.15">
      <c r="A24" s="145"/>
      <c r="B24" s="32"/>
      <c r="C24" s="33"/>
      <c r="D24" s="34"/>
      <c r="E24" s="35"/>
    </row>
    <row r="25" spans="1:5" s="4" customFormat="1" ht="10.5" customHeight="1" x14ac:dyDescent="0.15">
      <c r="A25" s="145"/>
      <c r="B25" s="32"/>
      <c r="C25" s="33"/>
      <c r="D25" s="34"/>
      <c r="E25" s="35"/>
    </row>
    <row r="26" spans="1:5" s="4" customFormat="1" ht="10.5" customHeight="1" x14ac:dyDescent="0.15">
      <c r="A26" s="145"/>
      <c r="B26" s="32"/>
      <c r="C26" s="33"/>
      <c r="D26" s="34"/>
      <c r="E26" s="35"/>
    </row>
    <row r="27" spans="1:5" s="4" customFormat="1" ht="10.5" customHeight="1" x14ac:dyDescent="0.15">
      <c r="A27" s="145"/>
      <c r="B27" s="32"/>
      <c r="C27" s="33"/>
      <c r="D27" s="34"/>
      <c r="E27" s="35"/>
    </row>
    <row r="28" spans="1:5" s="4" customFormat="1" ht="10.5" customHeight="1" x14ac:dyDescent="0.15">
      <c r="A28" s="145"/>
      <c r="B28" s="32"/>
      <c r="C28" s="33"/>
      <c r="D28" s="34"/>
      <c r="E28" s="35"/>
    </row>
    <row r="29" spans="1:5" s="4" customFormat="1" ht="10.5" customHeight="1" x14ac:dyDescent="0.15">
      <c r="A29" s="145"/>
      <c r="B29" s="32"/>
      <c r="C29" s="33"/>
      <c r="D29" s="34"/>
      <c r="E29" s="35"/>
    </row>
    <row r="30" spans="1:5" s="4" customFormat="1" ht="10.5" customHeight="1" x14ac:dyDescent="0.15">
      <c r="A30" s="145"/>
      <c r="B30" s="32"/>
      <c r="C30" s="33"/>
      <c r="D30" s="34"/>
      <c r="E30" s="35"/>
    </row>
    <row r="31" spans="1:5" s="4" customFormat="1" ht="10.5" customHeight="1" x14ac:dyDescent="0.15">
      <c r="A31" s="145"/>
      <c r="B31" s="32"/>
      <c r="C31" s="33"/>
      <c r="D31" s="34"/>
      <c r="E31" s="35"/>
    </row>
    <row r="32" spans="1:5" s="4" customFormat="1" ht="10.5" customHeight="1" x14ac:dyDescent="0.15">
      <c r="A32" s="145"/>
      <c r="B32" s="32"/>
      <c r="C32" s="33"/>
      <c r="D32" s="34"/>
      <c r="E32" s="35"/>
    </row>
    <row r="33" spans="1:5" s="4" customFormat="1" ht="10.5" customHeight="1" x14ac:dyDescent="0.15">
      <c r="A33" s="145"/>
      <c r="B33" s="32"/>
      <c r="C33" s="33"/>
      <c r="D33" s="34"/>
      <c r="E33" s="35"/>
    </row>
    <row r="34" spans="1:5" s="4" customFormat="1" ht="10.5" customHeight="1" x14ac:dyDescent="0.15">
      <c r="A34" s="145"/>
      <c r="B34" s="32"/>
      <c r="C34" s="33"/>
      <c r="D34" s="34"/>
      <c r="E34" s="35"/>
    </row>
    <row r="35" spans="1:5" x14ac:dyDescent="0.2">
      <c r="A35" s="145"/>
      <c r="B35" s="32"/>
      <c r="C35" s="33"/>
      <c r="D35" s="34"/>
      <c r="E35" s="35"/>
    </row>
    <row r="36" spans="1:5" s="4" customFormat="1" ht="10.5" customHeight="1" x14ac:dyDescent="0.15">
      <c r="A36" s="145"/>
      <c r="B36" s="32"/>
      <c r="C36" s="33"/>
      <c r="D36" s="34"/>
      <c r="E36" s="35"/>
    </row>
    <row r="37" spans="1:5" s="4" customFormat="1" ht="12.75" customHeight="1" x14ac:dyDescent="0.15">
      <c r="A37" s="145"/>
      <c r="B37" s="32"/>
      <c r="C37" s="33"/>
      <c r="D37" s="34"/>
      <c r="E37" s="35"/>
    </row>
    <row r="38" spans="1:5" s="4" customFormat="1" ht="12.75" customHeight="1" thickBot="1" x14ac:dyDescent="0.2">
      <c r="A38" s="145"/>
      <c r="B38" s="37"/>
      <c r="C38" s="38"/>
      <c r="D38" s="39"/>
      <c r="E38" s="40"/>
    </row>
    <row r="39" spans="1:5" s="4" customFormat="1" ht="12.75" customHeight="1" x14ac:dyDescent="0.15">
      <c r="A39" s="146" t="s">
        <v>42</v>
      </c>
      <c r="B39" s="61" t="s">
        <v>87</v>
      </c>
      <c r="C39" s="62">
        <f>Páscoa-47</f>
        <v>43529</v>
      </c>
      <c r="D39" s="63" t="s">
        <v>4</v>
      </c>
      <c r="E39" s="64" t="s">
        <v>6</v>
      </c>
    </row>
    <row r="40" spans="1:5" s="4" customFormat="1" ht="12.75" customHeight="1" x14ac:dyDescent="0.15">
      <c r="A40" s="146"/>
      <c r="B40" s="41" t="s">
        <v>86</v>
      </c>
      <c r="C40" s="42">
        <f>DATE(Ano,3,8)</f>
        <v>43532</v>
      </c>
      <c r="D40" s="43" t="s">
        <v>3</v>
      </c>
      <c r="E40" s="44" t="s">
        <v>60</v>
      </c>
    </row>
    <row r="41" spans="1:5" s="4" customFormat="1" ht="12.75" customHeight="1" x14ac:dyDescent="0.15">
      <c r="A41" s="146"/>
      <c r="B41" s="41" t="s">
        <v>45</v>
      </c>
      <c r="C41" s="42">
        <f>Páscoa-7</f>
        <v>43569</v>
      </c>
      <c r="D41" s="43" t="s">
        <v>4</v>
      </c>
      <c r="E41" s="44" t="s">
        <v>46</v>
      </c>
    </row>
    <row r="42" spans="1:5" s="4" customFormat="1" ht="12.75" customHeight="1" x14ac:dyDescent="0.15">
      <c r="A42" s="146"/>
      <c r="B42" s="41" t="s">
        <v>52</v>
      </c>
      <c r="C42" s="42">
        <f>Páscoa-1</f>
        <v>43575</v>
      </c>
      <c r="D42" s="43" t="s">
        <v>4</v>
      </c>
      <c r="E42" s="44" t="s">
        <v>53</v>
      </c>
    </row>
    <row r="43" spans="1:5" s="4" customFormat="1" ht="11.25" customHeight="1" x14ac:dyDescent="0.15">
      <c r="A43" s="146"/>
      <c r="B43" s="41" t="s">
        <v>44</v>
      </c>
      <c r="C43" s="42">
        <f>DATE(Ano,5,1)+IF(1&lt;WEEKDAY(DATE(Ano,5,1)),7-WEEKDAY(DATE(Ano,5,1))+1,1-WEEKDAY(DATE(Ano,5,1)))+(2-1)*7</f>
        <v>43597</v>
      </c>
      <c r="D43" s="43" t="s">
        <v>4</v>
      </c>
      <c r="E43" s="44" t="s">
        <v>43</v>
      </c>
    </row>
    <row r="44" spans="1:5" s="4" customFormat="1" ht="11.25" customHeight="1" x14ac:dyDescent="0.15">
      <c r="A44" s="146"/>
      <c r="B44" s="41" t="s">
        <v>49</v>
      </c>
      <c r="C44" s="42">
        <f>DATE(Ano,6,12)</f>
        <v>43628</v>
      </c>
      <c r="D44" s="43" t="s">
        <v>3</v>
      </c>
      <c r="E44" s="44" t="s">
        <v>50</v>
      </c>
    </row>
    <row r="45" spans="1:5" s="4" customFormat="1" ht="10.5" x14ac:dyDescent="0.15">
      <c r="A45" s="146"/>
      <c r="B45" s="41" t="s">
        <v>47</v>
      </c>
      <c r="C45" s="42">
        <f>DATE(Ano,10,12)</f>
        <v>43750</v>
      </c>
      <c r="D45" s="43" t="s">
        <v>3</v>
      </c>
      <c r="E45" s="44" t="s">
        <v>13</v>
      </c>
    </row>
    <row r="46" spans="1:5" s="4" customFormat="1" ht="10.5" x14ac:dyDescent="0.15">
      <c r="A46" s="146"/>
      <c r="B46" s="41"/>
      <c r="C46" s="42"/>
      <c r="D46" s="43"/>
      <c r="E46" s="44"/>
    </row>
    <row r="47" spans="1:5" s="4" customFormat="1" ht="10.5" x14ac:dyDescent="0.15">
      <c r="A47" s="146"/>
      <c r="B47" s="41"/>
      <c r="C47" s="42"/>
      <c r="D47" s="43"/>
      <c r="E47" s="44"/>
    </row>
    <row r="48" spans="1:5" s="4" customFormat="1" ht="10.5" x14ac:dyDescent="0.15">
      <c r="A48" s="146"/>
      <c r="B48" s="41"/>
      <c r="C48" s="42"/>
      <c r="D48" s="43"/>
      <c r="E48" s="44"/>
    </row>
    <row r="49" spans="1:5" s="4" customFormat="1" ht="10.5" x14ac:dyDescent="0.15">
      <c r="A49" s="146"/>
      <c r="B49" s="41"/>
      <c r="C49" s="42"/>
      <c r="D49" s="43"/>
      <c r="E49" s="44"/>
    </row>
    <row r="50" spans="1:5" s="4" customFormat="1" ht="10.5" customHeight="1" x14ac:dyDescent="0.15">
      <c r="A50" s="146"/>
      <c r="B50" s="41"/>
      <c r="C50" s="42"/>
      <c r="D50" s="43"/>
      <c r="E50" s="44"/>
    </row>
    <row r="51" spans="1:5" s="4" customFormat="1" ht="10.5" customHeight="1" x14ac:dyDescent="0.15">
      <c r="A51" s="146"/>
      <c r="B51" s="41"/>
      <c r="C51" s="42"/>
      <c r="D51" s="43"/>
      <c r="E51" s="44"/>
    </row>
    <row r="52" spans="1:5" s="4" customFormat="1" ht="10.5" x14ac:dyDescent="0.15">
      <c r="A52" s="146"/>
      <c r="B52" s="41"/>
      <c r="C52" s="42"/>
      <c r="D52" s="43"/>
      <c r="E52" s="44"/>
    </row>
    <row r="53" spans="1:5" x14ac:dyDescent="0.2">
      <c r="A53" s="146"/>
      <c r="B53" s="41"/>
      <c r="C53" s="42"/>
      <c r="D53" s="43"/>
      <c r="E53" s="44"/>
    </row>
    <row r="54" spans="1:5" ht="13.5" thickBot="1" x14ac:dyDescent="0.25">
      <c r="A54" s="146"/>
      <c r="B54" s="45"/>
      <c r="C54" s="46"/>
      <c r="D54" s="47"/>
      <c r="E54" s="48"/>
    </row>
    <row r="55" spans="1:5" x14ac:dyDescent="0.2">
      <c r="A55" s="144" t="s">
        <v>32</v>
      </c>
      <c r="B55" s="49" t="s">
        <v>23</v>
      </c>
      <c r="C55" s="50">
        <f>DATE(Ano,11,28)-MOD(DATE(Ano,11,28)-5,7)</f>
        <v>43797</v>
      </c>
      <c r="D55" s="51" t="s">
        <v>4</v>
      </c>
      <c r="E55" s="52" t="s">
        <v>39</v>
      </c>
    </row>
    <row r="56" spans="1:5" x14ac:dyDescent="0.2">
      <c r="A56" s="144"/>
      <c r="B56" s="49" t="s">
        <v>108</v>
      </c>
      <c r="C56" s="50">
        <f>DATE(Ano,10,28)-MOD(DATE(Ano,10,28)-1,7)</f>
        <v>43765</v>
      </c>
      <c r="D56" s="51" t="s">
        <v>4</v>
      </c>
      <c r="E56" s="52" t="s">
        <v>103</v>
      </c>
    </row>
    <row r="57" spans="1:5" x14ac:dyDescent="0.2">
      <c r="A57" s="144"/>
      <c r="B57" s="49" t="s">
        <v>48</v>
      </c>
      <c r="C57" s="50">
        <f>DATE(Ano,8,1)+IF(1&lt;WEEKDAY(DATE(Ano,8,1)),7-WEEKDAY(DATE(Ano,8,1))+1,1-WEEKDAY(DATE(Ano,8,1)))+(2-1)*7</f>
        <v>43688</v>
      </c>
      <c r="D57" s="51" t="s">
        <v>4</v>
      </c>
      <c r="E57" s="52" t="s">
        <v>54</v>
      </c>
    </row>
    <row r="58" spans="1:5" x14ac:dyDescent="0.2">
      <c r="A58" s="144"/>
      <c r="B58" s="49" t="s">
        <v>51</v>
      </c>
      <c r="C58" s="50">
        <f>DATE(Ano,9,30)</f>
        <v>43738</v>
      </c>
      <c r="D58" s="51" t="s">
        <v>3</v>
      </c>
      <c r="E58" s="52" t="s">
        <v>55</v>
      </c>
    </row>
    <row r="59" spans="1:5" x14ac:dyDescent="0.2">
      <c r="A59" s="144"/>
      <c r="B59" s="49" t="s">
        <v>17</v>
      </c>
      <c r="C59" s="50">
        <f>DATE(Ano,1,21)-MOD(DATE(Ano,1,5),7)</f>
        <v>43486</v>
      </c>
      <c r="D59" s="51" t="s">
        <v>4</v>
      </c>
      <c r="E59" s="52" t="s">
        <v>33</v>
      </c>
    </row>
    <row r="60" spans="1:5" x14ac:dyDescent="0.2">
      <c r="A60" s="144"/>
      <c r="B60" s="49" t="s">
        <v>18</v>
      </c>
      <c r="C60" s="50">
        <f>DATE(Ano,2,21)-MOD(DATE(Ano,2,21)-2,7)</f>
        <v>43514</v>
      </c>
      <c r="D60" s="51" t="s">
        <v>4</v>
      </c>
      <c r="E60" s="52" t="s">
        <v>34</v>
      </c>
    </row>
    <row r="61" spans="1:5" x14ac:dyDescent="0.2">
      <c r="A61" s="144"/>
      <c r="B61" s="49" t="s">
        <v>19</v>
      </c>
      <c r="C61" s="50">
        <f>DATE(Ano,5,31)-MOD(DATE(Ano,5,31)-2,7)</f>
        <v>43612</v>
      </c>
      <c r="D61" s="51" t="s">
        <v>4</v>
      </c>
      <c r="E61" s="52" t="s">
        <v>35</v>
      </c>
    </row>
    <row r="62" spans="1:5" x14ac:dyDescent="0.2">
      <c r="A62" s="144"/>
      <c r="B62" s="49" t="s">
        <v>20</v>
      </c>
      <c r="C62" s="50">
        <f>DATE(Ano,7,4)</f>
        <v>43650</v>
      </c>
      <c r="D62" s="51" t="s">
        <v>3</v>
      </c>
      <c r="E62" s="52" t="s">
        <v>37</v>
      </c>
    </row>
    <row r="63" spans="1:5" x14ac:dyDescent="0.2">
      <c r="A63" s="144"/>
      <c r="B63" s="49" t="s">
        <v>21</v>
      </c>
      <c r="C63" s="50">
        <f>DATE(Ano,9,7)-MOD(DATE(Ano,9,7)-2,7)</f>
        <v>43710</v>
      </c>
      <c r="D63" s="51" t="s">
        <v>4</v>
      </c>
      <c r="E63" s="52" t="s">
        <v>41</v>
      </c>
    </row>
    <row r="64" spans="1:5" x14ac:dyDescent="0.2">
      <c r="A64" s="144"/>
      <c r="B64" s="49" t="s">
        <v>36</v>
      </c>
      <c r="C64" s="50">
        <f>DATE(Ano,10,1)+IF(2&lt;WEEKDAY(DATE(Ano,10,1)),7-WEEKDAY(DATE(Ano,10,1))+2,2-WEEKDAY(DATE(Ano,10,1)))+((2-1)*7)</f>
        <v>43752</v>
      </c>
      <c r="D64" s="51" t="s">
        <v>4</v>
      </c>
      <c r="E64" s="52" t="s">
        <v>40</v>
      </c>
    </row>
    <row r="65" spans="1:5" x14ac:dyDescent="0.2">
      <c r="A65" s="144"/>
      <c r="B65" s="49" t="s">
        <v>22</v>
      </c>
      <c r="C65" s="50">
        <f>DATE(Ano,11,11)</f>
        <v>43780</v>
      </c>
      <c r="D65" s="51" t="s">
        <v>3</v>
      </c>
      <c r="E65" s="52" t="s">
        <v>38</v>
      </c>
    </row>
    <row r="66" spans="1:5" x14ac:dyDescent="0.2">
      <c r="A66" s="144"/>
      <c r="B66" s="49"/>
      <c r="C66" s="50"/>
      <c r="D66" s="51"/>
      <c r="E66" s="52"/>
    </row>
    <row r="67" spans="1:5" x14ac:dyDescent="0.2">
      <c r="A67" s="144"/>
      <c r="B67" s="49"/>
      <c r="C67" s="50"/>
      <c r="D67" s="51"/>
      <c r="E67" s="52"/>
    </row>
    <row r="68" spans="1:5" x14ac:dyDescent="0.2">
      <c r="A68" s="144"/>
      <c r="B68" s="49"/>
      <c r="C68" s="50"/>
      <c r="D68" s="51"/>
      <c r="E68" s="52"/>
    </row>
    <row r="69" spans="1:5" x14ac:dyDescent="0.2">
      <c r="A69" s="144"/>
      <c r="B69" s="49"/>
      <c r="C69" s="50"/>
      <c r="D69" s="51"/>
      <c r="E69" s="52"/>
    </row>
    <row r="70" spans="1:5" ht="13.5" thickBot="1" x14ac:dyDescent="0.25">
      <c r="A70" s="144"/>
      <c r="B70" s="53"/>
      <c r="C70" s="54"/>
      <c r="D70" s="55"/>
      <c r="E70" s="56"/>
    </row>
    <row r="72" spans="1:5" ht="13.5" thickBot="1" x14ac:dyDescent="0.25">
      <c r="D72" s="1"/>
      <c r="E72" s="1"/>
    </row>
    <row r="73" spans="1:5" x14ac:dyDescent="0.2">
      <c r="B73" s="24" t="s">
        <v>109</v>
      </c>
      <c r="C73" s="25" t="s">
        <v>61</v>
      </c>
      <c r="D73" s="25"/>
      <c r="E73" s="26" t="s">
        <v>61</v>
      </c>
    </row>
    <row r="74" spans="1:5" x14ac:dyDescent="0.2">
      <c r="B74" s="11" t="s">
        <v>62</v>
      </c>
      <c r="C74" s="12">
        <f>MOD(Ano,19)</f>
        <v>5</v>
      </c>
      <c r="D74" s="13"/>
      <c r="E74" s="14">
        <f>MOD(Ano,19)</f>
        <v>5</v>
      </c>
    </row>
    <row r="75" spans="1:5" x14ac:dyDescent="0.2">
      <c r="B75" s="11" t="s">
        <v>63</v>
      </c>
      <c r="C75" s="12">
        <f>INT(Ano/100)</f>
        <v>20</v>
      </c>
      <c r="D75" s="13"/>
      <c r="E75" s="14">
        <f>INT(Ano/100)</f>
        <v>20</v>
      </c>
    </row>
    <row r="76" spans="1:5" x14ac:dyDescent="0.2">
      <c r="B76" s="11" t="s">
        <v>64</v>
      </c>
      <c r="C76" s="12">
        <f>MOD(Ano,100)</f>
        <v>19</v>
      </c>
      <c r="D76" s="13"/>
      <c r="E76" s="14">
        <f>MOD(Ano,100)</f>
        <v>19</v>
      </c>
    </row>
    <row r="77" spans="1:5" x14ac:dyDescent="0.2">
      <c r="B77" s="11" t="s">
        <v>65</v>
      </c>
      <c r="C77" s="12">
        <f>INT(C75/4)</f>
        <v>5</v>
      </c>
      <c r="D77" s="13"/>
      <c r="E77" s="14">
        <f>INT(INT(Ano/100)/4)</f>
        <v>5</v>
      </c>
    </row>
    <row r="78" spans="1:5" x14ac:dyDescent="0.2">
      <c r="B78" s="11" t="s">
        <v>66</v>
      </c>
      <c r="C78" s="12">
        <f>MOD(C75,4)</f>
        <v>0</v>
      </c>
      <c r="D78" s="13"/>
      <c r="E78" s="14">
        <f>MOD(INT(Ano/100),4)</f>
        <v>0</v>
      </c>
    </row>
    <row r="79" spans="1:5" x14ac:dyDescent="0.2">
      <c r="B79" s="11" t="s">
        <v>72</v>
      </c>
      <c r="C79" s="12">
        <f>INT((C75+8)/25)</f>
        <v>1</v>
      </c>
      <c r="D79" s="13"/>
      <c r="E79" s="14">
        <f>INT((INT(Ano/100)+8)/25)</f>
        <v>1</v>
      </c>
    </row>
    <row r="80" spans="1:5" x14ac:dyDescent="0.2">
      <c r="B80" s="11" t="s">
        <v>73</v>
      </c>
      <c r="C80" s="12">
        <f>INT((C75-C79+1)/3)</f>
        <v>6</v>
      </c>
      <c r="D80" s="13"/>
      <c r="E80" s="14">
        <f>INT((INT(Ano/100)-INT((INT(Ano/100)+8)/25)+1)/3)</f>
        <v>6</v>
      </c>
    </row>
    <row r="81" spans="2:5" x14ac:dyDescent="0.2">
      <c r="B81" s="11" t="s">
        <v>71</v>
      </c>
      <c r="C81" s="12">
        <f>MOD(19*C74 + C75 - C77 - C80 + 15, 30)</f>
        <v>29</v>
      </c>
      <c r="D81" s="13"/>
      <c r="E81" s="14">
        <f>MOD(19*MOD(Ano,19)+INT(Ano/100)-INT(INT(Ano/100)/4)-INT((INT(Ano/100)-INT((INT(Ano/100)+8)/25)+1)/3)+15,30)</f>
        <v>29</v>
      </c>
    </row>
    <row r="82" spans="2:5" x14ac:dyDescent="0.2">
      <c r="B82" s="11" t="s">
        <v>67</v>
      </c>
      <c r="C82" s="12">
        <f>INT(C76/4)</f>
        <v>4</v>
      </c>
      <c r="D82" s="13"/>
      <c r="E82" s="14">
        <f>INT(MOD(Ano,100)/4)</f>
        <v>4</v>
      </c>
    </row>
    <row r="83" spans="2:5" x14ac:dyDescent="0.2">
      <c r="B83" s="11" t="s">
        <v>68</v>
      </c>
      <c r="C83" s="12">
        <f>MOD(C76,4)</f>
        <v>3</v>
      </c>
      <c r="D83" s="13"/>
      <c r="E83" s="14">
        <f>MOD(MOD(Ano,100),4)</f>
        <v>3</v>
      </c>
    </row>
    <row r="84" spans="2:5" x14ac:dyDescent="0.2">
      <c r="B84" s="11" t="s">
        <v>74</v>
      </c>
      <c r="C84" s="12">
        <f>MOD(32+2*C78+2*C82-C81-C83,7)</f>
        <v>1</v>
      </c>
      <c r="D84" s="13"/>
      <c r="E84" s="14">
        <f>MOD(32+2*MOD(INT(Ano/100),4)+2*INT(MOD(Ano,100)/4)-MOD(19*MOD(Ano,19)+INT(Ano/100)-INT(INT(Ano/100)/4)-INT((INT(Ano/100)-INT((INT(Ano/100)+8)/25)+1)/3)+15,30)-MOD(MOD(Ano,100),4),7)</f>
        <v>1</v>
      </c>
    </row>
    <row r="85" spans="2:5" x14ac:dyDescent="0.2">
      <c r="B85" s="11" t="s">
        <v>75</v>
      </c>
      <c r="C85" s="12">
        <f>INT((C74+11*C81+22*C84)/451)</f>
        <v>0</v>
      </c>
      <c r="D85" s="13"/>
      <c r="E85" s="14">
        <f>INT((MOD(Ano,19)+11*MOD(19*MOD(Ano,19)+INT(Ano/100)-INT(INT(Ano/100)/4)-INT((INT(Ano/100)-INT((INT(Ano/100)+8)/25)+1)/3)+15,30)+22*MOD(32+2*MOD(INT(Ano/100),4)+2*INT(MOD(Ano,100)/4)-MOD(19*MOD(Ano,19)+INT(Ano/100)-INT(INT(Ano/100)/4)-INT((INT(Ano/100)-INT((INT(Ano/100)+8)/25)+1)/3)+15,30)-MOD(MOD(Ano,100),4),7))/451)</f>
        <v>0</v>
      </c>
    </row>
    <row r="86" spans="2:5" x14ac:dyDescent="0.2">
      <c r="B86" s="15" t="s">
        <v>76</v>
      </c>
      <c r="C86" s="16">
        <f>INT((C81+C84-7*C85+114)/31)</f>
        <v>4</v>
      </c>
      <c r="D86" s="13"/>
      <c r="E86" s="17">
        <f>INT((MOD(19*MOD(Ano,19)+INT(Ano/100)-INT(INT(Ano/100)/4)-INT((INT(Ano/100)-INT((INT(Ano/100)+8)/25)+1)/3)+15,30)+MOD(32+2*MOD(INT(Ano/100),4)+2*INT(MOD(Ano,100)/4)-MOD(19*MOD(Ano,19)+INT(Ano/100)-INT(INT(Ano/100)/4)-INT((INT(Ano/100)-INT((INT(Ano/100)+8)/25)+1)/3)+15,30)-MOD(MOD(Ano,100),4),7)-7*INT((MOD(Ano,19)+11*MOD(19*MOD(Ano,19)+INT(Ano/100)-INT(INT(Ano/100)/4)-INT((INT(Ano/100)-INT((INT(Ano/100)+8)/25)+1)/3)+15,30)+22*MOD(32+2*MOD(INT(Ano/100),4)+2*INT(MOD(Ano,100)/4)-MOD(19*MOD(Ano,19)+INT(Ano/100)-INT(INT(Ano/100)/4)-INT((INT(Ano/100)-INT((INT(Ano/100)+8)/25)+1)/3)+15,30)-MOD(MOD(Ano,100),4),7))/451)+114)/31)</f>
        <v>4</v>
      </c>
    </row>
    <row r="87" spans="2:5" ht="13.5" thickBot="1" x14ac:dyDescent="0.25">
      <c r="B87" s="18" t="s">
        <v>77</v>
      </c>
      <c r="C87" s="19">
        <f>MOD(C81+C84-7*C85+114,31)</f>
        <v>20</v>
      </c>
      <c r="D87" s="20"/>
      <c r="E87" s="21">
        <f>MOD(MOD(19*MOD(Ano,19)+INT(Ano/100)-INT(INT(Ano/100)/4)-INT((INT(Ano/100)-INT((INT(Ano/100)+8)/25)+1)/3)+15,30)+MOD(32+2*MOD(INT(Ano/100),4)+2*INT(MOD(Ano,100)/4)-MOD(19*MOD(Ano,19)+INT(Ano/100)-INT(INT(Ano/100)/4)-INT((INT(Ano/100)-INT((INT(Ano/100)+8)/25)+1)/3)+15,30)-MOD(MOD(Ano,100),4),7)-7*INT((MOD(Ano,19)+11*MOD(19*MOD(Ano,19)+INT(Ano/100)-INT(INT(Ano/100)/4)-INT((INT(Ano/100)-INT((INT(Ano/100)+8)/25)+1)/3)+15,30)+22*MOD(32+2*MOD(INT(Ano/100),4)+2*INT(MOD(Ano,100)/4)-MOD(19*MOD(Ano,19)+INT(Ano/100)-INT(INT(Ano/100)/4)-INT((INT(Ano/100)-INT((INT(Ano/100)+8)/25)+1)/3)+15,30)-MOD(MOD(Ano,100),4),7))/451)+114,31)</f>
        <v>20</v>
      </c>
    </row>
    <row r="88" spans="2:5" x14ac:dyDescent="0.2">
      <c r="B88" s="4"/>
      <c r="C88" s="4"/>
      <c r="D88" s="4"/>
    </row>
    <row r="89" spans="2:5" x14ac:dyDescent="0.2">
      <c r="B89" s="4"/>
      <c r="C89" s="10" t="s">
        <v>69</v>
      </c>
      <c r="D89" s="22">
        <f>C87+1</f>
        <v>21</v>
      </c>
    </row>
    <row r="90" spans="2:5" x14ac:dyDescent="0.2">
      <c r="B90" s="4"/>
      <c r="C90" s="10" t="s">
        <v>70</v>
      </c>
      <c r="D90" s="23">
        <f>C86</f>
        <v>4</v>
      </c>
    </row>
    <row r="92" spans="2:5" x14ac:dyDescent="0.2">
      <c r="B92" s="4"/>
      <c r="C92" s="4"/>
      <c r="D92" s="4"/>
    </row>
  </sheetData>
  <mergeCells count="3">
    <mergeCell ref="A55:A70"/>
    <mergeCell ref="A4:A38"/>
    <mergeCell ref="A39:A54"/>
  </mergeCells>
  <phoneticPr fontId="0" type="noConversion"/>
  <dataValidations count="1">
    <dataValidation type="list" allowBlank="1" showInputMessage="1" showErrorMessage="1" sqref="D4:D65 D67:D70">
      <formula1>"Fixo,Móvel"</formula1>
    </dataValidation>
  </dataValidations>
  <printOptions horizontalCentered="1"/>
  <pageMargins left="0.59055118110236227" right="0.59055118110236227" top="0.59055118110236227" bottom="0.59055118110236227" header="0.51181102362204722" footer="0.51181102362204722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Início</vt:lpstr>
      <vt:lpstr>Calendário</vt:lpstr>
      <vt:lpstr>Gestão de Férias</vt:lpstr>
      <vt:lpstr>Eventos</vt:lpstr>
      <vt:lpstr>Anual</vt:lpstr>
      <vt:lpstr>Valid</vt:lpstr>
      <vt:lpstr>Cadastro de Feriados</vt:lpstr>
      <vt:lpstr>_Brz1</vt:lpstr>
      <vt:lpstr>_Brz2</vt:lpstr>
      <vt:lpstr>_Brz3</vt:lpstr>
      <vt:lpstr>_Dia1</vt:lpstr>
      <vt:lpstr>Ano</vt:lpstr>
      <vt:lpstr>'Cadastro de Feriados'!Area_de_impressao</vt:lpstr>
      <vt:lpstr>Calendário!Area_de_impressao</vt:lpstr>
      <vt:lpstr>Brz1A</vt:lpstr>
      <vt:lpstr>Brz2A</vt:lpstr>
      <vt:lpstr>Brz3A</vt:lpstr>
      <vt:lpstr>BuscVaCorre</vt:lpstr>
      <vt:lpstr>DatCom</vt:lpstr>
      <vt:lpstr>Dias</vt:lpstr>
      <vt:lpstr>Dias_Anot</vt:lpstr>
      <vt:lpstr>Dias_Obs</vt:lpstr>
      <vt:lpstr>Exibir_Dat_Com</vt:lpstr>
      <vt:lpstr>Exibir_Fer_EUA</vt:lpstr>
      <vt:lpstr>Exibir_Fer_Nac</vt:lpstr>
      <vt:lpstr>FerEUA</vt:lpstr>
      <vt:lpstr>FerNac</vt:lpstr>
      <vt:lpstr>Folha</vt:lpstr>
      <vt:lpstr>Lista_Meses</vt:lpstr>
      <vt:lpstr>Mês</vt:lpstr>
      <vt:lpstr>P_Dia</vt:lpstr>
      <vt:lpstr>P_Mês</vt:lpstr>
      <vt:lpstr>Páscoa</vt:lpstr>
      <vt:lpstr>USA</vt:lpstr>
      <vt:lpstr>USAA</vt:lpstr>
      <vt:lpstr>validacao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Calendário Permanente 2.0</dc:title>
  <dc:subject>Planilha de calendário anual e mensal</dc:subject>
  <dc:creator>Fernando de Carvalho Navarro</dc:creator>
  <dc:description>Fernando.Navarro@fcn.eti.br_x000d_
fcnavarro@uol.com.br</dc:description>
  <cp:lastModifiedBy>Wilson Cavalcanti Marinho Falcao N</cp:lastModifiedBy>
  <cp:lastPrinted>2003-10-21T14:01:19Z</cp:lastPrinted>
  <dcterms:created xsi:type="dcterms:W3CDTF">2001-07-17T18:13:17Z</dcterms:created>
  <dcterms:modified xsi:type="dcterms:W3CDTF">2019-01-17T13:58:11Z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itor">
    <vt:lpwstr>Fernando de Carvalho Navarro</vt:lpwstr>
  </property>
  <property fmtid="{D5CDD505-2E9C-101B-9397-08002B2CF9AE}" pid="3" name="Idioma">
    <vt:lpwstr>Português</vt:lpwstr>
  </property>
  <property fmtid="{D5CDD505-2E9C-101B-9397-08002B2CF9AE}" pid="4" name="Objetivo">
    <vt:lpwstr>Criação de calendários</vt:lpwstr>
  </property>
  <property fmtid="{D5CDD505-2E9C-101B-9397-08002B2CF9AE}" pid="5" name="Projeto">
    <vt:lpwstr>Calendário Permanente</vt:lpwstr>
  </property>
  <property fmtid="{D5CDD505-2E9C-101B-9397-08002B2CF9AE}" pid="6" name="Proprietário">
    <vt:lpwstr>Fernando de Carvalho Navarro</vt:lpwstr>
  </property>
  <property fmtid="{D5CDD505-2E9C-101B-9397-08002B2CF9AE}" pid="7" name="_AdHocReviewCycleID">
    <vt:i4>-1360126202</vt:i4>
  </property>
  <property fmtid="{D5CDD505-2E9C-101B-9397-08002B2CF9AE}" pid="8" name="_EmailSubject">
    <vt:lpwstr>Calendário - versão 2.0</vt:lpwstr>
  </property>
  <property fmtid="{D5CDD505-2E9C-101B-9397-08002B2CF9AE}" pid="9" name="_AuthorEmail">
    <vt:lpwstr>fcnavarro@uol.com.br</vt:lpwstr>
  </property>
  <property fmtid="{D5CDD505-2E9C-101B-9397-08002B2CF9AE}" pid="10" name="_AuthorEmailDisplayName">
    <vt:lpwstr>Fernando de Carvalho Navarro</vt:lpwstr>
  </property>
  <property fmtid="{D5CDD505-2E9C-101B-9397-08002B2CF9AE}" pid="11" name="_ReviewingToolsShownOnce">
    <vt:lpwstr/>
  </property>
</Properties>
</file>