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ilson.falcao\Desktop\Trabalho Transporte\"/>
    </mc:Choice>
  </mc:AlternateContent>
  <bookViews>
    <workbookView xWindow="0" yWindow="0" windowWidth="24000" windowHeight="9735" activeTab="3"/>
  </bookViews>
  <sheets>
    <sheet name="MONITORAMENTO" sheetId="5" r:id="rId1"/>
    <sheet name="VALID" sheetId="6" state="hidden" r:id="rId2"/>
    <sheet name="--GESTÃO DE CONTRATOS--" sheetId="7" r:id="rId3"/>
    <sheet name="GESTÃO DE PAGAMENTOS" sheetId="8" r:id="rId4"/>
  </sheets>
  <definedNames>
    <definedName name="_xlnm._FilterDatabase" localSheetId="2" hidden="1">'--GESTÃO DE CONTRATOS--'!$B$14:$O$14</definedName>
    <definedName name="_xlnm._FilterDatabase" localSheetId="3" hidden="1">'GESTÃO DE PAGAMENTOS'!$A$9:$J$978</definedName>
    <definedName name="_xlnm._FilterDatabase" localSheetId="1" hidden="1">VALID!$AH$3:$AJ$41</definedName>
    <definedName name="Aditivo">VALID!$AA$2:$AA$9</definedName>
    <definedName name="_xlnm.Extract" localSheetId="1">VALID!$AK$3:$AM$41</definedName>
    <definedName name="_xlnm.Print_Area" localSheetId="2">'--GESTÃO DE CONTRATOS--'!$B$1:$Q$1074</definedName>
    <definedName name="carro_">#REF!</definedName>
    <definedName name="Contratos">VALID!#REF!</definedName>
    <definedName name="Contratosx">'--GESTÃO DE CONTRATOS--'!$E$13:$E$562</definedName>
    <definedName name="_xlnm.Criteria" localSheetId="1">VALID!$AE$5:$AE$6</definedName>
    <definedName name="Empresas">VALID!$AH$4:$AH$41</definedName>
    <definedName name="EmpresasContratos">'--GESTÃO DE CONTRATOS--'!#REF!</definedName>
    <definedName name="Gasto">VALID!$AJ$4:$AJ$41</definedName>
    <definedName name="LocaisLotacao">VALID!$T$3:$T$97</definedName>
    <definedName name="LocaisLotacao2">VALID!$T$3:$T$116</definedName>
    <definedName name="motorista_">#REF!</definedName>
    <definedName name="placa_">#REF!</definedName>
    <definedName name="SituacaoLancamento">VALID!$AC$2:$AC$11</definedName>
    <definedName name="Tempo">VALID!#REF!</definedName>
    <definedName name="ValidaSitual">VALID!$AB$2:$AB$11</definedName>
    <definedName name="ValorCont">VALID!$AI$4:$AI$41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20" i="6" l="1"/>
  <c r="AW21" i="6"/>
  <c r="AW22" i="6"/>
  <c r="AW23" i="6"/>
  <c r="AW24" i="6"/>
  <c r="AW25" i="6"/>
  <c r="AW26" i="6"/>
  <c r="AW27" i="6"/>
  <c r="AW28" i="6"/>
  <c r="AW29" i="6"/>
  <c r="AW19" i="6"/>
  <c r="N21" i="7" l="1"/>
  <c r="N22" i="7"/>
  <c r="N23" i="7"/>
  <c r="N24" i="7"/>
  <c r="N25" i="7"/>
  <c r="N26" i="7"/>
  <c r="N27" i="7"/>
  <c r="N563" i="7" l="1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AZ25" i="6" l="1"/>
  <c r="BA25" i="6" s="1"/>
  <c r="AZ26" i="6"/>
  <c r="BA26" i="6" s="1"/>
  <c r="AZ27" i="6"/>
  <c r="AZ28" i="6"/>
  <c r="AZ29" i="6"/>
  <c r="BA29" i="6" s="1"/>
  <c r="AZ19" i="6"/>
  <c r="BB19" i="6" s="1"/>
  <c r="AZ20" i="6"/>
  <c r="AZ21" i="6"/>
  <c r="AZ22" i="6"/>
  <c r="BA22" i="6" s="1"/>
  <c r="AZ23" i="6"/>
  <c r="AZ24" i="6"/>
  <c r="AX22" i="6"/>
  <c r="AX25" i="6"/>
  <c r="AX29" i="6"/>
  <c r="AX24" i="6" l="1"/>
  <c r="AX21" i="6"/>
  <c r="BA28" i="6"/>
  <c r="BA24" i="6"/>
  <c r="AX28" i="6"/>
  <c r="AX26" i="6"/>
  <c r="BA27" i="6"/>
  <c r="BB27" i="6"/>
  <c r="BA23" i="6"/>
  <c r="BB23" i="6"/>
  <c r="BB26" i="6"/>
  <c r="BB22" i="6"/>
  <c r="BB29" i="6"/>
  <c r="BB25" i="6"/>
  <c r="AX27" i="6"/>
  <c r="AX23" i="6"/>
  <c r="BB28" i="6"/>
  <c r="BB24" i="6"/>
  <c r="BA19" i="6"/>
  <c r="BA20" i="6"/>
  <c r="BB20" i="6"/>
  <c r="AF7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12" i="8"/>
  <c r="A13" i="8"/>
  <c r="A19" i="8"/>
  <c r="A20" i="8"/>
  <c r="A21" i="8"/>
  <c r="A22" i="8"/>
  <c r="A14" i="8"/>
  <c r="A15" i="8"/>
  <c r="A16" i="8"/>
  <c r="A17" i="8"/>
  <c r="A18" i="8"/>
  <c r="A11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0" i="8"/>
  <c r="BB21" i="6" l="1"/>
  <c r="BA21" i="6"/>
  <c r="N16" i="7"/>
  <c r="AX20" i="6" s="1"/>
  <c r="Q563" i="7"/>
  <c r="A18" i="7" l="1"/>
  <c r="P18" i="7" s="1"/>
  <c r="A17" i="7"/>
  <c r="P17" i="7" s="1"/>
  <c r="A16" i="7"/>
  <c r="P16" i="7" s="1"/>
  <c r="A15" i="7"/>
  <c r="P15" i="7" s="1"/>
  <c r="A39" i="7"/>
  <c r="P39" i="7" s="1"/>
  <c r="A38" i="7"/>
  <c r="P38" i="7" s="1"/>
  <c r="A37" i="7"/>
  <c r="P37" i="7" s="1"/>
  <c r="A36" i="7"/>
  <c r="P36" i="7" s="1"/>
  <c r="A35" i="7"/>
  <c r="P35" i="7" s="1"/>
  <c r="A34" i="7"/>
  <c r="P34" i="7" s="1"/>
  <c r="A33" i="7"/>
  <c r="P33" i="7" s="1"/>
  <c r="A32" i="7"/>
  <c r="P32" i="7" s="1"/>
  <c r="A31" i="7"/>
  <c r="P31" i="7" s="1"/>
  <c r="A30" i="7"/>
  <c r="P30" i="7" s="1"/>
  <c r="A29" i="7"/>
  <c r="A28" i="7"/>
  <c r="P28" i="7" s="1"/>
  <c r="A27" i="7"/>
  <c r="A26" i="7"/>
  <c r="P26" i="7" s="1"/>
  <c r="A25" i="7"/>
  <c r="A24" i="7"/>
  <c r="P24" i="7" s="1"/>
  <c r="A23" i="7"/>
  <c r="A22" i="7"/>
  <c r="P22" i="7" s="1"/>
  <c r="A21" i="7"/>
  <c r="AE2" i="6" l="1"/>
  <c r="P21" i="7"/>
  <c r="P25" i="7"/>
  <c r="P29" i="7"/>
  <c r="P23" i="7"/>
  <c r="P27" i="7"/>
  <c r="N15" i="7"/>
  <c r="AX19" i="6" s="1"/>
  <c r="AJ8" i="6" l="1"/>
  <c r="A20" i="7"/>
  <c r="P20" i="7" s="1"/>
  <c r="A19" i="7"/>
  <c r="P19" i="7" s="1"/>
  <c r="A40" i="7"/>
  <c r="A41" i="7"/>
  <c r="P41" i="7" s="1"/>
  <c r="A42" i="7"/>
  <c r="P42" i="7" s="1"/>
  <c r="A43" i="7"/>
  <c r="P43" i="7" s="1"/>
  <c r="A44" i="7"/>
  <c r="P44" i="7" s="1"/>
  <c r="A45" i="7"/>
  <c r="P45" i="7" s="1"/>
  <c r="A46" i="7"/>
  <c r="P46" i="7" s="1"/>
  <c r="A47" i="7"/>
  <c r="P47" i="7" s="1"/>
  <c r="A48" i="7"/>
  <c r="P48" i="7" s="1"/>
  <c r="A49" i="7"/>
  <c r="P49" i="7" s="1"/>
  <c r="A50" i="7"/>
  <c r="P50" i="7" s="1"/>
  <c r="A51" i="7"/>
  <c r="P51" i="7" s="1"/>
  <c r="A52" i="7"/>
  <c r="P52" i="7" s="1"/>
  <c r="A53" i="7"/>
  <c r="P53" i="7" s="1"/>
  <c r="A54" i="7"/>
  <c r="P54" i="7" s="1"/>
  <c r="A55" i="7"/>
  <c r="P55" i="7" s="1"/>
  <c r="A56" i="7"/>
  <c r="P56" i="7" s="1"/>
  <c r="A57" i="7"/>
  <c r="P57" i="7" s="1"/>
  <c r="A58" i="7"/>
  <c r="P58" i="7" s="1"/>
  <c r="A59" i="7"/>
  <c r="P59" i="7" s="1"/>
  <c r="A60" i="7"/>
  <c r="P60" i="7" s="1"/>
  <c r="A61" i="7"/>
  <c r="P61" i="7" s="1"/>
  <c r="A62" i="7"/>
  <c r="P62" i="7" s="1"/>
  <c r="A63" i="7"/>
  <c r="P63" i="7" s="1"/>
  <c r="A64" i="7"/>
  <c r="P64" i="7" s="1"/>
  <c r="A65" i="7"/>
  <c r="P65" i="7" s="1"/>
  <c r="A66" i="7"/>
  <c r="P66" i="7" s="1"/>
  <c r="A67" i="7"/>
  <c r="P67" i="7" s="1"/>
  <c r="A68" i="7"/>
  <c r="P68" i="7" s="1"/>
  <c r="A69" i="7"/>
  <c r="P69" i="7" s="1"/>
  <c r="A70" i="7"/>
  <c r="P70" i="7" s="1"/>
  <c r="A71" i="7"/>
  <c r="P71" i="7" s="1"/>
  <c r="A72" i="7"/>
  <c r="P72" i="7" s="1"/>
  <c r="A73" i="7"/>
  <c r="P73" i="7" s="1"/>
  <c r="A74" i="7"/>
  <c r="P74" i="7" s="1"/>
  <c r="A75" i="7"/>
  <c r="P75" i="7" s="1"/>
  <c r="A76" i="7"/>
  <c r="P76" i="7" s="1"/>
  <c r="A77" i="7"/>
  <c r="P77" i="7" s="1"/>
  <c r="A78" i="7"/>
  <c r="P78" i="7" s="1"/>
  <c r="A79" i="7"/>
  <c r="P79" i="7" s="1"/>
  <c r="A80" i="7"/>
  <c r="P80" i="7" s="1"/>
  <c r="A81" i="7"/>
  <c r="P81" i="7" s="1"/>
  <c r="A82" i="7"/>
  <c r="P82" i="7" s="1"/>
  <c r="A83" i="7"/>
  <c r="P83" i="7" s="1"/>
  <c r="A84" i="7"/>
  <c r="P84" i="7" s="1"/>
  <c r="A85" i="7"/>
  <c r="P85" i="7" s="1"/>
  <c r="A86" i="7"/>
  <c r="P86" i="7" s="1"/>
  <c r="A87" i="7"/>
  <c r="P87" i="7" s="1"/>
  <c r="A88" i="7"/>
  <c r="P88" i="7" s="1"/>
  <c r="A89" i="7"/>
  <c r="P89" i="7" s="1"/>
  <c r="A90" i="7"/>
  <c r="P90" i="7" s="1"/>
  <c r="A91" i="7"/>
  <c r="P91" i="7" s="1"/>
  <c r="A92" i="7"/>
  <c r="P92" i="7" s="1"/>
  <c r="A93" i="7"/>
  <c r="P93" i="7" s="1"/>
  <c r="A94" i="7"/>
  <c r="P94" i="7" s="1"/>
  <c r="A95" i="7"/>
  <c r="P95" i="7" s="1"/>
  <c r="A96" i="7"/>
  <c r="P96" i="7" s="1"/>
  <c r="A97" i="7"/>
  <c r="P97" i="7" s="1"/>
  <c r="A98" i="7"/>
  <c r="P98" i="7" s="1"/>
  <c r="A99" i="7"/>
  <c r="P99" i="7" s="1"/>
  <c r="A100" i="7"/>
  <c r="P100" i="7" s="1"/>
  <c r="A101" i="7"/>
  <c r="P101" i="7" s="1"/>
  <c r="A102" i="7"/>
  <c r="P102" i="7" s="1"/>
  <c r="A103" i="7"/>
  <c r="P103" i="7" s="1"/>
  <c r="A104" i="7"/>
  <c r="P104" i="7" s="1"/>
  <c r="A105" i="7"/>
  <c r="P105" i="7" s="1"/>
  <c r="A106" i="7"/>
  <c r="P106" i="7" s="1"/>
  <c r="A107" i="7"/>
  <c r="P107" i="7" s="1"/>
  <c r="A108" i="7"/>
  <c r="P108" i="7" s="1"/>
  <c r="A109" i="7"/>
  <c r="P109" i="7" s="1"/>
  <c r="A110" i="7"/>
  <c r="P110" i="7" s="1"/>
  <c r="A111" i="7"/>
  <c r="P111" i="7" s="1"/>
  <c r="A112" i="7"/>
  <c r="P112" i="7" s="1"/>
  <c r="A113" i="7"/>
  <c r="P113" i="7" s="1"/>
  <c r="A114" i="7"/>
  <c r="P114" i="7" s="1"/>
  <c r="A115" i="7"/>
  <c r="P115" i="7" s="1"/>
  <c r="A116" i="7"/>
  <c r="P116" i="7" s="1"/>
  <c r="A117" i="7"/>
  <c r="P117" i="7" s="1"/>
  <c r="A118" i="7"/>
  <c r="P118" i="7" s="1"/>
  <c r="A119" i="7"/>
  <c r="P119" i="7" s="1"/>
  <c r="A120" i="7"/>
  <c r="P120" i="7" s="1"/>
  <c r="A121" i="7"/>
  <c r="P121" i="7" s="1"/>
  <c r="A122" i="7"/>
  <c r="P122" i="7" s="1"/>
  <c r="A123" i="7"/>
  <c r="P123" i="7" s="1"/>
  <c r="A124" i="7"/>
  <c r="P124" i="7" s="1"/>
  <c r="A125" i="7"/>
  <c r="P125" i="7" s="1"/>
  <c r="A126" i="7"/>
  <c r="P126" i="7" s="1"/>
  <c r="A127" i="7"/>
  <c r="P127" i="7" s="1"/>
  <c r="A128" i="7"/>
  <c r="P128" i="7" s="1"/>
  <c r="A129" i="7"/>
  <c r="P129" i="7" s="1"/>
  <c r="A130" i="7"/>
  <c r="P130" i="7" s="1"/>
  <c r="A131" i="7"/>
  <c r="P131" i="7" s="1"/>
  <c r="A132" i="7"/>
  <c r="P132" i="7" s="1"/>
  <c r="A133" i="7"/>
  <c r="P133" i="7" s="1"/>
  <c r="A134" i="7"/>
  <c r="P134" i="7" s="1"/>
  <c r="A135" i="7"/>
  <c r="P135" i="7" s="1"/>
  <c r="A136" i="7"/>
  <c r="P136" i="7" s="1"/>
  <c r="A137" i="7"/>
  <c r="P137" i="7" s="1"/>
  <c r="A138" i="7"/>
  <c r="P138" i="7" s="1"/>
  <c r="A139" i="7"/>
  <c r="P139" i="7" s="1"/>
  <c r="A140" i="7"/>
  <c r="P140" i="7" s="1"/>
  <c r="A141" i="7"/>
  <c r="P141" i="7" s="1"/>
  <c r="A142" i="7"/>
  <c r="P142" i="7" s="1"/>
  <c r="A143" i="7"/>
  <c r="P143" i="7" s="1"/>
  <c r="A144" i="7"/>
  <c r="P144" i="7" s="1"/>
  <c r="A145" i="7"/>
  <c r="P145" i="7" s="1"/>
  <c r="A146" i="7"/>
  <c r="P146" i="7" s="1"/>
  <c r="A147" i="7"/>
  <c r="P147" i="7" s="1"/>
  <c r="A148" i="7"/>
  <c r="P148" i="7" s="1"/>
  <c r="A149" i="7"/>
  <c r="P149" i="7" s="1"/>
  <c r="A150" i="7"/>
  <c r="P150" i="7" s="1"/>
  <c r="A151" i="7"/>
  <c r="P151" i="7" s="1"/>
  <c r="A152" i="7"/>
  <c r="P152" i="7" s="1"/>
  <c r="A153" i="7"/>
  <c r="P153" i="7" s="1"/>
  <c r="A154" i="7"/>
  <c r="P154" i="7" s="1"/>
  <c r="A155" i="7"/>
  <c r="P155" i="7" s="1"/>
  <c r="A156" i="7"/>
  <c r="P156" i="7" s="1"/>
  <c r="A157" i="7"/>
  <c r="P157" i="7" s="1"/>
  <c r="A158" i="7"/>
  <c r="P158" i="7" s="1"/>
  <c r="A159" i="7"/>
  <c r="P159" i="7" s="1"/>
  <c r="A160" i="7"/>
  <c r="P160" i="7" s="1"/>
  <c r="A161" i="7"/>
  <c r="P161" i="7" s="1"/>
  <c r="A162" i="7"/>
  <c r="P162" i="7" s="1"/>
  <c r="A163" i="7"/>
  <c r="P163" i="7" s="1"/>
  <c r="A164" i="7"/>
  <c r="P164" i="7" s="1"/>
  <c r="A165" i="7"/>
  <c r="P165" i="7" s="1"/>
  <c r="A166" i="7"/>
  <c r="P166" i="7" s="1"/>
  <c r="A167" i="7"/>
  <c r="P167" i="7" s="1"/>
  <c r="A168" i="7"/>
  <c r="P168" i="7" s="1"/>
  <c r="A169" i="7"/>
  <c r="P169" i="7" s="1"/>
  <c r="A170" i="7"/>
  <c r="P170" i="7" s="1"/>
  <c r="A171" i="7"/>
  <c r="P171" i="7" s="1"/>
  <c r="A172" i="7"/>
  <c r="P172" i="7" s="1"/>
  <c r="A173" i="7"/>
  <c r="P173" i="7" s="1"/>
  <c r="A174" i="7"/>
  <c r="P174" i="7" s="1"/>
  <c r="A175" i="7"/>
  <c r="P175" i="7" s="1"/>
  <c r="A176" i="7"/>
  <c r="P176" i="7" s="1"/>
  <c r="A177" i="7"/>
  <c r="P177" i="7" s="1"/>
  <c r="A178" i="7"/>
  <c r="P178" i="7" s="1"/>
  <c r="A179" i="7"/>
  <c r="P179" i="7" s="1"/>
  <c r="A180" i="7"/>
  <c r="P180" i="7" s="1"/>
  <c r="A181" i="7"/>
  <c r="P181" i="7" s="1"/>
  <c r="A182" i="7"/>
  <c r="P182" i="7" s="1"/>
  <c r="A183" i="7"/>
  <c r="P183" i="7" s="1"/>
  <c r="A184" i="7"/>
  <c r="P184" i="7" s="1"/>
  <c r="A185" i="7"/>
  <c r="P185" i="7" s="1"/>
  <c r="A186" i="7"/>
  <c r="P186" i="7" s="1"/>
  <c r="A187" i="7"/>
  <c r="P187" i="7" s="1"/>
  <c r="A188" i="7"/>
  <c r="P188" i="7" s="1"/>
  <c r="A189" i="7"/>
  <c r="P189" i="7" s="1"/>
  <c r="A190" i="7"/>
  <c r="P190" i="7" s="1"/>
  <c r="A191" i="7"/>
  <c r="P191" i="7" s="1"/>
  <c r="A192" i="7"/>
  <c r="P192" i="7" s="1"/>
  <c r="A193" i="7"/>
  <c r="P193" i="7" s="1"/>
  <c r="A194" i="7"/>
  <c r="P194" i="7" s="1"/>
  <c r="A195" i="7"/>
  <c r="P195" i="7" s="1"/>
  <c r="A196" i="7"/>
  <c r="P196" i="7" s="1"/>
  <c r="A197" i="7"/>
  <c r="P197" i="7" s="1"/>
  <c r="A198" i="7"/>
  <c r="P198" i="7" s="1"/>
  <c r="A199" i="7"/>
  <c r="P199" i="7" s="1"/>
  <c r="A200" i="7"/>
  <c r="P200" i="7" s="1"/>
  <c r="A201" i="7"/>
  <c r="P201" i="7" s="1"/>
  <c r="A202" i="7"/>
  <c r="P202" i="7" s="1"/>
  <c r="A203" i="7"/>
  <c r="P203" i="7" s="1"/>
  <c r="A204" i="7"/>
  <c r="P204" i="7" s="1"/>
  <c r="A205" i="7"/>
  <c r="P205" i="7" s="1"/>
  <c r="A206" i="7"/>
  <c r="P206" i="7" s="1"/>
  <c r="A207" i="7"/>
  <c r="P207" i="7" s="1"/>
  <c r="A208" i="7"/>
  <c r="P208" i="7" s="1"/>
  <c r="A209" i="7"/>
  <c r="P209" i="7" s="1"/>
  <c r="A210" i="7"/>
  <c r="P210" i="7" s="1"/>
  <c r="A211" i="7"/>
  <c r="P211" i="7" s="1"/>
  <c r="A212" i="7"/>
  <c r="P212" i="7" s="1"/>
  <c r="A213" i="7"/>
  <c r="P213" i="7" s="1"/>
  <c r="A214" i="7"/>
  <c r="P214" i="7" s="1"/>
  <c r="A215" i="7"/>
  <c r="P215" i="7" s="1"/>
  <c r="A216" i="7"/>
  <c r="P216" i="7" s="1"/>
  <c r="A217" i="7"/>
  <c r="P217" i="7" s="1"/>
  <c r="A218" i="7"/>
  <c r="P218" i="7" s="1"/>
  <c r="A219" i="7"/>
  <c r="P219" i="7" s="1"/>
  <c r="A220" i="7"/>
  <c r="P220" i="7" s="1"/>
  <c r="A221" i="7"/>
  <c r="P221" i="7" s="1"/>
  <c r="A222" i="7"/>
  <c r="P222" i="7" s="1"/>
  <c r="A223" i="7"/>
  <c r="P223" i="7" s="1"/>
  <c r="A224" i="7"/>
  <c r="P224" i="7" s="1"/>
  <c r="A225" i="7"/>
  <c r="P225" i="7" s="1"/>
  <c r="A226" i="7"/>
  <c r="P226" i="7" s="1"/>
  <c r="A227" i="7"/>
  <c r="P227" i="7" s="1"/>
  <c r="A228" i="7"/>
  <c r="P228" i="7" s="1"/>
  <c r="A229" i="7"/>
  <c r="P229" i="7" s="1"/>
  <c r="A230" i="7"/>
  <c r="P230" i="7" s="1"/>
  <c r="A231" i="7"/>
  <c r="P231" i="7" s="1"/>
  <c r="A232" i="7"/>
  <c r="P232" i="7" s="1"/>
  <c r="A233" i="7"/>
  <c r="P233" i="7" s="1"/>
  <c r="A234" i="7"/>
  <c r="P234" i="7" s="1"/>
  <c r="A235" i="7"/>
  <c r="P235" i="7" s="1"/>
  <c r="A236" i="7"/>
  <c r="P236" i="7" s="1"/>
  <c r="A237" i="7"/>
  <c r="P237" i="7" s="1"/>
  <c r="A238" i="7"/>
  <c r="P238" i="7" s="1"/>
  <c r="A239" i="7"/>
  <c r="P239" i="7" s="1"/>
  <c r="A240" i="7"/>
  <c r="P240" i="7" s="1"/>
  <c r="A241" i="7"/>
  <c r="P241" i="7" s="1"/>
  <c r="A242" i="7"/>
  <c r="P242" i="7" s="1"/>
  <c r="A243" i="7"/>
  <c r="P243" i="7" s="1"/>
  <c r="A244" i="7"/>
  <c r="P244" i="7" s="1"/>
  <c r="A245" i="7"/>
  <c r="P245" i="7" s="1"/>
  <c r="A246" i="7"/>
  <c r="P246" i="7" s="1"/>
  <c r="A247" i="7"/>
  <c r="P247" i="7" s="1"/>
  <c r="A248" i="7"/>
  <c r="P248" i="7" s="1"/>
  <c r="A249" i="7"/>
  <c r="P249" i="7" s="1"/>
  <c r="A250" i="7"/>
  <c r="P250" i="7" s="1"/>
  <c r="A251" i="7"/>
  <c r="P251" i="7" s="1"/>
  <c r="A252" i="7"/>
  <c r="P252" i="7" s="1"/>
  <c r="A253" i="7"/>
  <c r="P253" i="7" s="1"/>
  <c r="A254" i="7"/>
  <c r="P254" i="7" s="1"/>
  <c r="A255" i="7"/>
  <c r="P255" i="7" s="1"/>
  <c r="A256" i="7"/>
  <c r="P256" i="7" s="1"/>
  <c r="A257" i="7"/>
  <c r="P257" i="7" s="1"/>
  <c r="A258" i="7"/>
  <c r="P258" i="7" s="1"/>
  <c r="A259" i="7"/>
  <c r="P259" i="7" s="1"/>
  <c r="A260" i="7"/>
  <c r="P260" i="7" s="1"/>
  <c r="A261" i="7"/>
  <c r="P261" i="7" s="1"/>
  <c r="A262" i="7"/>
  <c r="P262" i="7" s="1"/>
  <c r="A263" i="7"/>
  <c r="P263" i="7" s="1"/>
  <c r="A264" i="7"/>
  <c r="P264" i="7" s="1"/>
  <c r="A265" i="7"/>
  <c r="P265" i="7" s="1"/>
  <c r="A266" i="7"/>
  <c r="P266" i="7" s="1"/>
  <c r="A267" i="7"/>
  <c r="P267" i="7" s="1"/>
  <c r="A268" i="7"/>
  <c r="P268" i="7" s="1"/>
  <c r="A269" i="7"/>
  <c r="P269" i="7" s="1"/>
  <c r="A270" i="7"/>
  <c r="P270" i="7" s="1"/>
  <c r="A271" i="7"/>
  <c r="P271" i="7" s="1"/>
  <c r="A272" i="7"/>
  <c r="P272" i="7" s="1"/>
  <c r="A273" i="7"/>
  <c r="P273" i="7" s="1"/>
  <c r="A274" i="7"/>
  <c r="P274" i="7" s="1"/>
  <c r="A275" i="7"/>
  <c r="P275" i="7" s="1"/>
  <c r="A276" i="7"/>
  <c r="P276" i="7" s="1"/>
  <c r="A277" i="7"/>
  <c r="P277" i="7" s="1"/>
  <c r="A278" i="7"/>
  <c r="P278" i="7" s="1"/>
  <c r="A279" i="7"/>
  <c r="P279" i="7" s="1"/>
  <c r="A280" i="7"/>
  <c r="P280" i="7" s="1"/>
  <c r="A281" i="7"/>
  <c r="P281" i="7" s="1"/>
  <c r="A282" i="7"/>
  <c r="P282" i="7" s="1"/>
  <c r="A283" i="7"/>
  <c r="P283" i="7" s="1"/>
  <c r="A284" i="7"/>
  <c r="P284" i="7" s="1"/>
  <c r="A285" i="7"/>
  <c r="P285" i="7" s="1"/>
  <c r="A286" i="7"/>
  <c r="P286" i="7" s="1"/>
  <c r="A287" i="7"/>
  <c r="P287" i="7" s="1"/>
  <c r="A288" i="7"/>
  <c r="P288" i="7" s="1"/>
  <c r="A289" i="7"/>
  <c r="P289" i="7" s="1"/>
  <c r="A290" i="7"/>
  <c r="P290" i="7" s="1"/>
  <c r="A291" i="7"/>
  <c r="P291" i="7" s="1"/>
  <c r="A292" i="7"/>
  <c r="P292" i="7" s="1"/>
  <c r="A293" i="7"/>
  <c r="P293" i="7" s="1"/>
  <c r="A294" i="7"/>
  <c r="P294" i="7" s="1"/>
  <c r="A295" i="7"/>
  <c r="P295" i="7" s="1"/>
  <c r="A296" i="7"/>
  <c r="P296" i="7" s="1"/>
  <c r="A297" i="7"/>
  <c r="P297" i="7" s="1"/>
  <c r="A298" i="7"/>
  <c r="P298" i="7" s="1"/>
  <c r="A299" i="7"/>
  <c r="P299" i="7" s="1"/>
  <c r="A300" i="7"/>
  <c r="P300" i="7" s="1"/>
  <c r="A301" i="7"/>
  <c r="P301" i="7" s="1"/>
  <c r="A302" i="7"/>
  <c r="P302" i="7" s="1"/>
  <c r="A303" i="7"/>
  <c r="P303" i="7" s="1"/>
  <c r="A304" i="7"/>
  <c r="P304" i="7" s="1"/>
  <c r="A305" i="7"/>
  <c r="P305" i="7" s="1"/>
  <c r="A306" i="7"/>
  <c r="P306" i="7" s="1"/>
  <c r="A307" i="7"/>
  <c r="P307" i="7" s="1"/>
  <c r="A308" i="7"/>
  <c r="P308" i="7" s="1"/>
  <c r="A309" i="7"/>
  <c r="P309" i="7" s="1"/>
  <c r="A310" i="7"/>
  <c r="P310" i="7" s="1"/>
  <c r="A311" i="7"/>
  <c r="P311" i="7" s="1"/>
  <c r="A312" i="7"/>
  <c r="P312" i="7" s="1"/>
  <c r="A313" i="7"/>
  <c r="P313" i="7" s="1"/>
  <c r="A314" i="7"/>
  <c r="P314" i="7" s="1"/>
  <c r="A315" i="7"/>
  <c r="P315" i="7" s="1"/>
  <c r="A316" i="7"/>
  <c r="P316" i="7" s="1"/>
  <c r="A317" i="7"/>
  <c r="P317" i="7" s="1"/>
  <c r="A318" i="7"/>
  <c r="P318" i="7" s="1"/>
  <c r="A319" i="7"/>
  <c r="P319" i="7" s="1"/>
  <c r="A320" i="7"/>
  <c r="P320" i="7" s="1"/>
  <c r="A321" i="7"/>
  <c r="P321" i="7" s="1"/>
  <c r="A322" i="7"/>
  <c r="P322" i="7" s="1"/>
  <c r="A323" i="7"/>
  <c r="P323" i="7" s="1"/>
  <c r="A324" i="7"/>
  <c r="P324" i="7" s="1"/>
  <c r="A325" i="7"/>
  <c r="P325" i="7" s="1"/>
  <c r="A326" i="7"/>
  <c r="P326" i="7" s="1"/>
  <c r="A327" i="7"/>
  <c r="P327" i="7" s="1"/>
  <c r="A328" i="7"/>
  <c r="P328" i="7" s="1"/>
  <c r="A329" i="7"/>
  <c r="P329" i="7" s="1"/>
  <c r="A330" i="7"/>
  <c r="P330" i="7" s="1"/>
  <c r="A331" i="7"/>
  <c r="P331" i="7" s="1"/>
  <c r="A332" i="7"/>
  <c r="P332" i="7" s="1"/>
  <c r="A333" i="7"/>
  <c r="P333" i="7" s="1"/>
  <c r="A334" i="7"/>
  <c r="P334" i="7" s="1"/>
  <c r="A335" i="7"/>
  <c r="P335" i="7" s="1"/>
  <c r="A336" i="7"/>
  <c r="P336" i="7" s="1"/>
  <c r="A337" i="7"/>
  <c r="P337" i="7" s="1"/>
  <c r="A338" i="7"/>
  <c r="P338" i="7" s="1"/>
  <c r="A339" i="7"/>
  <c r="P339" i="7" s="1"/>
  <c r="A340" i="7"/>
  <c r="P340" i="7" s="1"/>
  <c r="A341" i="7"/>
  <c r="P341" i="7" s="1"/>
  <c r="A342" i="7"/>
  <c r="P342" i="7" s="1"/>
  <c r="A343" i="7"/>
  <c r="P343" i="7" s="1"/>
  <c r="A344" i="7"/>
  <c r="P344" i="7" s="1"/>
  <c r="A345" i="7"/>
  <c r="P345" i="7" s="1"/>
  <c r="A346" i="7"/>
  <c r="P346" i="7" s="1"/>
  <c r="A347" i="7"/>
  <c r="P347" i="7" s="1"/>
  <c r="A348" i="7"/>
  <c r="P348" i="7" s="1"/>
  <c r="A349" i="7"/>
  <c r="P349" i="7" s="1"/>
  <c r="A350" i="7"/>
  <c r="P350" i="7" s="1"/>
  <c r="A351" i="7"/>
  <c r="P351" i="7" s="1"/>
  <c r="A352" i="7"/>
  <c r="P352" i="7" s="1"/>
  <c r="A353" i="7"/>
  <c r="P353" i="7" s="1"/>
  <c r="A354" i="7"/>
  <c r="P354" i="7" s="1"/>
  <c r="A355" i="7"/>
  <c r="P355" i="7" s="1"/>
  <c r="A356" i="7"/>
  <c r="P356" i="7" s="1"/>
  <c r="A357" i="7"/>
  <c r="P357" i="7" s="1"/>
  <c r="A358" i="7"/>
  <c r="P358" i="7" s="1"/>
  <c r="A359" i="7"/>
  <c r="P359" i="7" s="1"/>
  <c r="A360" i="7"/>
  <c r="P360" i="7" s="1"/>
  <c r="A361" i="7"/>
  <c r="P361" i="7" s="1"/>
  <c r="A362" i="7"/>
  <c r="P362" i="7" s="1"/>
  <c r="A363" i="7"/>
  <c r="P363" i="7" s="1"/>
  <c r="A364" i="7"/>
  <c r="P364" i="7" s="1"/>
  <c r="A365" i="7"/>
  <c r="P365" i="7" s="1"/>
  <c r="A366" i="7"/>
  <c r="P366" i="7" s="1"/>
  <c r="A367" i="7"/>
  <c r="P367" i="7" s="1"/>
  <c r="A368" i="7"/>
  <c r="P368" i="7" s="1"/>
  <c r="A369" i="7"/>
  <c r="P369" i="7" s="1"/>
  <c r="A370" i="7"/>
  <c r="P370" i="7" s="1"/>
  <c r="A371" i="7"/>
  <c r="P371" i="7" s="1"/>
  <c r="A372" i="7"/>
  <c r="P372" i="7" s="1"/>
  <c r="A373" i="7"/>
  <c r="P373" i="7" s="1"/>
  <c r="A374" i="7"/>
  <c r="P374" i="7" s="1"/>
  <c r="A375" i="7"/>
  <c r="P375" i="7" s="1"/>
  <c r="A376" i="7"/>
  <c r="P376" i="7" s="1"/>
  <c r="A377" i="7"/>
  <c r="P377" i="7" s="1"/>
  <c r="A378" i="7"/>
  <c r="P378" i="7" s="1"/>
  <c r="A379" i="7"/>
  <c r="P379" i="7" s="1"/>
  <c r="A380" i="7"/>
  <c r="P380" i="7" s="1"/>
  <c r="A381" i="7"/>
  <c r="P381" i="7" s="1"/>
  <c r="A382" i="7"/>
  <c r="P382" i="7" s="1"/>
  <c r="A383" i="7"/>
  <c r="P383" i="7" s="1"/>
  <c r="A384" i="7"/>
  <c r="P384" i="7" s="1"/>
  <c r="A385" i="7"/>
  <c r="P385" i="7" s="1"/>
  <c r="A386" i="7"/>
  <c r="P386" i="7" s="1"/>
  <c r="A387" i="7"/>
  <c r="P387" i="7" s="1"/>
  <c r="A388" i="7"/>
  <c r="P388" i="7" s="1"/>
  <c r="A389" i="7"/>
  <c r="P389" i="7" s="1"/>
  <c r="A390" i="7"/>
  <c r="P390" i="7" s="1"/>
  <c r="A391" i="7"/>
  <c r="P391" i="7" s="1"/>
  <c r="A392" i="7"/>
  <c r="P392" i="7" s="1"/>
  <c r="A393" i="7"/>
  <c r="P393" i="7" s="1"/>
  <c r="A394" i="7"/>
  <c r="P394" i="7" s="1"/>
  <c r="A395" i="7"/>
  <c r="P395" i="7" s="1"/>
  <c r="A396" i="7"/>
  <c r="P396" i="7" s="1"/>
  <c r="A397" i="7"/>
  <c r="P397" i="7" s="1"/>
  <c r="A398" i="7"/>
  <c r="P398" i="7" s="1"/>
  <c r="A399" i="7"/>
  <c r="P399" i="7" s="1"/>
  <c r="A400" i="7"/>
  <c r="P400" i="7" s="1"/>
  <c r="A401" i="7"/>
  <c r="P401" i="7" s="1"/>
  <c r="A402" i="7"/>
  <c r="P402" i="7" s="1"/>
  <c r="A403" i="7"/>
  <c r="P403" i="7" s="1"/>
  <c r="A404" i="7"/>
  <c r="P404" i="7" s="1"/>
  <c r="A405" i="7"/>
  <c r="P405" i="7" s="1"/>
  <c r="A406" i="7"/>
  <c r="P406" i="7" s="1"/>
  <c r="A407" i="7"/>
  <c r="P407" i="7" s="1"/>
  <c r="A408" i="7"/>
  <c r="P408" i="7" s="1"/>
  <c r="A409" i="7"/>
  <c r="P409" i="7" s="1"/>
  <c r="A410" i="7"/>
  <c r="P410" i="7" s="1"/>
  <c r="A411" i="7"/>
  <c r="P411" i="7" s="1"/>
  <c r="A412" i="7"/>
  <c r="P412" i="7" s="1"/>
  <c r="A413" i="7"/>
  <c r="P413" i="7" s="1"/>
  <c r="A414" i="7"/>
  <c r="P414" i="7" s="1"/>
  <c r="A415" i="7"/>
  <c r="P415" i="7" s="1"/>
  <c r="A416" i="7"/>
  <c r="P416" i="7" s="1"/>
  <c r="A417" i="7"/>
  <c r="P417" i="7" s="1"/>
  <c r="A418" i="7"/>
  <c r="P418" i="7" s="1"/>
  <c r="A419" i="7"/>
  <c r="P419" i="7" s="1"/>
  <c r="A420" i="7"/>
  <c r="P420" i="7" s="1"/>
  <c r="A421" i="7"/>
  <c r="P421" i="7" s="1"/>
  <c r="A422" i="7"/>
  <c r="P422" i="7" s="1"/>
  <c r="A423" i="7"/>
  <c r="P423" i="7" s="1"/>
  <c r="A424" i="7"/>
  <c r="P424" i="7" s="1"/>
  <c r="A425" i="7"/>
  <c r="P425" i="7" s="1"/>
  <c r="A426" i="7"/>
  <c r="P426" i="7" s="1"/>
  <c r="A427" i="7"/>
  <c r="P427" i="7" s="1"/>
  <c r="A428" i="7"/>
  <c r="P428" i="7" s="1"/>
  <c r="A429" i="7"/>
  <c r="P429" i="7" s="1"/>
  <c r="A430" i="7"/>
  <c r="P430" i="7" s="1"/>
  <c r="A431" i="7"/>
  <c r="P431" i="7" s="1"/>
  <c r="A432" i="7"/>
  <c r="P432" i="7" s="1"/>
  <c r="A433" i="7"/>
  <c r="P433" i="7" s="1"/>
  <c r="A434" i="7"/>
  <c r="P434" i="7" s="1"/>
  <c r="A435" i="7"/>
  <c r="P435" i="7" s="1"/>
  <c r="A436" i="7"/>
  <c r="P436" i="7" s="1"/>
  <c r="A437" i="7"/>
  <c r="P437" i="7" s="1"/>
  <c r="A438" i="7"/>
  <c r="P438" i="7" s="1"/>
  <c r="A439" i="7"/>
  <c r="P439" i="7" s="1"/>
  <c r="A440" i="7"/>
  <c r="P440" i="7" s="1"/>
  <c r="A441" i="7"/>
  <c r="P441" i="7" s="1"/>
  <c r="A442" i="7"/>
  <c r="P442" i="7" s="1"/>
  <c r="A443" i="7"/>
  <c r="P443" i="7" s="1"/>
  <c r="A444" i="7"/>
  <c r="P444" i="7" s="1"/>
  <c r="A445" i="7"/>
  <c r="P445" i="7" s="1"/>
  <c r="A446" i="7"/>
  <c r="P446" i="7" s="1"/>
  <c r="A447" i="7"/>
  <c r="P447" i="7" s="1"/>
  <c r="A448" i="7"/>
  <c r="P448" i="7" s="1"/>
  <c r="A449" i="7"/>
  <c r="P449" i="7" s="1"/>
  <c r="A450" i="7"/>
  <c r="P450" i="7" s="1"/>
  <c r="A451" i="7"/>
  <c r="P451" i="7" s="1"/>
  <c r="A452" i="7"/>
  <c r="P452" i="7" s="1"/>
  <c r="A453" i="7"/>
  <c r="P453" i="7" s="1"/>
  <c r="A454" i="7"/>
  <c r="P454" i="7" s="1"/>
  <c r="A455" i="7"/>
  <c r="P455" i="7" s="1"/>
  <c r="A456" i="7"/>
  <c r="P456" i="7" s="1"/>
  <c r="A457" i="7"/>
  <c r="P457" i="7" s="1"/>
  <c r="A458" i="7"/>
  <c r="P458" i="7" s="1"/>
  <c r="A459" i="7"/>
  <c r="P459" i="7" s="1"/>
  <c r="A460" i="7"/>
  <c r="P460" i="7" s="1"/>
  <c r="A461" i="7"/>
  <c r="P461" i="7" s="1"/>
  <c r="A462" i="7"/>
  <c r="P462" i="7" s="1"/>
  <c r="A463" i="7"/>
  <c r="P463" i="7" s="1"/>
  <c r="A464" i="7"/>
  <c r="P464" i="7" s="1"/>
  <c r="A465" i="7"/>
  <c r="P465" i="7" s="1"/>
  <c r="A466" i="7"/>
  <c r="P466" i="7" s="1"/>
  <c r="A467" i="7"/>
  <c r="P467" i="7" s="1"/>
  <c r="A468" i="7"/>
  <c r="P468" i="7" s="1"/>
  <c r="A469" i="7"/>
  <c r="P469" i="7" s="1"/>
  <c r="A470" i="7"/>
  <c r="P470" i="7" s="1"/>
  <c r="A471" i="7"/>
  <c r="P471" i="7" s="1"/>
  <c r="A472" i="7"/>
  <c r="P472" i="7" s="1"/>
  <c r="A473" i="7"/>
  <c r="P473" i="7" s="1"/>
  <c r="A474" i="7"/>
  <c r="P474" i="7" s="1"/>
  <c r="A475" i="7"/>
  <c r="P475" i="7" s="1"/>
  <c r="A476" i="7"/>
  <c r="P476" i="7" s="1"/>
  <c r="A477" i="7"/>
  <c r="P477" i="7" s="1"/>
  <c r="A478" i="7"/>
  <c r="P478" i="7" s="1"/>
  <c r="A479" i="7"/>
  <c r="P479" i="7" s="1"/>
  <c r="A480" i="7"/>
  <c r="P480" i="7" s="1"/>
  <c r="A481" i="7"/>
  <c r="P481" i="7" s="1"/>
  <c r="A482" i="7"/>
  <c r="P482" i="7" s="1"/>
  <c r="A483" i="7"/>
  <c r="P483" i="7" s="1"/>
  <c r="A484" i="7"/>
  <c r="P484" i="7" s="1"/>
  <c r="A485" i="7"/>
  <c r="P485" i="7" s="1"/>
  <c r="A486" i="7"/>
  <c r="P486" i="7" s="1"/>
  <c r="A487" i="7"/>
  <c r="P487" i="7" s="1"/>
  <c r="A488" i="7"/>
  <c r="P488" i="7" s="1"/>
  <c r="A489" i="7"/>
  <c r="P489" i="7" s="1"/>
  <c r="A490" i="7"/>
  <c r="P490" i="7" s="1"/>
  <c r="A491" i="7"/>
  <c r="P491" i="7" s="1"/>
  <c r="A492" i="7"/>
  <c r="P492" i="7" s="1"/>
  <c r="A493" i="7"/>
  <c r="P493" i="7" s="1"/>
  <c r="A494" i="7"/>
  <c r="P494" i="7" s="1"/>
  <c r="A495" i="7"/>
  <c r="P495" i="7" s="1"/>
  <c r="A496" i="7"/>
  <c r="P496" i="7" s="1"/>
  <c r="A497" i="7"/>
  <c r="P497" i="7" s="1"/>
  <c r="A498" i="7"/>
  <c r="P498" i="7" s="1"/>
  <c r="A499" i="7"/>
  <c r="P499" i="7" s="1"/>
  <c r="A500" i="7"/>
  <c r="P500" i="7" s="1"/>
  <c r="A501" i="7"/>
  <c r="P501" i="7" s="1"/>
  <c r="A502" i="7"/>
  <c r="P502" i="7" s="1"/>
  <c r="A503" i="7"/>
  <c r="P503" i="7" s="1"/>
  <c r="A504" i="7"/>
  <c r="P504" i="7" s="1"/>
  <c r="A505" i="7"/>
  <c r="P505" i="7" s="1"/>
  <c r="A506" i="7"/>
  <c r="P506" i="7" s="1"/>
  <c r="A507" i="7"/>
  <c r="P507" i="7" s="1"/>
  <c r="A508" i="7"/>
  <c r="P508" i="7" s="1"/>
  <c r="A509" i="7"/>
  <c r="P509" i="7" s="1"/>
  <c r="A510" i="7"/>
  <c r="P510" i="7" s="1"/>
  <c r="A511" i="7"/>
  <c r="P511" i="7" s="1"/>
  <c r="A512" i="7"/>
  <c r="P512" i="7" s="1"/>
  <c r="A513" i="7"/>
  <c r="P513" i="7" s="1"/>
  <c r="A514" i="7"/>
  <c r="P514" i="7" s="1"/>
  <c r="A515" i="7"/>
  <c r="P515" i="7" s="1"/>
  <c r="A516" i="7"/>
  <c r="P516" i="7" s="1"/>
  <c r="A517" i="7"/>
  <c r="P517" i="7" s="1"/>
  <c r="A518" i="7"/>
  <c r="P518" i="7" s="1"/>
  <c r="A519" i="7"/>
  <c r="P519" i="7" s="1"/>
  <c r="A520" i="7"/>
  <c r="P520" i="7" s="1"/>
  <c r="A521" i="7"/>
  <c r="P521" i="7" s="1"/>
  <c r="A522" i="7"/>
  <c r="P522" i="7" s="1"/>
  <c r="A523" i="7"/>
  <c r="P523" i="7" s="1"/>
  <c r="A524" i="7"/>
  <c r="P524" i="7" s="1"/>
  <c r="A525" i="7"/>
  <c r="P525" i="7" s="1"/>
  <c r="A526" i="7"/>
  <c r="P526" i="7" s="1"/>
  <c r="A527" i="7"/>
  <c r="P527" i="7" s="1"/>
  <c r="A528" i="7"/>
  <c r="P528" i="7" s="1"/>
  <c r="A529" i="7"/>
  <c r="P529" i="7" s="1"/>
  <c r="A530" i="7"/>
  <c r="P530" i="7" s="1"/>
  <c r="A531" i="7"/>
  <c r="P531" i="7" s="1"/>
  <c r="A532" i="7"/>
  <c r="P532" i="7" s="1"/>
  <c r="A533" i="7"/>
  <c r="P533" i="7" s="1"/>
  <c r="A534" i="7"/>
  <c r="P534" i="7" s="1"/>
  <c r="A535" i="7"/>
  <c r="P535" i="7" s="1"/>
  <c r="A536" i="7"/>
  <c r="P536" i="7" s="1"/>
  <c r="A537" i="7"/>
  <c r="P537" i="7" s="1"/>
  <c r="A538" i="7"/>
  <c r="P538" i="7" s="1"/>
  <c r="A539" i="7"/>
  <c r="P539" i="7" s="1"/>
  <c r="A540" i="7"/>
  <c r="P540" i="7" s="1"/>
  <c r="A541" i="7"/>
  <c r="P541" i="7" s="1"/>
  <c r="A542" i="7"/>
  <c r="P542" i="7" s="1"/>
  <c r="A543" i="7"/>
  <c r="P543" i="7" s="1"/>
  <c r="A544" i="7"/>
  <c r="P544" i="7" s="1"/>
  <c r="A545" i="7"/>
  <c r="P545" i="7" s="1"/>
  <c r="A546" i="7"/>
  <c r="P546" i="7" s="1"/>
  <c r="A547" i="7"/>
  <c r="P547" i="7" s="1"/>
  <c r="A548" i="7"/>
  <c r="P548" i="7" s="1"/>
  <c r="A549" i="7"/>
  <c r="P549" i="7" s="1"/>
  <c r="A550" i="7"/>
  <c r="P550" i="7" s="1"/>
  <c r="A551" i="7"/>
  <c r="P551" i="7" s="1"/>
  <c r="A552" i="7"/>
  <c r="P552" i="7" s="1"/>
  <c r="A553" i="7"/>
  <c r="P553" i="7" s="1"/>
  <c r="A554" i="7"/>
  <c r="P554" i="7" s="1"/>
  <c r="A555" i="7"/>
  <c r="P555" i="7" s="1"/>
  <c r="A556" i="7"/>
  <c r="P556" i="7" s="1"/>
  <c r="A557" i="7"/>
  <c r="P557" i="7" s="1"/>
  <c r="A558" i="7"/>
  <c r="P558" i="7" s="1"/>
  <c r="A559" i="7"/>
  <c r="P559" i="7" s="1"/>
  <c r="A560" i="7"/>
  <c r="P560" i="7" s="1"/>
  <c r="A561" i="7"/>
  <c r="P561" i="7" s="1"/>
  <c r="A562" i="7"/>
  <c r="P562" i="7" s="1"/>
  <c r="A563" i="7"/>
  <c r="Q1069" i="7"/>
  <c r="Q1068" i="7"/>
  <c r="Q1067" i="7"/>
  <c r="Q1066" i="7"/>
  <c r="Q1065" i="7"/>
  <c r="Q1064" i="7"/>
  <c r="Q1063" i="7"/>
  <c r="Q1062" i="7"/>
  <c r="Q1061" i="7"/>
  <c r="Q1060" i="7"/>
  <c r="Q1059" i="7"/>
  <c r="Q1058" i="7"/>
  <c r="Q1057" i="7"/>
  <c r="Q1056" i="7"/>
  <c r="Q1055" i="7"/>
  <c r="Q1054" i="7"/>
  <c r="Q1053" i="7"/>
  <c r="Q1052" i="7"/>
  <c r="Q1051" i="7"/>
  <c r="Q1050" i="7"/>
  <c r="Q1049" i="7"/>
  <c r="Q1048" i="7"/>
  <c r="Q1047" i="7"/>
  <c r="Q1046" i="7"/>
  <c r="Q1045" i="7"/>
  <c r="Q1044" i="7"/>
  <c r="Q1043" i="7"/>
  <c r="Q1042" i="7"/>
  <c r="Q1041" i="7"/>
  <c r="Q1040" i="7"/>
  <c r="Q1039" i="7"/>
  <c r="Q1038" i="7"/>
  <c r="Q1037" i="7"/>
  <c r="Q1036" i="7"/>
  <c r="Q1035" i="7"/>
  <c r="Q1034" i="7"/>
  <c r="Q1033" i="7"/>
  <c r="Q1032" i="7"/>
  <c r="Q1031" i="7"/>
  <c r="Q1030" i="7"/>
  <c r="Q1029" i="7"/>
  <c r="Q1028" i="7"/>
  <c r="Q1027" i="7"/>
  <c r="Q1026" i="7"/>
  <c r="Q1025" i="7"/>
  <c r="Q1024" i="7"/>
  <c r="Q1023" i="7"/>
  <c r="Q1022" i="7"/>
  <c r="Q1021" i="7"/>
  <c r="Q1020" i="7"/>
  <c r="Q1019" i="7"/>
  <c r="Q1018" i="7"/>
  <c r="Q1017" i="7"/>
  <c r="Q1016" i="7"/>
  <c r="Q1015" i="7"/>
  <c r="Q1014" i="7"/>
  <c r="Q1013" i="7"/>
  <c r="Q1012" i="7"/>
  <c r="Q1011" i="7"/>
  <c r="Q1010" i="7"/>
  <c r="Q1009" i="7"/>
  <c r="Q1008" i="7"/>
  <c r="Q1007" i="7"/>
  <c r="Q1006" i="7"/>
  <c r="Q1005" i="7"/>
  <c r="Q1004" i="7"/>
  <c r="Q1003" i="7"/>
  <c r="Q1002" i="7"/>
  <c r="Q1001" i="7"/>
  <c r="Q1000" i="7"/>
  <c r="Q999" i="7"/>
  <c r="Q998" i="7"/>
  <c r="Q997" i="7"/>
  <c r="Q996" i="7"/>
  <c r="Q995" i="7"/>
  <c r="Q994" i="7"/>
  <c r="Q993" i="7"/>
  <c r="Q992" i="7"/>
  <c r="Q991" i="7"/>
  <c r="Q990" i="7"/>
  <c r="Q989" i="7"/>
  <c r="Q988" i="7"/>
  <c r="Q987" i="7"/>
  <c r="Q986" i="7"/>
  <c r="Q985" i="7"/>
  <c r="Q984" i="7"/>
  <c r="Q983" i="7"/>
  <c r="Q982" i="7"/>
  <c r="Q981" i="7"/>
  <c r="Q980" i="7"/>
  <c r="Q979" i="7"/>
  <c r="Q978" i="7"/>
  <c r="Q977" i="7"/>
  <c r="Q976" i="7"/>
  <c r="Q975" i="7"/>
  <c r="Q974" i="7"/>
  <c r="Q973" i="7"/>
  <c r="Q972" i="7"/>
  <c r="Q971" i="7"/>
  <c r="Q970" i="7"/>
  <c r="Q969" i="7"/>
  <c r="Q968" i="7"/>
  <c r="Q967" i="7"/>
  <c r="Q966" i="7"/>
  <c r="Q965" i="7"/>
  <c r="Q964" i="7"/>
  <c r="Q963" i="7"/>
  <c r="Q962" i="7"/>
  <c r="Q961" i="7"/>
  <c r="Q960" i="7"/>
  <c r="Q959" i="7"/>
  <c r="Q958" i="7"/>
  <c r="Q957" i="7"/>
  <c r="Q956" i="7"/>
  <c r="Q955" i="7"/>
  <c r="Q954" i="7"/>
  <c r="Q953" i="7"/>
  <c r="Q952" i="7"/>
  <c r="Q951" i="7"/>
  <c r="Q950" i="7"/>
  <c r="Q949" i="7"/>
  <c r="Q948" i="7"/>
  <c r="Q947" i="7"/>
  <c r="Q946" i="7"/>
  <c r="Q945" i="7"/>
  <c r="Q944" i="7"/>
  <c r="Q943" i="7"/>
  <c r="Q942" i="7"/>
  <c r="Q941" i="7"/>
  <c r="Q940" i="7"/>
  <c r="Q939" i="7"/>
  <c r="Q938" i="7"/>
  <c r="Q937" i="7"/>
  <c r="Q936" i="7"/>
  <c r="Q935" i="7"/>
  <c r="Q934" i="7"/>
  <c r="Q933" i="7"/>
  <c r="Q932" i="7"/>
  <c r="Q931" i="7"/>
  <c r="Q930" i="7"/>
  <c r="Q929" i="7"/>
  <c r="Q928" i="7"/>
  <c r="Q927" i="7"/>
  <c r="Q926" i="7"/>
  <c r="Q925" i="7"/>
  <c r="Q924" i="7"/>
  <c r="Q923" i="7"/>
  <c r="Q922" i="7"/>
  <c r="Q921" i="7"/>
  <c r="Q920" i="7"/>
  <c r="Q919" i="7"/>
  <c r="Q918" i="7"/>
  <c r="Q917" i="7"/>
  <c r="Q916" i="7"/>
  <c r="Q915" i="7"/>
  <c r="Q914" i="7"/>
  <c r="Q913" i="7"/>
  <c r="Q912" i="7"/>
  <c r="Q911" i="7"/>
  <c r="Q910" i="7"/>
  <c r="Q909" i="7"/>
  <c r="Q908" i="7"/>
  <c r="Q907" i="7"/>
  <c r="Q906" i="7"/>
  <c r="Q905" i="7"/>
  <c r="Q904" i="7"/>
  <c r="Q903" i="7"/>
  <c r="Q902" i="7"/>
  <c r="Q901" i="7"/>
  <c r="Q900" i="7"/>
  <c r="Q899" i="7"/>
  <c r="Q898" i="7"/>
  <c r="Q897" i="7"/>
  <c r="Q896" i="7"/>
  <c r="Q895" i="7"/>
  <c r="Q894" i="7"/>
  <c r="Q893" i="7"/>
  <c r="Q892" i="7"/>
  <c r="Q891" i="7"/>
  <c r="Q890" i="7"/>
  <c r="Q889" i="7"/>
  <c r="Q888" i="7"/>
  <c r="Q887" i="7"/>
  <c r="Q886" i="7"/>
  <c r="Q885" i="7"/>
  <c r="Q884" i="7"/>
  <c r="Q883" i="7"/>
  <c r="Q882" i="7"/>
  <c r="Q881" i="7"/>
  <c r="Q880" i="7"/>
  <c r="Q879" i="7"/>
  <c r="Q878" i="7"/>
  <c r="Q877" i="7"/>
  <c r="Q876" i="7"/>
  <c r="Q875" i="7"/>
  <c r="Q874" i="7"/>
  <c r="Q873" i="7"/>
  <c r="Q872" i="7"/>
  <c r="Q871" i="7"/>
  <c r="Q870" i="7"/>
  <c r="Q869" i="7"/>
  <c r="Q868" i="7"/>
  <c r="Q867" i="7"/>
  <c r="Q866" i="7"/>
  <c r="Q865" i="7"/>
  <c r="Q864" i="7"/>
  <c r="Q863" i="7"/>
  <c r="Q862" i="7"/>
  <c r="Q861" i="7"/>
  <c r="Q860" i="7"/>
  <c r="Q859" i="7"/>
  <c r="Q858" i="7"/>
  <c r="Q857" i="7"/>
  <c r="Q856" i="7"/>
  <c r="Q855" i="7"/>
  <c r="Q854" i="7"/>
  <c r="Q853" i="7"/>
  <c r="Q852" i="7"/>
  <c r="Q851" i="7"/>
  <c r="Q850" i="7"/>
  <c r="Q849" i="7"/>
  <c r="Q848" i="7"/>
  <c r="Q847" i="7"/>
  <c r="Q846" i="7"/>
  <c r="Q845" i="7"/>
  <c r="Q844" i="7"/>
  <c r="Q843" i="7"/>
  <c r="Q842" i="7"/>
  <c r="Q841" i="7"/>
  <c r="Q840" i="7"/>
  <c r="Q839" i="7"/>
  <c r="Q838" i="7"/>
  <c r="Q837" i="7"/>
  <c r="Q836" i="7"/>
  <c r="Q835" i="7"/>
  <c r="Q834" i="7"/>
  <c r="Q833" i="7"/>
  <c r="Q832" i="7"/>
  <c r="Q831" i="7"/>
  <c r="Q830" i="7"/>
  <c r="Q829" i="7"/>
  <c r="Q828" i="7"/>
  <c r="Q827" i="7"/>
  <c r="Q826" i="7"/>
  <c r="Q825" i="7"/>
  <c r="Q824" i="7"/>
  <c r="Q823" i="7"/>
  <c r="Q822" i="7"/>
  <c r="Q821" i="7"/>
  <c r="Q820" i="7"/>
  <c r="Q819" i="7"/>
  <c r="Q818" i="7"/>
  <c r="Q817" i="7"/>
  <c r="Q816" i="7"/>
  <c r="Q815" i="7"/>
  <c r="Q814" i="7"/>
  <c r="Q813" i="7"/>
  <c r="Q812" i="7"/>
  <c r="Q811" i="7"/>
  <c r="Q810" i="7"/>
  <c r="Q809" i="7"/>
  <c r="Q808" i="7"/>
  <c r="Q807" i="7"/>
  <c r="Q806" i="7"/>
  <c r="Q805" i="7"/>
  <c r="Q804" i="7"/>
  <c r="Q803" i="7"/>
  <c r="Q802" i="7"/>
  <c r="Q801" i="7"/>
  <c r="Q800" i="7"/>
  <c r="Q799" i="7"/>
  <c r="Q798" i="7"/>
  <c r="Q797" i="7"/>
  <c r="Q796" i="7"/>
  <c r="Q795" i="7"/>
  <c r="Q794" i="7"/>
  <c r="Q793" i="7"/>
  <c r="Q792" i="7"/>
  <c r="Q791" i="7"/>
  <c r="Q790" i="7"/>
  <c r="Q789" i="7"/>
  <c r="Q788" i="7"/>
  <c r="Q787" i="7"/>
  <c r="Q786" i="7"/>
  <c r="Q785" i="7"/>
  <c r="Q784" i="7"/>
  <c r="Q783" i="7"/>
  <c r="Q782" i="7"/>
  <c r="Q781" i="7"/>
  <c r="Q780" i="7"/>
  <c r="Q779" i="7"/>
  <c r="Q778" i="7"/>
  <c r="Q777" i="7"/>
  <c r="Q776" i="7"/>
  <c r="Q775" i="7"/>
  <c r="Q774" i="7"/>
  <c r="Q773" i="7"/>
  <c r="Q772" i="7"/>
  <c r="Q771" i="7"/>
  <c r="Q770" i="7"/>
  <c r="Q769" i="7"/>
  <c r="Q768" i="7"/>
  <c r="Q767" i="7"/>
  <c r="Q766" i="7"/>
  <c r="Q765" i="7"/>
  <c r="Q764" i="7"/>
  <c r="Q763" i="7"/>
  <c r="Q762" i="7"/>
  <c r="Q761" i="7"/>
  <c r="Q760" i="7"/>
  <c r="Q759" i="7"/>
  <c r="Q758" i="7"/>
  <c r="Q757" i="7"/>
  <c r="Q756" i="7"/>
  <c r="Q755" i="7"/>
  <c r="Q754" i="7"/>
  <c r="Q753" i="7"/>
  <c r="Q752" i="7"/>
  <c r="Q751" i="7"/>
  <c r="Q750" i="7"/>
  <c r="Q749" i="7"/>
  <c r="Q748" i="7"/>
  <c r="Q747" i="7"/>
  <c r="Q746" i="7"/>
  <c r="Q745" i="7"/>
  <c r="Q744" i="7"/>
  <c r="Q743" i="7"/>
  <c r="Q742" i="7"/>
  <c r="Q741" i="7"/>
  <c r="Q740" i="7"/>
  <c r="Q739" i="7"/>
  <c r="Q738" i="7"/>
  <c r="Q737" i="7"/>
  <c r="Q736" i="7"/>
  <c r="Q735" i="7"/>
  <c r="Q734" i="7"/>
  <c r="Q733" i="7"/>
  <c r="Q732" i="7"/>
  <c r="Q731" i="7"/>
  <c r="Q730" i="7"/>
  <c r="Q729" i="7"/>
  <c r="Q728" i="7"/>
  <c r="Q727" i="7"/>
  <c r="Q726" i="7"/>
  <c r="Q725" i="7"/>
  <c r="Q724" i="7"/>
  <c r="Q723" i="7"/>
  <c r="Q722" i="7"/>
  <c r="Q721" i="7"/>
  <c r="Q720" i="7"/>
  <c r="Q719" i="7"/>
  <c r="Q718" i="7"/>
  <c r="Q717" i="7"/>
  <c r="Q716" i="7"/>
  <c r="Q715" i="7"/>
  <c r="Q714" i="7"/>
  <c r="Q713" i="7"/>
  <c r="Q712" i="7"/>
  <c r="Q711" i="7"/>
  <c r="Q710" i="7"/>
  <c r="Q709" i="7"/>
  <c r="Q708" i="7"/>
  <c r="Q707" i="7"/>
  <c r="Q706" i="7"/>
  <c r="Q705" i="7"/>
  <c r="Q704" i="7"/>
  <c r="Q703" i="7"/>
  <c r="Q702" i="7"/>
  <c r="Q701" i="7"/>
  <c r="Q700" i="7"/>
  <c r="Q699" i="7"/>
  <c r="Q698" i="7"/>
  <c r="Q697" i="7"/>
  <c r="Q696" i="7"/>
  <c r="Q695" i="7"/>
  <c r="Q694" i="7"/>
  <c r="Q693" i="7"/>
  <c r="Q692" i="7"/>
  <c r="Q691" i="7"/>
  <c r="Q690" i="7"/>
  <c r="Q689" i="7"/>
  <c r="Q688" i="7"/>
  <c r="Q687" i="7"/>
  <c r="Q686" i="7"/>
  <c r="Q685" i="7"/>
  <c r="Q684" i="7"/>
  <c r="Q683" i="7"/>
  <c r="Q682" i="7"/>
  <c r="Q681" i="7"/>
  <c r="Q680" i="7"/>
  <c r="Q679" i="7"/>
  <c r="Q678" i="7"/>
  <c r="Q677" i="7"/>
  <c r="Q676" i="7"/>
  <c r="Q675" i="7"/>
  <c r="Q674" i="7"/>
  <c r="Q673" i="7"/>
  <c r="Q672" i="7"/>
  <c r="Q671" i="7"/>
  <c r="Q670" i="7"/>
  <c r="Q669" i="7"/>
  <c r="Q668" i="7"/>
  <c r="Q667" i="7"/>
  <c r="Q666" i="7"/>
  <c r="Q665" i="7"/>
  <c r="Q664" i="7"/>
  <c r="Q663" i="7"/>
  <c r="Q662" i="7"/>
  <c r="Q661" i="7"/>
  <c r="Q660" i="7"/>
  <c r="Q659" i="7"/>
  <c r="Q658" i="7"/>
  <c r="Q657" i="7"/>
  <c r="Q656" i="7"/>
  <c r="Q655" i="7"/>
  <c r="Q654" i="7"/>
  <c r="Q653" i="7"/>
  <c r="Q652" i="7"/>
  <c r="Q651" i="7"/>
  <c r="Q650" i="7"/>
  <c r="Q649" i="7"/>
  <c r="Q648" i="7"/>
  <c r="Q647" i="7"/>
  <c r="Q646" i="7"/>
  <c r="Q645" i="7"/>
  <c r="Q644" i="7"/>
  <c r="Q643" i="7"/>
  <c r="Q642" i="7"/>
  <c r="Q641" i="7"/>
  <c r="Q640" i="7"/>
  <c r="Q639" i="7"/>
  <c r="Q638" i="7"/>
  <c r="Q637" i="7"/>
  <c r="Q636" i="7"/>
  <c r="Q635" i="7"/>
  <c r="Q634" i="7"/>
  <c r="Q633" i="7"/>
  <c r="Q632" i="7"/>
  <c r="Q631" i="7"/>
  <c r="Q630" i="7"/>
  <c r="Q629" i="7"/>
  <c r="Q628" i="7"/>
  <c r="Q627" i="7"/>
  <c r="Q626" i="7"/>
  <c r="Q625" i="7"/>
  <c r="Q624" i="7"/>
  <c r="Q623" i="7"/>
  <c r="Q622" i="7"/>
  <c r="Q621" i="7"/>
  <c r="Q620" i="7"/>
  <c r="Q619" i="7"/>
  <c r="Q618" i="7"/>
  <c r="Q617" i="7"/>
  <c r="Q616" i="7"/>
  <c r="Q615" i="7"/>
  <c r="Q614" i="7"/>
  <c r="Q613" i="7"/>
  <c r="Q612" i="7"/>
  <c r="Q611" i="7"/>
  <c r="Q610" i="7"/>
  <c r="Q609" i="7"/>
  <c r="Q608" i="7"/>
  <c r="Q607" i="7"/>
  <c r="Q606" i="7"/>
  <c r="Q605" i="7"/>
  <c r="Q604" i="7"/>
  <c r="Q603" i="7"/>
  <c r="Q602" i="7"/>
  <c r="Q601" i="7"/>
  <c r="Q600" i="7"/>
  <c r="Q599" i="7"/>
  <c r="Q598" i="7"/>
  <c r="Q597" i="7"/>
  <c r="Q596" i="7"/>
  <c r="Q595" i="7"/>
  <c r="Q594" i="7"/>
  <c r="Q593" i="7"/>
  <c r="Q592" i="7"/>
  <c r="Q591" i="7"/>
  <c r="Q590" i="7"/>
  <c r="Q589" i="7"/>
  <c r="Q588" i="7"/>
  <c r="Q587" i="7"/>
  <c r="Q586" i="7"/>
  <c r="Q585" i="7"/>
  <c r="Q584" i="7"/>
  <c r="Q583" i="7"/>
  <c r="Q582" i="7"/>
  <c r="Q581" i="7"/>
  <c r="Q580" i="7"/>
  <c r="Q579" i="7"/>
  <c r="Q578" i="7"/>
  <c r="Q577" i="7"/>
  <c r="Q576" i="7"/>
  <c r="Q575" i="7"/>
  <c r="Q574" i="7"/>
  <c r="Q573" i="7"/>
  <c r="Q572" i="7"/>
  <c r="Q571" i="7"/>
  <c r="Q570" i="7"/>
  <c r="Q569" i="7"/>
  <c r="Q568" i="7"/>
  <c r="Q567" i="7"/>
  <c r="Q566" i="7"/>
  <c r="Q565" i="7"/>
  <c r="Q564" i="7"/>
  <c r="Q562" i="7"/>
  <c r="Q561" i="7"/>
  <c r="Q560" i="7"/>
  <c r="Q559" i="7"/>
  <c r="Q558" i="7"/>
  <c r="Q557" i="7"/>
  <c r="Q556" i="7"/>
  <c r="Q555" i="7"/>
  <c r="Q554" i="7"/>
  <c r="Q553" i="7"/>
  <c r="Q552" i="7"/>
  <c r="Q551" i="7"/>
  <c r="Q550" i="7"/>
  <c r="Q549" i="7"/>
  <c r="Q548" i="7"/>
  <c r="Q547" i="7"/>
  <c r="Q546" i="7"/>
  <c r="Q545" i="7"/>
  <c r="Q544" i="7"/>
  <c r="Q543" i="7"/>
  <c r="Q542" i="7"/>
  <c r="Q541" i="7"/>
  <c r="Q540" i="7"/>
  <c r="Q539" i="7"/>
  <c r="Q538" i="7"/>
  <c r="Q537" i="7"/>
  <c r="Q536" i="7"/>
  <c r="Q535" i="7"/>
  <c r="Q534" i="7"/>
  <c r="Q533" i="7"/>
  <c r="Q532" i="7"/>
  <c r="Q531" i="7"/>
  <c r="Q530" i="7"/>
  <c r="Q529" i="7"/>
  <c r="Q528" i="7"/>
  <c r="Q527" i="7"/>
  <c r="Q526" i="7"/>
  <c r="Q525" i="7"/>
  <c r="Q524" i="7"/>
  <c r="Q523" i="7"/>
  <c r="Q522" i="7"/>
  <c r="Q521" i="7"/>
  <c r="Q520" i="7"/>
  <c r="Q519" i="7"/>
  <c r="Q518" i="7"/>
  <c r="Q517" i="7"/>
  <c r="Q516" i="7"/>
  <c r="Q515" i="7"/>
  <c r="Q514" i="7"/>
  <c r="Q513" i="7"/>
  <c r="Q512" i="7"/>
  <c r="Q511" i="7"/>
  <c r="Q510" i="7"/>
  <c r="Q509" i="7"/>
  <c r="Q508" i="7"/>
  <c r="Q507" i="7"/>
  <c r="Q506" i="7"/>
  <c r="Q505" i="7"/>
  <c r="Q504" i="7"/>
  <c r="Q503" i="7"/>
  <c r="Q502" i="7"/>
  <c r="Q501" i="7"/>
  <c r="Q500" i="7"/>
  <c r="Q499" i="7"/>
  <c r="Q498" i="7"/>
  <c r="Q497" i="7"/>
  <c r="Q496" i="7"/>
  <c r="Q495" i="7"/>
  <c r="Q494" i="7"/>
  <c r="Q493" i="7"/>
  <c r="Q492" i="7"/>
  <c r="Q491" i="7"/>
  <c r="Q490" i="7"/>
  <c r="Q489" i="7"/>
  <c r="Q488" i="7"/>
  <c r="Q487" i="7"/>
  <c r="Q486" i="7"/>
  <c r="Q485" i="7"/>
  <c r="Q484" i="7"/>
  <c r="Q483" i="7"/>
  <c r="Q482" i="7"/>
  <c r="Q481" i="7"/>
  <c r="Q480" i="7"/>
  <c r="Q479" i="7"/>
  <c r="Q478" i="7"/>
  <c r="Q477" i="7"/>
  <c r="Q476" i="7"/>
  <c r="Q475" i="7"/>
  <c r="Q474" i="7"/>
  <c r="Q473" i="7"/>
  <c r="Q472" i="7"/>
  <c r="Q471" i="7"/>
  <c r="Q470" i="7"/>
  <c r="Q469" i="7"/>
  <c r="Q468" i="7"/>
  <c r="Q467" i="7"/>
  <c r="Q466" i="7"/>
  <c r="Q465" i="7"/>
  <c r="Q464" i="7"/>
  <c r="Q463" i="7"/>
  <c r="Q462" i="7"/>
  <c r="Q461" i="7"/>
  <c r="Q460" i="7"/>
  <c r="Q459" i="7"/>
  <c r="Q458" i="7"/>
  <c r="Q457" i="7"/>
  <c r="Q456" i="7"/>
  <c r="Q455" i="7"/>
  <c r="Q454" i="7"/>
  <c r="Q453" i="7"/>
  <c r="Q452" i="7"/>
  <c r="Q451" i="7"/>
  <c r="Q450" i="7"/>
  <c r="Q449" i="7"/>
  <c r="Q448" i="7"/>
  <c r="Q447" i="7"/>
  <c r="Q446" i="7"/>
  <c r="Q445" i="7"/>
  <c r="Q444" i="7"/>
  <c r="Q443" i="7"/>
  <c r="Q442" i="7"/>
  <c r="Q441" i="7"/>
  <c r="Q440" i="7"/>
  <c r="Q439" i="7"/>
  <c r="Q438" i="7"/>
  <c r="Q437" i="7"/>
  <c r="Q436" i="7"/>
  <c r="Q435" i="7"/>
  <c r="Q434" i="7"/>
  <c r="Q433" i="7"/>
  <c r="Q432" i="7"/>
  <c r="Q431" i="7"/>
  <c r="Q430" i="7"/>
  <c r="Q429" i="7"/>
  <c r="Q428" i="7"/>
  <c r="Q427" i="7"/>
  <c r="Q426" i="7"/>
  <c r="Q425" i="7"/>
  <c r="Q424" i="7"/>
  <c r="Q423" i="7"/>
  <c r="Q422" i="7"/>
  <c r="Q421" i="7"/>
  <c r="Q420" i="7"/>
  <c r="Q419" i="7"/>
  <c r="Q418" i="7"/>
  <c r="Q417" i="7"/>
  <c r="Q416" i="7"/>
  <c r="Q415" i="7"/>
  <c r="Q414" i="7"/>
  <c r="Q413" i="7"/>
  <c r="Q412" i="7"/>
  <c r="Q411" i="7"/>
  <c r="Q410" i="7"/>
  <c r="Q409" i="7"/>
  <c r="Q408" i="7"/>
  <c r="Q407" i="7"/>
  <c r="Q406" i="7"/>
  <c r="Q405" i="7"/>
  <c r="Q404" i="7"/>
  <c r="Q403" i="7"/>
  <c r="Q402" i="7"/>
  <c r="Q401" i="7"/>
  <c r="Q400" i="7"/>
  <c r="Q399" i="7"/>
  <c r="Q398" i="7"/>
  <c r="Q397" i="7"/>
  <c r="Q396" i="7"/>
  <c r="Q395" i="7"/>
  <c r="Q394" i="7"/>
  <c r="Q393" i="7"/>
  <c r="Q392" i="7"/>
  <c r="Q391" i="7"/>
  <c r="Q390" i="7"/>
  <c r="Q389" i="7"/>
  <c r="Q388" i="7"/>
  <c r="Q387" i="7"/>
  <c r="Q386" i="7"/>
  <c r="Q385" i="7"/>
  <c r="Q384" i="7"/>
  <c r="Q383" i="7"/>
  <c r="Q382" i="7"/>
  <c r="Q381" i="7"/>
  <c r="Q380" i="7"/>
  <c r="Q379" i="7"/>
  <c r="Q378" i="7"/>
  <c r="Q377" i="7"/>
  <c r="Q376" i="7"/>
  <c r="Q375" i="7"/>
  <c r="Q374" i="7"/>
  <c r="Q373" i="7"/>
  <c r="Q372" i="7"/>
  <c r="Q371" i="7"/>
  <c r="Q370" i="7"/>
  <c r="Q369" i="7"/>
  <c r="Q368" i="7"/>
  <c r="Q367" i="7"/>
  <c r="Q366" i="7"/>
  <c r="Q365" i="7"/>
  <c r="Q364" i="7"/>
  <c r="Q363" i="7"/>
  <c r="Q362" i="7"/>
  <c r="Q361" i="7"/>
  <c r="Q360" i="7"/>
  <c r="Q359" i="7"/>
  <c r="Q358" i="7"/>
  <c r="Q357" i="7"/>
  <c r="Q356" i="7"/>
  <c r="Q355" i="7"/>
  <c r="Q354" i="7"/>
  <c r="Q353" i="7"/>
  <c r="Q352" i="7"/>
  <c r="Q351" i="7"/>
  <c r="Q350" i="7"/>
  <c r="Q349" i="7"/>
  <c r="Q348" i="7"/>
  <c r="Q347" i="7"/>
  <c r="Q346" i="7"/>
  <c r="Q345" i="7"/>
  <c r="Q344" i="7"/>
  <c r="Q343" i="7"/>
  <c r="Q342" i="7"/>
  <c r="Q341" i="7"/>
  <c r="Q340" i="7"/>
  <c r="Q339" i="7"/>
  <c r="Q338" i="7"/>
  <c r="Q337" i="7"/>
  <c r="Q336" i="7"/>
  <c r="Q335" i="7"/>
  <c r="Q334" i="7"/>
  <c r="Q333" i="7"/>
  <c r="Q332" i="7"/>
  <c r="Q331" i="7"/>
  <c r="Q330" i="7"/>
  <c r="Q329" i="7"/>
  <c r="Q328" i="7"/>
  <c r="Q327" i="7"/>
  <c r="Q326" i="7"/>
  <c r="Q325" i="7"/>
  <c r="Q324" i="7"/>
  <c r="Q323" i="7"/>
  <c r="Q322" i="7"/>
  <c r="Q321" i="7"/>
  <c r="Q320" i="7"/>
  <c r="Q319" i="7"/>
  <c r="Q318" i="7"/>
  <c r="Q317" i="7"/>
  <c r="Q316" i="7"/>
  <c r="Q315" i="7"/>
  <c r="Q314" i="7"/>
  <c r="Q313" i="7"/>
  <c r="Q312" i="7"/>
  <c r="Q311" i="7"/>
  <c r="Q310" i="7"/>
  <c r="Q309" i="7"/>
  <c r="Q308" i="7"/>
  <c r="Q307" i="7"/>
  <c r="Q306" i="7"/>
  <c r="Q305" i="7"/>
  <c r="Q304" i="7"/>
  <c r="Q303" i="7"/>
  <c r="Q302" i="7"/>
  <c r="Q301" i="7"/>
  <c r="Q300" i="7"/>
  <c r="Q299" i="7"/>
  <c r="Q298" i="7"/>
  <c r="Q297" i="7"/>
  <c r="Q296" i="7"/>
  <c r="Q295" i="7"/>
  <c r="Q294" i="7"/>
  <c r="Q293" i="7"/>
  <c r="Q292" i="7"/>
  <c r="Q291" i="7"/>
  <c r="Q290" i="7"/>
  <c r="Q289" i="7"/>
  <c r="Q288" i="7"/>
  <c r="Q287" i="7"/>
  <c r="Q286" i="7"/>
  <c r="Q285" i="7"/>
  <c r="Q284" i="7"/>
  <c r="Q283" i="7"/>
  <c r="Q282" i="7"/>
  <c r="Q281" i="7"/>
  <c r="Q280" i="7"/>
  <c r="Q279" i="7"/>
  <c r="Q278" i="7"/>
  <c r="Q277" i="7"/>
  <c r="Q276" i="7"/>
  <c r="Q275" i="7"/>
  <c r="Q274" i="7"/>
  <c r="Q273" i="7"/>
  <c r="Q272" i="7"/>
  <c r="Q271" i="7"/>
  <c r="Q270" i="7"/>
  <c r="Q269" i="7"/>
  <c r="Q268" i="7"/>
  <c r="Q267" i="7"/>
  <c r="Q266" i="7"/>
  <c r="Q265" i="7"/>
  <c r="Q264" i="7"/>
  <c r="Q263" i="7"/>
  <c r="Q262" i="7"/>
  <c r="Q261" i="7"/>
  <c r="Q260" i="7"/>
  <c r="Q259" i="7"/>
  <c r="Q258" i="7"/>
  <c r="Q257" i="7"/>
  <c r="Q256" i="7"/>
  <c r="Q255" i="7"/>
  <c r="Q254" i="7"/>
  <c r="Q253" i="7"/>
  <c r="Q252" i="7"/>
  <c r="Q251" i="7"/>
  <c r="Q250" i="7"/>
  <c r="Q249" i="7"/>
  <c r="Q248" i="7"/>
  <c r="Q247" i="7"/>
  <c r="Q246" i="7"/>
  <c r="Q245" i="7"/>
  <c r="Q244" i="7"/>
  <c r="Q243" i="7"/>
  <c r="Q242" i="7"/>
  <c r="Q241" i="7"/>
  <c r="Q240" i="7"/>
  <c r="Q239" i="7"/>
  <c r="Q238" i="7"/>
  <c r="Q237" i="7"/>
  <c r="Q236" i="7"/>
  <c r="Q235" i="7"/>
  <c r="Q234" i="7"/>
  <c r="Q233" i="7"/>
  <c r="Q232" i="7"/>
  <c r="Q231" i="7"/>
  <c r="Q230" i="7"/>
  <c r="Q229" i="7"/>
  <c r="Q228" i="7"/>
  <c r="Q227" i="7"/>
  <c r="Q226" i="7"/>
  <c r="Q225" i="7"/>
  <c r="Q224" i="7"/>
  <c r="Q223" i="7"/>
  <c r="Q222" i="7"/>
  <c r="Q221" i="7"/>
  <c r="Q220" i="7"/>
  <c r="Q219" i="7"/>
  <c r="Q218" i="7"/>
  <c r="Q217" i="7"/>
  <c r="Q216" i="7"/>
  <c r="Q215" i="7"/>
  <c r="Q214" i="7"/>
  <c r="Q213" i="7"/>
  <c r="Q212" i="7"/>
  <c r="Q211" i="7"/>
  <c r="Q210" i="7"/>
  <c r="Q209" i="7"/>
  <c r="Q208" i="7"/>
  <c r="Q207" i="7"/>
  <c r="Q206" i="7"/>
  <c r="Q205" i="7"/>
  <c r="Q204" i="7"/>
  <c r="Q203" i="7"/>
  <c r="Q202" i="7"/>
  <c r="Q201" i="7"/>
  <c r="Q200" i="7"/>
  <c r="Q199" i="7"/>
  <c r="Q198" i="7"/>
  <c r="Q197" i="7"/>
  <c r="Q196" i="7"/>
  <c r="Q195" i="7"/>
  <c r="Q194" i="7"/>
  <c r="Q193" i="7"/>
  <c r="Q192" i="7"/>
  <c r="Q191" i="7"/>
  <c r="Q190" i="7"/>
  <c r="Q189" i="7"/>
  <c r="Q188" i="7"/>
  <c r="Q187" i="7"/>
  <c r="Q186" i="7"/>
  <c r="Q185" i="7"/>
  <c r="Q184" i="7"/>
  <c r="Q183" i="7"/>
  <c r="Q182" i="7"/>
  <c r="Q181" i="7"/>
  <c r="Q180" i="7"/>
  <c r="Q179" i="7"/>
  <c r="Q178" i="7"/>
  <c r="Q177" i="7"/>
  <c r="Q176" i="7"/>
  <c r="Q175" i="7"/>
  <c r="Q174" i="7"/>
  <c r="Q173" i="7"/>
  <c r="Q172" i="7"/>
  <c r="Q171" i="7"/>
  <c r="Q170" i="7"/>
  <c r="Q169" i="7"/>
  <c r="Q168" i="7"/>
  <c r="Q167" i="7"/>
  <c r="Q166" i="7"/>
  <c r="Q165" i="7"/>
  <c r="Q164" i="7"/>
  <c r="Q163" i="7"/>
  <c r="Q162" i="7"/>
  <c r="Q161" i="7"/>
  <c r="Q160" i="7"/>
  <c r="Q159" i="7"/>
  <c r="Q158" i="7"/>
  <c r="Q157" i="7"/>
  <c r="Q156" i="7"/>
  <c r="Q155" i="7"/>
  <c r="Q154" i="7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Q133" i="7"/>
  <c r="Q132" i="7"/>
  <c r="Q131" i="7"/>
  <c r="Q130" i="7"/>
  <c r="Q129" i="7"/>
  <c r="Q128" i="7"/>
  <c r="Q127" i="7"/>
  <c r="Q126" i="7"/>
  <c r="Q125" i="7"/>
  <c r="Q124" i="7"/>
  <c r="Q123" i="7"/>
  <c r="Q122" i="7"/>
  <c r="Q121" i="7"/>
  <c r="Q120" i="7"/>
  <c r="Q119" i="7"/>
  <c r="Q118" i="7"/>
  <c r="Q117" i="7"/>
  <c r="Q116" i="7"/>
  <c r="Q115" i="7"/>
  <c r="Q114" i="7"/>
  <c r="Q113" i="7"/>
  <c r="Q112" i="7"/>
  <c r="Q111" i="7"/>
  <c r="Q110" i="7"/>
  <c r="Q109" i="7"/>
  <c r="Q108" i="7"/>
  <c r="Q107" i="7"/>
  <c r="Q106" i="7"/>
  <c r="Q105" i="7"/>
  <c r="Q104" i="7"/>
  <c r="Q103" i="7"/>
  <c r="Q102" i="7"/>
  <c r="Q101" i="7"/>
  <c r="Q100" i="7"/>
  <c r="Q99" i="7"/>
  <c r="Q98" i="7"/>
  <c r="Q97" i="7"/>
  <c r="Q96" i="7"/>
  <c r="Q95" i="7"/>
  <c r="Q94" i="7"/>
  <c r="Q93" i="7"/>
  <c r="Q92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Q64" i="7"/>
  <c r="Q63" i="7"/>
  <c r="Q62" i="7"/>
  <c r="Q61" i="7"/>
  <c r="Q60" i="7"/>
  <c r="Q59" i="7"/>
  <c r="Q58" i="7"/>
  <c r="Q57" i="7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3" i="7"/>
  <c r="P40" i="7" l="1"/>
  <c r="AH5" i="6"/>
  <c r="AH8" i="6"/>
  <c r="AI8" i="6"/>
  <c r="AH7" i="6" l="1"/>
  <c r="AJ7" i="6"/>
  <c r="AH11" i="6"/>
  <c r="AJ11" i="6"/>
  <c r="AJ5" i="6"/>
  <c r="AH6" i="6"/>
  <c r="AJ6" i="6"/>
  <c r="AI6" i="6"/>
  <c r="AH10" i="6"/>
  <c r="AJ10" i="6"/>
  <c r="AI10" i="6"/>
  <c r="AI7" i="6"/>
  <c r="AJ12" i="6"/>
  <c r="AI12" i="6"/>
  <c r="AH12" i="6"/>
  <c r="AI11" i="6"/>
  <c r="AH9" i="6"/>
  <c r="AJ9" i="6"/>
  <c r="AI5" i="6"/>
  <c r="AI9" i="6"/>
  <c r="AJ4" i="6"/>
  <c r="AH4" i="6"/>
  <c r="AI4" i="6"/>
  <c r="T15" i="5"/>
  <c r="AF3" i="6"/>
  <c r="AT16" i="6" s="1" a="1"/>
  <c r="AT16" i="6" s="1"/>
  <c r="AS16" i="6" s="1"/>
  <c r="AE3" i="6" l="1"/>
  <c r="AE8" i="6" s="1"/>
  <c r="X11" i="5" s="1"/>
  <c r="AT32" i="6"/>
  <c r="AT28" i="6"/>
  <c r="AT24" i="6"/>
  <c r="AT19" i="6"/>
  <c r="AT31" i="6"/>
  <c r="AT27" i="6"/>
  <c r="AT23" i="6"/>
  <c r="AT18" i="6"/>
  <c r="AT30" i="6"/>
  <c r="AT26" i="6"/>
  <c r="AT22" i="6" a="1"/>
  <c r="AT22" i="6" s="1"/>
  <c r="AT21" i="6"/>
  <c r="AT17" i="6"/>
  <c r="AT29" i="6"/>
  <c r="AT25" i="6"/>
  <c r="AT20" i="6"/>
  <c r="AF7" i="6"/>
  <c r="AF4" i="6" l="1"/>
  <c r="T6" i="5" s="1"/>
  <c r="AS22" i="6"/>
  <c r="AQ22" i="6"/>
  <c r="AR22" i="6"/>
  <c r="AR23" i="6"/>
  <c r="AS23" i="6"/>
  <c r="AQ23" i="6"/>
  <c r="AS29" i="6"/>
  <c r="AQ29" i="6"/>
  <c r="AR29" i="6"/>
  <c r="AS26" i="6"/>
  <c r="AQ26" i="6"/>
  <c r="AR26" i="6"/>
  <c r="AR27" i="6"/>
  <c r="AS27" i="6"/>
  <c r="AQ27" i="6"/>
  <c r="AQ24" i="6"/>
  <c r="AR24" i="6"/>
  <c r="AS24" i="6"/>
  <c r="AS17" i="6"/>
  <c r="AQ17" i="6"/>
  <c r="AR17" i="6"/>
  <c r="AS30" i="6"/>
  <c r="AQ30" i="6"/>
  <c r="AR30" i="6"/>
  <c r="AR31" i="6"/>
  <c r="AS31" i="6"/>
  <c r="AQ31" i="6"/>
  <c r="AQ28" i="6"/>
  <c r="AR28" i="6"/>
  <c r="AS28" i="6"/>
  <c r="AQ20" i="6"/>
  <c r="AR20" i="6"/>
  <c r="AS20" i="6"/>
  <c r="AS21" i="6"/>
  <c r="AQ21" i="6"/>
  <c r="AR21" i="6"/>
  <c r="AS18" i="6"/>
  <c r="AQ18" i="6"/>
  <c r="AR18" i="6"/>
  <c r="AR19" i="6"/>
  <c r="AS19" i="6"/>
  <c r="AQ19" i="6"/>
  <c r="AQ32" i="6"/>
  <c r="AR32" i="6"/>
  <c r="AS32" i="6"/>
  <c r="AS25" i="6"/>
  <c r="AQ25" i="6"/>
  <c r="AR25" i="6"/>
  <c r="AQ16" i="6"/>
  <c r="AR16" i="6"/>
  <c r="AF8" i="6"/>
  <c r="AF9" i="6"/>
  <c r="AE4" i="6"/>
  <c r="AM16" i="6" s="1"/>
  <c r="AF5" i="6"/>
  <c r="AF6" i="6"/>
  <c r="J12" i="6"/>
  <c r="AN16" i="6" l="1"/>
  <c r="AF10" i="6"/>
  <c r="AF11" i="6" s="1"/>
  <c r="AM20" i="6"/>
  <c r="AN20" i="6" s="1"/>
  <c r="AM17" i="6"/>
  <c r="AN17" i="6" s="1"/>
  <c r="AM19" i="6"/>
  <c r="AN19" i="6" s="1"/>
  <c r="AM18" i="6"/>
  <c r="AN18" i="6" s="1"/>
  <c r="AM21" i="6"/>
  <c r="AN21" i="6" s="1"/>
  <c r="R28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P3" i="6"/>
  <c r="Y6" i="5"/>
  <c r="D9" i="6" l="1"/>
  <c r="T9" i="5" l="1"/>
  <c r="V6" i="5"/>
  <c r="Z20" i="5"/>
  <c r="Z7" i="5" l="1"/>
  <c r="Z17" i="5" s="1"/>
  <c r="Z23" i="5"/>
  <c r="X29" i="6"/>
  <c r="X3" i="6" l="1"/>
  <c r="W3" i="6" l="1"/>
  <c r="V3" i="6"/>
  <c r="U3" i="6"/>
  <c r="E33" i="6" l="1"/>
  <c r="F33" i="6" s="1"/>
  <c r="E34" i="6"/>
  <c r="G34" i="6" s="1"/>
  <c r="E35" i="6"/>
  <c r="F35" i="6" s="1"/>
  <c r="E36" i="6"/>
  <c r="G36" i="6" s="1"/>
  <c r="E37" i="6"/>
  <c r="F37" i="6" s="1"/>
  <c r="E38" i="6"/>
  <c r="G38" i="6" s="1"/>
  <c r="E39" i="6"/>
  <c r="F39" i="6" s="1"/>
  <c r="E40" i="6"/>
  <c r="F40" i="6" s="1"/>
  <c r="E41" i="6"/>
  <c r="F41" i="6" s="1"/>
  <c r="E42" i="6"/>
  <c r="G42" i="6" s="1"/>
  <c r="E43" i="6"/>
  <c r="G43" i="6" s="1"/>
  <c r="E44" i="6"/>
  <c r="G44" i="6" s="1"/>
  <c r="E45" i="6"/>
  <c r="F45" i="6" s="1"/>
  <c r="E46" i="6"/>
  <c r="G46" i="6" s="1"/>
  <c r="E47" i="6"/>
  <c r="G47" i="6" s="1"/>
  <c r="E48" i="6"/>
  <c r="G48" i="6" s="1"/>
  <c r="E49" i="6"/>
  <c r="F49" i="6" s="1"/>
  <c r="E50" i="6"/>
  <c r="G50" i="6" s="1"/>
  <c r="E51" i="6"/>
  <c r="F51" i="6" s="1"/>
  <c r="E52" i="6"/>
  <c r="G52" i="6" s="1"/>
  <c r="E53" i="6"/>
  <c r="F53" i="6" s="1"/>
  <c r="E54" i="6"/>
  <c r="G54" i="6" s="1"/>
  <c r="E55" i="6"/>
  <c r="G55" i="6" s="1"/>
  <c r="E56" i="6"/>
  <c r="F56" i="6" s="1"/>
  <c r="E57" i="6"/>
  <c r="F57" i="6" s="1"/>
  <c r="E58" i="6"/>
  <c r="G58" i="6" s="1"/>
  <c r="E59" i="6"/>
  <c r="F59" i="6" s="1"/>
  <c r="E60" i="6"/>
  <c r="G60" i="6" s="1"/>
  <c r="E61" i="6"/>
  <c r="F61" i="6" s="1"/>
  <c r="E62" i="6"/>
  <c r="G62" i="6" s="1"/>
  <c r="E63" i="6"/>
  <c r="G63" i="6" s="1"/>
  <c r="E64" i="6"/>
  <c r="G64" i="6" s="1"/>
  <c r="E65" i="6"/>
  <c r="F65" i="6" s="1"/>
  <c r="E66" i="6"/>
  <c r="G66" i="6" s="1"/>
  <c r="E67" i="6"/>
  <c r="F67" i="6" s="1"/>
  <c r="E68" i="6"/>
  <c r="G68" i="6" s="1"/>
  <c r="E69" i="6"/>
  <c r="F69" i="6" s="1"/>
  <c r="E70" i="6"/>
  <c r="G70" i="6" s="1"/>
  <c r="E71" i="6"/>
  <c r="G71" i="6" s="1"/>
  <c r="E72" i="6"/>
  <c r="F72" i="6" s="1"/>
  <c r="E73" i="6"/>
  <c r="F73" i="6" s="1"/>
  <c r="E74" i="6"/>
  <c r="G74" i="6" s="1"/>
  <c r="E75" i="6"/>
  <c r="F75" i="6" s="1"/>
  <c r="E76" i="6"/>
  <c r="F76" i="6" s="1"/>
  <c r="E77" i="6"/>
  <c r="F77" i="6" s="1"/>
  <c r="E78" i="6"/>
  <c r="G78" i="6" s="1"/>
  <c r="E79" i="6"/>
  <c r="G79" i="6" s="1"/>
  <c r="E80" i="6"/>
  <c r="F80" i="6" s="1"/>
  <c r="E81" i="6"/>
  <c r="F81" i="6" s="1"/>
  <c r="E82" i="6"/>
  <c r="G82" i="6" s="1"/>
  <c r="E83" i="6"/>
  <c r="F83" i="6" s="1"/>
  <c r="E84" i="6"/>
  <c r="G84" i="6" s="1"/>
  <c r="E85" i="6"/>
  <c r="F85" i="6" s="1"/>
  <c r="E86" i="6"/>
  <c r="G86" i="6" s="1"/>
  <c r="E87" i="6"/>
  <c r="F87" i="6" s="1"/>
  <c r="E88" i="6"/>
  <c r="F88" i="6" s="1"/>
  <c r="E89" i="6"/>
  <c r="F89" i="6" s="1"/>
  <c r="E90" i="6"/>
  <c r="G90" i="6" s="1"/>
  <c r="E91" i="6"/>
  <c r="G91" i="6" s="1"/>
  <c r="E92" i="6"/>
  <c r="F92" i="6" s="1"/>
  <c r="E93" i="6"/>
  <c r="F93" i="6" s="1"/>
  <c r="E94" i="6"/>
  <c r="G94" i="6" s="1"/>
  <c r="E95" i="6"/>
  <c r="G95" i="6" s="1"/>
  <c r="E96" i="6"/>
  <c r="F96" i="6" s="1"/>
  <c r="E97" i="6"/>
  <c r="F97" i="6" s="1"/>
  <c r="E98" i="6"/>
  <c r="G98" i="6" s="1"/>
  <c r="E99" i="6"/>
  <c r="F99" i="6" s="1"/>
  <c r="E100" i="6"/>
  <c r="G100" i="6" s="1"/>
  <c r="E101" i="6"/>
  <c r="F101" i="6" s="1"/>
  <c r="E102" i="6"/>
  <c r="G102" i="6" s="1"/>
  <c r="E103" i="6"/>
  <c r="F103" i="6" s="1"/>
  <c r="E104" i="6"/>
  <c r="F104" i="6" s="1"/>
  <c r="E105" i="6"/>
  <c r="F105" i="6" s="1"/>
  <c r="E106" i="6"/>
  <c r="G106" i="6" s="1"/>
  <c r="E107" i="6"/>
  <c r="G107" i="6" s="1"/>
  <c r="E108" i="6"/>
  <c r="F108" i="6" s="1"/>
  <c r="E109" i="6"/>
  <c r="F109" i="6" s="1"/>
  <c r="E110" i="6"/>
  <c r="G110" i="6" s="1"/>
  <c r="E111" i="6"/>
  <c r="G111" i="6" s="1"/>
  <c r="E112" i="6"/>
  <c r="G112" i="6" s="1"/>
  <c r="E113" i="6"/>
  <c r="F113" i="6" s="1"/>
  <c r="E114" i="6"/>
  <c r="G114" i="6" s="1"/>
  <c r="E115" i="6"/>
  <c r="F115" i="6" s="1"/>
  <c r="E116" i="6"/>
  <c r="G116" i="6" s="1"/>
  <c r="E117" i="6"/>
  <c r="F117" i="6" s="1"/>
  <c r="E118" i="6"/>
  <c r="G118" i="6" s="1"/>
  <c r="E119" i="6"/>
  <c r="F119" i="6" s="1"/>
  <c r="E120" i="6"/>
  <c r="F120" i="6" s="1"/>
  <c r="E121" i="6"/>
  <c r="F121" i="6" s="1"/>
  <c r="E122" i="6"/>
  <c r="G122" i="6" s="1"/>
  <c r="E123" i="6"/>
  <c r="F123" i="6" s="1"/>
  <c r="E124" i="6"/>
  <c r="F124" i="6" s="1"/>
  <c r="E125" i="6"/>
  <c r="F125" i="6" s="1"/>
  <c r="E126" i="6"/>
  <c r="G126" i="6" s="1"/>
  <c r="E127" i="6"/>
  <c r="G127" i="6" s="1"/>
  <c r="E128" i="6"/>
  <c r="G128" i="6" s="1"/>
  <c r="E129" i="6"/>
  <c r="F129" i="6" s="1"/>
  <c r="E130" i="6"/>
  <c r="G130" i="6" s="1"/>
  <c r="E131" i="6"/>
  <c r="F131" i="6" s="1"/>
  <c r="E132" i="6"/>
  <c r="G132" i="6" s="1"/>
  <c r="E133" i="6"/>
  <c r="F133" i="6" s="1"/>
  <c r="E134" i="6"/>
  <c r="G134" i="6" s="1"/>
  <c r="E135" i="6"/>
  <c r="F135" i="6" s="1"/>
  <c r="E136" i="6"/>
  <c r="F136" i="6" s="1"/>
  <c r="E137" i="6"/>
  <c r="F137" i="6" s="1"/>
  <c r="G92" i="6" l="1"/>
  <c r="F86" i="6"/>
  <c r="G103" i="6"/>
  <c r="G96" i="6"/>
  <c r="G123" i="6"/>
  <c r="F94" i="6"/>
  <c r="F50" i="6"/>
  <c r="G135" i="6"/>
  <c r="F132" i="6"/>
  <c r="F118" i="6"/>
  <c r="F111" i="6"/>
  <c r="G108" i="6"/>
  <c r="F98" i="6"/>
  <c r="F70" i="6"/>
  <c r="F63" i="6"/>
  <c r="F46" i="6"/>
  <c r="G80" i="6"/>
  <c r="G59" i="6"/>
  <c r="F34" i="6"/>
  <c r="G75" i="6"/>
  <c r="G39" i="6"/>
  <c r="G87" i="6"/>
  <c r="F48" i="6"/>
  <c r="F36" i="6"/>
  <c r="F130" i="6"/>
  <c r="F128" i="6"/>
  <c r="F116" i="6"/>
  <c r="F107" i="6"/>
  <c r="F91" i="6"/>
  <c r="F79" i="6"/>
  <c r="G76" i="6"/>
  <c r="F68" i="6"/>
  <c r="F55" i="6"/>
  <c r="F52" i="6"/>
  <c r="F44" i="6"/>
  <c r="F134" i="6"/>
  <c r="F127" i="6"/>
  <c r="G124" i="6"/>
  <c r="G119" i="6"/>
  <c r="F114" i="6"/>
  <c r="F112" i="6"/>
  <c r="F102" i="6"/>
  <c r="F95" i="6"/>
  <c r="F84" i="6"/>
  <c r="F71" i="6"/>
  <c r="F66" i="6"/>
  <c r="F64" i="6"/>
  <c r="F62" i="6"/>
  <c r="F60" i="6"/>
  <c r="F43" i="6"/>
  <c r="F38" i="6"/>
  <c r="F100" i="6"/>
  <c r="F82" i="6"/>
  <c r="F78" i="6"/>
  <c r="F54" i="6"/>
  <c r="F47" i="6"/>
  <c r="H32" i="6"/>
  <c r="G136" i="6"/>
  <c r="G131" i="6"/>
  <c r="F126" i="6"/>
  <c r="G120" i="6"/>
  <c r="G115" i="6"/>
  <c r="F110" i="6"/>
  <c r="G104" i="6"/>
  <c r="G99" i="6"/>
  <c r="G88" i="6"/>
  <c r="G83" i="6"/>
  <c r="G72" i="6"/>
  <c r="G67" i="6"/>
  <c r="G56" i="6"/>
  <c r="G51" i="6"/>
  <c r="G40" i="6"/>
  <c r="G35" i="6"/>
  <c r="F122" i="6"/>
  <c r="F106" i="6"/>
  <c r="F90" i="6"/>
  <c r="F74" i="6"/>
  <c r="F58" i="6"/>
  <c r="F42" i="6"/>
  <c r="G137" i="6"/>
  <c r="G133" i="6"/>
  <c r="G129" i="6"/>
  <c r="G125" i="6"/>
  <c r="G121" i="6"/>
  <c r="G117" i="6"/>
  <c r="G113" i="6"/>
  <c r="G109" i="6"/>
  <c r="G105" i="6"/>
  <c r="G101" i="6"/>
  <c r="G97" i="6"/>
  <c r="G93" i="6"/>
  <c r="G89" i="6"/>
  <c r="G85" i="6"/>
  <c r="G81" i="6"/>
  <c r="G77" i="6"/>
  <c r="G73" i="6"/>
  <c r="G69" i="6"/>
  <c r="G65" i="6"/>
  <c r="G61" i="6"/>
  <c r="G57" i="6"/>
  <c r="G53" i="6"/>
  <c r="G49" i="6"/>
  <c r="G45" i="6"/>
  <c r="G41" i="6"/>
  <c r="G37" i="6"/>
  <c r="G33" i="6"/>
  <c r="G9" i="6"/>
  <c r="E9" i="6"/>
  <c r="G10" i="6"/>
  <c r="E10" i="6"/>
  <c r="G11" i="6"/>
  <c r="E11" i="6"/>
  <c r="Z13" i="6" l="1" a="1"/>
  <c r="Z13" i="6" s="1"/>
  <c r="AA13" i="6" s="1"/>
  <c r="G12" i="6"/>
  <c r="X12" i="6"/>
  <c r="X39" i="6"/>
  <c r="X38" i="6"/>
  <c r="X37" i="6"/>
  <c r="X36" i="6"/>
  <c r="X35" i="6"/>
  <c r="X34" i="6"/>
  <c r="X33" i="6"/>
  <c r="X32" i="6"/>
  <c r="X31" i="6"/>
  <c r="X30" i="6"/>
  <c r="X13" i="6" l="1"/>
  <c r="Z14" i="6" a="1"/>
  <c r="Z14" i="6" s="1"/>
  <c r="AA14" i="6" s="1"/>
  <c r="AA29" i="6"/>
  <c r="Y30" i="6"/>
  <c r="Y38" i="6"/>
  <c r="AA31" i="6"/>
  <c r="AA35" i="6"/>
  <c r="AA39" i="6"/>
  <c r="AA32" i="6"/>
  <c r="AA36" i="6"/>
  <c r="AA33" i="6"/>
  <c r="AA37" i="6"/>
  <c r="Y34" i="6"/>
  <c r="AA34" i="6"/>
  <c r="Y29" i="6"/>
  <c r="AA38" i="6"/>
  <c r="Y37" i="6"/>
  <c r="Y33" i="6"/>
  <c r="AA30" i="6"/>
  <c r="Y36" i="6"/>
  <c r="Y32" i="6"/>
  <c r="Y39" i="6"/>
  <c r="Y35" i="6"/>
  <c r="Y31" i="6"/>
  <c r="Z31" i="6" s="1"/>
  <c r="F11" i="6"/>
  <c r="M16" i="6"/>
  <c r="X14" i="6" l="1"/>
  <c r="Z15" i="6" a="1"/>
  <c r="Z15" i="6" s="1"/>
  <c r="AA15" i="6" s="1"/>
  <c r="Z33" i="6"/>
  <c r="Z38" i="6"/>
  <c r="Z34" i="6"/>
  <c r="Z30" i="6"/>
  <c r="Z39" i="6"/>
  <c r="Z37" i="6"/>
  <c r="Z29" i="6"/>
  <c r="Z32" i="6"/>
  <c r="Z36" i="6"/>
  <c r="Z35" i="6"/>
  <c r="O18" i="6"/>
  <c r="N18" i="6" s="1" a="1"/>
  <c r="N18" i="6" s="1"/>
  <c r="O17" i="6"/>
  <c r="N17" i="6" s="1" a="1"/>
  <c r="N17" i="6" s="1"/>
  <c r="O16" i="6"/>
  <c r="N16" i="6" s="1"/>
  <c r="F10" i="6"/>
  <c r="F9" i="6"/>
  <c r="N11" i="6"/>
  <c r="K12" i="6"/>
  <c r="X15" i="6" l="1"/>
  <c r="Z16" i="6" a="1"/>
  <c r="Z16" i="6" s="1"/>
  <c r="AA16" i="6" s="1"/>
  <c r="J13" i="6" a="1"/>
  <c r="J13" i="6" s="1"/>
  <c r="X16" i="6" l="1"/>
  <c r="Z17" i="6" a="1"/>
  <c r="Z17" i="6" s="1"/>
  <c r="AA17" i="6" s="1"/>
  <c r="K13" i="6"/>
  <c r="J14" i="6" a="1"/>
  <c r="J14" i="6" s="1"/>
  <c r="K14" i="6" s="1"/>
  <c r="X17" i="6" l="1"/>
  <c r="Z18" i="6" a="1"/>
  <c r="Z18" i="6" s="1"/>
  <c r="AA18" i="6" s="1"/>
  <c r="J15" i="6" a="1"/>
  <c r="J15" i="6" s="1"/>
  <c r="K15" i="6" s="1"/>
  <c r="C5" i="6"/>
  <c r="C6" i="6"/>
  <c r="C4" i="6"/>
  <c r="N2" i="6"/>
  <c r="Q79" i="6" l="1"/>
  <c r="Q83" i="6"/>
  <c r="Q87" i="6"/>
  <c r="Q91" i="6"/>
  <c r="Q95" i="6"/>
  <c r="Q99" i="6"/>
  <c r="Q103" i="6"/>
  <c r="Q107" i="6"/>
  <c r="F17" i="6"/>
  <c r="E17" i="6" s="1"/>
  <c r="Q80" i="6"/>
  <c r="Q84" i="6"/>
  <c r="Q88" i="6"/>
  <c r="Q92" i="6"/>
  <c r="Q96" i="6"/>
  <c r="Q100" i="6"/>
  <c r="Q104" i="6"/>
  <c r="Q108" i="6"/>
  <c r="Q3" i="6"/>
  <c r="Q77" i="6"/>
  <c r="Q81" i="6"/>
  <c r="Q85" i="6"/>
  <c r="Q89" i="6"/>
  <c r="Q93" i="6"/>
  <c r="Q97" i="6"/>
  <c r="Q101" i="6"/>
  <c r="Q105" i="6"/>
  <c r="Q109" i="6"/>
  <c r="Q90" i="6"/>
  <c r="Q106" i="6"/>
  <c r="Q78" i="6"/>
  <c r="Q94" i="6"/>
  <c r="Q82" i="6"/>
  <c r="Q98" i="6"/>
  <c r="Q86" i="6"/>
  <c r="Q102" i="6"/>
  <c r="Z19" i="6" a="1"/>
  <c r="Z19" i="6" s="1"/>
  <c r="AA19" i="6" s="1"/>
  <c r="X18" i="6"/>
  <c r="G17" i="6" a="1"/>
  <c r="G17" i="6" s="1"/>
  <c r="G18" i="6" s="1" a="1"/>
  <c r="G18" i="6" s="1"/>
  <c r="F18" i="6" s="1"/>
  <c r="I3" i="6"/>
  <c r="J16" i="6" a="1"/>
  <c r="J16" i="6" s="1"/>
  <c r="J17" i="6" s="1" a="1"/>
  <c r="J17" i="6" s="1"/>
  <c r="K17" i="6" s="1"/>
  <c r="Z20" i="6" l="1" a="1"/>
  <c r="Z20" i="6" s="1"/>
  <c r="AA20" i="6" s="1"/>
  <c r="X19" i="6"/>
  <c r="R3" i="6"/>
  <c r="P4" i="6" a="1"/>
  <c r="P4" i="6" s="1"/>
  <c r="R4" i="6" s="1" a="1"/>
  <c r="R4" i="6" s="1"/>
  <c r="M4" i="6"/>
  <c r="H3" i="6" s="1"/>
  <c r="N4" i="6"/>
  <c r="J3" i="6" s="1"/>
  <c r="K16" i="6"/>
  <c r="J18" i="6" a="1"/>
  <c r="J18" i="6" s="1"/>
  <c r="K18" i="6" s="1"/>
  <c r="P5" i="6" l="1" a="1"/>
  <c r="P5" i="6" s="1"/>
  <c r="Q4" i="6"/>
  <c r="Z21" i="6" a="1"/>
  <c r="Z21" i="6" s="1"/>
  <c r="AA21" i="6" s="1"/>
  <c r="X20" i="6"/>
  <c r="G19" i="6" a="1"/>
  <c r="G19" i="6" s="1"/>
  <c r="J19" i="6" a="1"/>
  <c r="J19" i="6" s="1"/>
  <c r="P6" i="6" l="1" a="1"/>
  <c r="P6" i="6" s="1"/>
  <c r="R6" i="6" s="1"/>
  <c r="R5" i="6"/>
  <c r="Q5" i="6"/>
  <c r="X21" i="6"/>
  <c r="F19" i="6"/>
  <c r="E18" i="6"/>
  <c r="K19" i="6"/>
  <c r="J20" i="6" a="1"/>
  <c r="J20" i="6" s="1"/>
  <c r="P7" i="6" l="1" a="1"/>
  <c r="P7" i="6" s="1"/>
  <c r="P8" i="6" s="1" a="1"/>
  <c r="P8" i="6" s="1"/>
  <c r="Q6" i="6"/>
  <c r="E19" i="6"/>
  <c r="J21" i="6" a="1"/>
  <c r="J21" i="6" s="1"/>
  <c r="K21" i="6" s="1"/>
  <c r="K20" i="6"/>
  <c r="Q8" i="6" l="1"/>
  <c r="R8" i="6"/>
  <c r="Q7" i="6"/>
  <c r="R7" i="6"/>
  <c r="P9" i="6" a="1"/>
  <c r="P9" i="6" s="1"/>
  <c r="J22" i="6" a="1"/>
  <c r="J22" i="6" s="1"/>
  <c r="Q9" i="6" l="1"/>
  <c r="R9" i="6"/>
  <c r="P10" i="6" a="1"/>
  <c r="P10" i="6" s="1"/>
  <c r="J23" i="6" a="1"/>
  <c r="J23" i="6" s="1"/>
  <c r="K22" i="6"/>
  <c r="P11" i="6" l="1" a="1"/>
  <c r="P11" i="6" s="1"/>
  <c r="Q11" i="6" s="1"/>
  <c r="R10" i="6"/>
  <c r="Q10" i="6"/>
  <c r="J24" i="6" a="1"/>
  <c r="J24" i="6" s="1"/>
  <c r="K23" i="6"/>
  <c r="P12" i="6" l="1" a="1"/>
  <c r="P12" i="6" s="1"/>
  <c r="P13" i="6" s="1" a="1"/>
  <c r="P13" i="6" s="1"/>
  <c r="R11" i="6"/>
  <c r="J25" i="6" a="1"/>
  <c r="J25" i="6" s="1"/>
  <c r="K25" i="6" s="1"/>
  <c r="K24" i="6"/>
  <c r="Q13" i="6" l="1"/>
  <c r="R13" i="6"/>
  <c r="Q12" i="6"/>
  <c r="R12" i="6"/>
  <c r="P14" i="6" a="1"/>
  <c r="P14" i="6" s="1"/>
  <c r="Q14" i="6" l="1"/>
  <c r="R14" i="6"/>
  <c r="P15" i="6" a="1"/>
  <c r="P15" i="6" s="1"/>
  <c r="Q15" i="6" l="1"/>
  <c r="R15" i="6"/>
  <c r="P16" i="6" a="1"/>
  <c r="P16" i="6" s="1"/>
  <c r="Q16" i="6" l="1"/>
  <c r="R16" i="6"/>
  <c r="P17" i="6" a="1"/>
  <c r="P17" i="6" s="1"/>
  <c r="P18" i="6" l="1" a="1"/>
  <c r="P18" i="6" s="1"/>
  <c r="R18" i="6" s="1"/>
  <c r="R17" i="6"/>
  <c r="Q17" i="6"/>
  <c r="Q18" i="6" l="1"/>
  <c r="P19" i="6" a="1"/>
  <c r="P19" i="6" s="1"/>
  <c r="R19" i="6" s="1"/>
  <c r="P20" i="6" l="1" a="1"/>
  <c r="P20" i="6" s="1"/>
  <c r="R20" i="6" s="1"/>
  <c r="Q19" i="6"/>
  <c r="P21" i="6" l="1" a="1"/>
  <c r="P21" i="6" s="1"/>
  <c r="R21" i="6" s="1"/>
  <c r="Q20" i="6"/>
  <c r="Q21" i="6" l="1"/>
  <c r="P22" i="6" a="1"/>
  <c r="P22" i="6" s="1"/>
  <c r="R22" i="6" s="1"/>
  <c r="P23" i="6" l="1" a="1"/>
  <c r="P23" i="6" s="1"/>
  <c r="R23" i="6" s="1"/>
  <c r="Q22" i="6"/>
  <c r="Q23" i="6" l="1"/>
  <c r="P24" i="6" a="1"/>
  <c r="P24" i="6" s="1"/>
  <c r="R24" i="6" s="1"/>
  <c r="P25" i="6" l="1" a="1"/>
  <c r="P25" i="6" s="1"/>
  <c r="R25" i="6" s="1"/>
  <c r="Q24" i="6"/>
  <c r="Q25" i="6" l="1"/>
  <c r="P26" i="6" a="1"/>
  <c r="P26" i="6" s="1"/>
  <c r="R26" i="6" s="1"/>
  <c r="Q26" i="6" l="1"/>
  <c r="P27" i="6" a="1"/>
  <c r="P27" i="6" s="1"/>
  <c r="R27" i="6" s="1"/>
  <c r="P28" i="6" l="1" a="1"/>
  <c r="P28" i="6" s="1"/>
  <c r="Q28" i="6" s="1"/>
  <c r="Q27" i="6"/>
  <c r="P29" i="6" l="1" a="1"/>
  <c r="P29" i="6" s="1"/>
  <c r="P30" i="6" s="1" a="1"/>
  <c r="P30" i="6" s="1"/>
  <c r="Q29" i="6" l="1"/>
  <c r="P31" i="6" a="1"/>
  <c r="P31" i="6" s="1"/>
  <c r="Q30" i="6"/>
  <c r="P32" i="6" l="1" a="1"/>
  <c r="P32" i="6" s="1"/>
  <c r="Q31" i="6"/>
  <c r="P33" i="6" l="1" a="1"/>
  <c r="P33" i="6" s="1"/>
  <c r="Q32" i="6"/>
  <c r="P34" i="6" l="1" a="1"/>
  <c r="P34" i="6" s="1"/>
  <c r="Q33" i="6"/>
  <c r="P35" i="6" l="1" a="1"/>
  <c r="P35" i="6" s="1"/>
  <c r="Q34" i="6"/>
  <c r="P36" i="6" l="1" a="1"/>
  <c r="P36" i="6" s="1"/>
  <c r="Q35" i="6"/>
  <c r="P37" i="6" l="1" a="1"/>
  <c r="P37" i="6" s="1"/>
  <c r="Q36" i="6"/>
  <c r="P38" i="6" l="1" a="1"/>
  <c r="P38" i="6" s="1"/>
  <c r="Q37" i="6"/>
  <c r="P39" i="6" l="1" a="1"/>
  <c r="P39" i="6" s="1"/>
  <c r="Q38" i="6"/>
  <c r="P40" i="6" l="1" a="1"/>
  <c r="P40" i="6" s="1"/>
  <c r="Q39" i="6"/>
  <c r="P41" i="6" l="1" a="1"/>
  <c r="P41" i="6" s="1"/>
  <c r="R41" i="6" s="1"/>
  <c r="Q40" i="6"/>
  <c r="P42" i="6" l="1" a="1"/>
  <c r="P42" i="6" s="1"/>
  <c r="R42" i="6" s="1"/>
  <c r="Q41" i="6"/>
  <c r="P43" i="6" l="1" a="1"/>
  <c r="P43" i="6" s="1"/>
  <c r="R43" i="6" s="1"/>
  <c r="Q42" i="6"/>
  <c r="I33" i="6"/>
  <c r="P44" i="6" l="1" a="1"/>
  <c r="P44" i="6" s="1"/>
  <c r="R44" i="6" s="1"/>
  <c r="Q43" i="6"/>
  <c r="P45" i="6" l="1" a="1"/>
  <c r="P45" i="6" s="1"/>
  <c r="R45" i="6" s="1"/>
  <c r="Q44" i="6"/>
  <c r="P46" i="6" l="1" a="1"/>
  <c r="P46" i="6" s="1"/>
  <c r="R46" i="6" s="1"/>
  <c r="Q45" i="6"/>
  <c r="P47" i="6" l="1" a="1"/>
  <c r="P47" i="6" s="1"/>
  <c r="R47" i="6" s="1"/>
  <c r="Q46" i="6"/>
  <c r="P48" i="6" l="1" a="1"/>
  <c r="P48" i="6" s="1"/>
  <c r="R48" i="6" s="1"/>
  <c r="Q47" i="6"/>
  <c r="P49" i="6" l="1" a="1"/>
  <c r="P49" i="6" s="1"/>
  <c r="R49" i="6" s="1"/>
  <c r="Q48" i="6"/>
  <c r="P50" i="6" l="1" a="1"/>
  <c r="P50" i="6" s="1"/>
  <c r="R50" i="6" s="1"/>
  <c r="Q49" i="6"/>
  <c r="P51" i="6" l="1" a="1"/>
  <c r="P51" i="6" s="1"/>
  <c r="R51" i="6" s="1"/>
  <c r="Q50" i="6"/>
  <c r="P52" i="6" l="1" a="1"/>
  <c r="P52" i="6" s="1"/>
  <c r="R52" i="6" s="1"/>
  <c r="Q51" i="6"/>
  <c r="P53" i="6" l="1" a="1"/>
  <c r="P53" i="6" s="1"/>
  <c r="R53" i="6" s="1"/>
  <c r="Q52" i="6"/>
  <c r="P54" i="6" l="1" a="1"/>
  <c r="P54" i="6" s="1"/>
  <c r="R54" i="6" s="1"/>
  <c r="Q53" i="6"/>
  <c r="P55" i="6" l="1" a="1"/>
  <c r="P55" i="6" s="1"/>
  <c r="R55" i="6" s="1"/>
  <c r="Q54" i="6"/>
  <c r="P56" i="6" l="1" a="1"/>
  <c r="P56" i="6" s="1"/>
  <c r="R56" i="6" s="1"/>
  <c r="Q55" i="6"/>
  <c r="P57" i="6" l="1" a="1"/>
  <c r="P57" i="6" s="1"/>
  <c r="R57" i="6" s="1"/>
  <c r="Q56" i="6"/>
  <c r="P58" i="6" l="1" a="1"/>
  <c r="P58" i="6" s="1"/>
  <c r="R58" i="6" s="1"/>
  <c r="Q57" i="6"/>
  <c r="P59" i="6" l="1" a="1"/>
  <c r="P59" i="6" s="1"/>
  <c r="R59" i="6" s="1"/>
  <c r="Q58" i="6"/>
  <c r="P60" i="6" l="1" a="1"/>
  <c r="P60" i="6" s="1"/>
  <c r="R60" i="6" s="1"/>
  <c r="Q59" i="6"/>
  <c r="P61" i="6" l="1" a="1"/>
  <c r="P61" i="6" s="1"/>
  <c r="R61" i="6" s="1"/>
  <c r="Q60" i="6"/>
  <c r="P62" i="6" l="1" a="1"/>
  <c r="P62" i="6" s="1"/>
  <c r="R62" i="6" s="1"/>
  <c r="Q61" i="6"/>
  <c r="Q62" i="6" l="1"/>
  <c r="P63" i="6" a="1"/>
  <c r="P63" i="6" s="1"/>
  <c r="R63" i="6" l="1"/>
  <c r="Q63" i="6"/>
  <c r="P64" i="6" a="1"/>
  <c r="P64" i="6" s="1"/>
  <c r="P65" i="6" l="1" a="1"/>
  <c r="P65" i="6" s="1"/>
  <c r="R64" i="6"/>
  <c r="Q64" i="6"/>
  <c r="R65" i="6" l="1"/>
  <c r="Q65" i="6"/>
  <c r="P66" i="6" a="1"/>
  <c r="P66" i="6" s="1"/>
  <c r="R66" i="6" l="1"/>
  <c r="Q66" i="6"/>
  <c r="P67" i="6" a="1"/>
  <c r="P67" i="6" s="1"/>
  <c r="R67" i="6" l="1"/>
  <c r="Q67" i="6"/>
  <c r="P68" i="6" a="1"/>
  <c r="P68" i="6" s="1"/>
  <c r="R68" i="6" l="1"/>
  <c r="Q68" i="6"/>
  <c r="P69" i="6" a="1"/>
  <c r="P69" i="6" s="1"/>
  <c r="P70" i="6" l="1" a="1"/>
  <c r="P70" i="6" s="1"/>
  <c r="R69" i="6"/>
  <c r="Q69" i="6"/>
  <c r="R70" i="6" l="1"/>
  <c r="Q70" i="6"/>
  <c r="P71" i="6" a="1"/>
  <c r="P71" i="6" s="1"/>
  <c r="P72" i="6" l="1" a="1"/>
  <c r="P72" i="6" s="1"/>
  <c r="R71" i="6"/>
  <c r="Q71" i="6"/>
  <c r="R72" i="6" l="1"/>
  <c r="Q72" i="6"/>
  <c r="P73" i="6" a="1"/>
  <c r="P73" i="6" s="1"/>
  <c r="P74" i="6" l="1" a="1"/>
  <c r="P74" i="6" s="1"/>
  <c r="R73" i="6"/>
  <c r="Q73" i="6"/>
  <c r="P75" i="6" l="1" a="1"/>
  <c r="P75" i="6" s="1"/>
  <c r="R74" i="6"/>
  <c r="Q74" i="6"/>
  <c r="P76" i="6" l="1" a="1"/>
  <c r="P76" i="6" s="1"/>
  <c r="R75" i="6"/>
  <c r="Q75" i="6"/>
  <c r="R76" i="6" l="1"/>
  <c r="Q76" i="6"/>
</calcChain>
</file>

<file path=xl/sharedStrings.xml><?xml version="1.0" encoding="utf-8"?>
<sst xmlns="http://schemas.openxmlformats.org/spreadsheetml/2006/main" count="274" uniqueCount="228">
  <si>
    <t>PLACA</t>
  </si>
  <si>
    <t>MODELO</t>
  </si>
  <si>
    <t>ANO</t>
  </si>
  <si>
    <t>ÚLTIMOS 3 CARROS</t>
  </si>
  <si>
    <t>ÚLTIMOS 3 LOTAÇÕES</t>
  </si>
  <si>
    <t>CARROS MAIS USADOS</t>
  </si>
  <si>
    <t>ATUAIS</t>
  </si>
  <si>
    <t>CARRO</t>
  </si>
  <si>
    <t>PESSOA</t>
  </si>
  <si>
    <t>Motorísta</t>
  </si>
  <si>
    <t>ANOS</t>
  </si>
  <si>
    <t>ATIVO</t>
  </si>
  <si>
    <t>funcinal</t>
  </si>
  <si>
    <t>INATIVO</t>
  </si>
  <si>
    <t>MANUTENÇÃO</t>
  </si>
  <si>
    <t>CARROS POR EMPRESA</t>
  </si>
  <si>
    <t>EMPRESAS LOCAÇÃO FROTA</t>
  </si>
  <si>
    <t>CNH VENCI</t>
  </si>
  <si>
    <t>USO</t>
  </si>
  <si>
    <t>TRÊS ULTIMOS CARROS</t>
  </si>
  <si>
    <t>TRÊS ÚLTIMAS LOTAÇÕES</t>
  </si>
  <si>
    <t>DATA</t>
  </si>
  <si>
    <t>CONTAGEM</t>
  </si>
  <si>
    <t>ÚLTIMOS REGISTROS</t>
  </si>
  <si>
    <t>MOTORÍSTICA</t>
  </si>
  <si>
    <t>MOTORISTA</t>
  </si>
  <si>
    <t>GGAF</t>
  </si>
  <si>
    <t>CREAS CORDEIRO</t>
  </si>
  <si>
    <t>LOCAIS LOTAÇÃO</t>
  </si>
  <si>
    <t>CRAS CORDEIRO</t>
  </si>
  <si>
    <t>CRAS PINA</t>
  </si>
  <si>
    <t>CRAS BONGI</t>
  </si>
  <si>
    <t>CRAS ALTO SANTA TEREZINHA</t>
  </si>
  <si>
    <t>CRAS SANTO AMARO</t>
  </si>
  <si>
    <t>CRAS ALTO DO MANDÚ</t>
  </si>
  <si>
    <t>CRAS TOTÓ</t>
  </si>
  <si>
    <t>CRAS IBURA</t>
  </si>
  <si>
    <t>CRAS IBURA DE CIMA</t>
  </si>
  <si>
    <t>CRAS CAMPINA DO BARRETO</t>
  </si>
  <si>
    <t>CRAS TORRÕES</t>
  </si>
  <si>
    <t>CRAS DOIS IRMÃOS</t>
  </si>
  <si>
    <t>CONSELHO TUTELAR - RPA 1</t>
  </si>
  <si>
    <t>CONSELHO TUTELAR - RPA 2</t>
  </si>
  <si>
    <t>CONSELHO TUTELAR - RPA 3A</t>
  </si>
  <si>
    <t>CONSELHO TUTELAR - RPA 3B</t>
  </si>
  <si>
    <t>CONSELHO TUTELAR - RPA 4</t>
  </si>
  <si>
    <t>CONSELHO TUTELAR - RPA 5</t>
  </si>
  <si>
    <t>CONSELHO TUTELAR - RPA 6A</t>
  </si>
  <si>
    <t>CONSELHO TUTELAR - RPA 6B</t>
  </si>
  <si>
    <t>CREAS AFOGADOS</t>
  </si>
  <si>
    <t>CREAS ESPINHEIRO</t>
  </si>
  <si>
    <t>CREAS ANA VASCONCELOS</t>
  </si>
  <si>
    <t>CAT Acalanto</t>
  </si>
  <si>
    <t>CAT Cordeiro</t>
  </si>
  <si>
    <t>CAT Passagem Diagnóstica</t>
  </si>
  <si>
    <t>CAT Ações Emergência</t>
  </si>
  <si>
    <t>CAT Josué de Castro</t>
  </si>
  <si>
    <t>CAT Ieda Lucena</t>
  </si>
  <si>
    <t>CAT Novos Rumos</t>
  </si>
  <si>
    <t>CAT Porto Seguro</t>
  </si>
  <si>
    <t>CAT Raio de Luz</t>
  </si>
  <si>
    <t>CAT O Recomeço</t>
  </si>
  <si>
    <t xml:space="preserve"> CSUALFRANEO GODOy</t>
  </si>
  <si>
    <t xml:space="preserve"> GERÊNCIA DE CUIDADO</t>
  </si>
  <si>
    <t xml:space="preserve"> GERÊNCIA DE IGUALDADE RACIAL</t>
  </si>
  <si>
    <t xml:space="preserve"> GERÊNCIA GERAL DE OPERAÇÕES</t>
  </si>
  <si>
    <t xml:space="preserve"> CSU - ERALDO GUEIROS</t>
  </si>
  <si>
    <t xml:space="preserve"> GERÊNCIA DA PESSOA COM DEFICIÊNCIA</t>
  </si>
  <si>
    <t xml:space="preserve"> GERÊNCIA DA PESSOA IDOSA</t>
  </si>
  <si>
    <t xml:space="preserve"> GERÊNCIA DE DROGAS</t>
  </si>
  <si>
    <t xml:space="preserve"> CENTRO POP GLÓRIA</t>
  </si>
  <si>
    <t xml:space="preserve"> CENTRO POP NEUzA GOMES</t>
  </si>
  <si>
    <t xml:space="preserve"> CONSELHO DE ÉTICA E DISCIPLINA DOS CONSELHOS TUTELARES</t>
  </si>
  <si>
    <t xml:space="preserve"> CONSELHO MUNICIPAL DEASSISTÊNCIA SOCIAL - CMAS</t>
  </si>
  <si>
    <t xml:space="preserve"> COORDENAÇÃO GERAL DOS CONSELHOS TUTELARES</t>
  </si>
  <si>
    <t xml:space="preserve"> GABINETE DA SECRETARIA</t>
  </si>
  <si>
    <t xml:space="preserve"> GERÊNCIA DA CRIANÇA EADOLESCENTE - DIREITOS HUMANOS</t>
  </si>
  <si>
    <t xml:space="preserve"> GERÊNCIA DE CONTROLE SOCIAL</t>
  </si>
  <si>
    <t xml:space="preserve"> GERÊNCIA DE GESTÃO DE TRABALHO DE EDUCAÇÃO PERMANENTE DO SUAS - GGTEP</t>
  </si>
  <si>
    <t xml:space="preserve"> GERÊNCIA DE PROTEÇÃO SOCIAL BÁSICA</t>
  </si>
  <si>
    <t xml:space="preserve"> GERÊNCIA GERAL DE DIREITOS HUMANOS</t>
  </si>
  <si>
    <t xml:space="preserve"> GERÊNCIA GERAL DE PROJETOS EARTICULAÇÃO INSTITUCIONAL</t>
  </si>
  <si>
    <t xml:space="preserve"> GERÊNCIA GERAL DO SISTEMA ÚNICO DEASSISTÊNCIA SOCIAL - GGSUAS</t>
  </si>
  <si>
    <t xml:space="preserve"> SETOR DA REDE COMPLEMENTAR</t>
  </si>
  <si>
    <t xml:space="preserve"> SETOR DA REDE DE CUIDADOS</t>
  </si>
  <si>
    <t xml:space="preserve"> SETOR DE CENTRO DE REFERÊNCIA LGBT</t>
  </si>
  <si>
    <t xml:space="preserve"> SETOR DE MEDIAÇÃO DE CONFLITOS</t>
  </si>
  <si>
    <t xml:space="preserve"> SETOR DE MOBILIzAÇÃO LOCAL</t>
  </si>
  <si>
    <t xml:space="preserve"> SETOR DE NUTRIÇÃO</t>
  </si>
  <si>
    <t xml:space="preserve"> SETOR DE POLÍTICAS DE DROGAS</t>
  </si>
  <si>
    <t xml:space="preserve"> SETOR DE PROJETOS EARTICULAÇÃO INSTITUCIONAL</t>
  </si>
  <si>
    <t xml:space="preserve"> SETOR DO CADASTRO ÚNICO</t>
  </si>
  <si>
    <t xml:space="preserve"> SETOR DO PROGRAMA BOLSA FAMÍLIA</t>
  </si>
  <si>
    <t xml:space="preserve"> T.I SECRETARIA</t>
  </si>
  <si>
    <t xml:space="preserve"> UNIDADE DE POLÍTICAS DE DROGAS</t>
  </si>
  <si>
    <t xml:space="preserve"> UNIDADE DE PROJETOS EARTICULAÇÃO INSTITUCIONAL</t>
  </si>
  <si>
    <t xml:space="preserve"> UNIDADE DE SEGURANÇAALIMENTAR E NUTRICIONAL</t>
  </si>
  <si>
    <t xml:space="preserve"> UNIDADE DE VIGILâNCIA SOCIOASSISTENCIAL</t>
  </si>
  <si>
    <t xml:space="preserve"> CENTRO LOGÍSTICO (AV. NORTE)</t>
  </si>
  <si>
    <t xml:space="preserve"> DIVISÃO DA PESSOA COM DEFICIÊNCIA</t>
  </si>
  <si>
    <t xml:space="preserve"> DIVISÃO DA PESSOA IDOSA</t>
  </si>
  <si>
    <t xml:space="preserve"> DIVISÃO DA REDE DE CUIDADOS</t>
  </si>
  <si>
    <t xml:space="preserve"> DIVISÃO DEACOLHIMENTO DA PESSOA IDOSA EAÇÕES EMERGÊNCIAIS</t>
  </si>
  <si>
    <t xml:space="preserve"> DIVISÃO DEACOLHIMENTO DEADULTOS E FAMÍLIA</t>
  </si>
  <si>
    <t xml:space="preserve"> DIVISÃO DEACOLHIMENTO DE CRIANÇA EADOLESCENTE</t>
  </si>
  <si>
    <t xml:space="preserve"> DIVISÃO DE BENEFÍCIOS</t>
  </si>
  <si>
    <t xml:space="preserve"> DIVISÃO DE CENTRO DE REFERENCIA DE DIREITOS HUMANOS - CRDH</t>
  </si>
  <si>
    <t xml:space="preserve"> DIVISÃO DE CRIANÇA EADOLESCENTE</t>
  </si>
  <si>
    <t xml:space="preserve"> DIVISÃO DE GESTÃO DO TRABALHO</t>
  </si>
  <si>
    <t xml:space="preserve"> DIVISÃO DE IGUALDADE RACIAL</t>
  </si>
  <si>
    <t xml:space="preserve"> DIVISÃO DE MOBILIzAÇÃO SOCIAL</t>
  </si>
  <si>
    <t xml:space="preserve"> DIVISÃO DE POLÍTICAS DE DROGAS</t>
  </si>
  <si>
    <t xml:space="preserve"> DIVISÃO DE REDE COMPLEMENTAR</t>
  </si>
  <si>
    <t xml:space="preserve"> DIVISÃO DE REINSERÇÃO SOCIAL E PRODUTIVA</t>
  </si>
  <si>
    <t xml:space="preserve"> DIVISÃO DO CADASTRO ÚNICO DE PROGRAMAS SOCIAIS</t>
  </si>
  <si>
    <t xml:space="preserve"> DIVISÃO DO SERVIÇO DE CONVIVÊNCIA E FORTALECIMENTO DE VÍNCULO - SCFV</t>
  </si>
  <si>
    <t xml:space="preserve"> DIVISÃO DOS CENTROS DE REFERÊNCIA DEASSISTÊNCIA SOCIAL - CRAS</t>
  </si>
  <si>
    <t xml:space="preserve"> DIVISÃO DOS CENTROS DE REFERÊNCIA ESPECIALIzADO DEASSISTÊNCIA SOCIAL - CREAS</t>
  </si>
  <si>
    <t xml:space="preserve"> DIVISÃO DOS CENTROS DE REFERÊNCIA ESPECIALIzADO PARA POPULAÇÃO EM SITUAÇÃO DE RUA</t>
  </si>
  <si>
    <t xml:space="preserve"> DIVISÃO PEDAGÓGICO</t>
  </si>
  <si>
    <t xml:space="preserve"> GERÊNCIA DE DESENVOLVIMENTO DE PROJETOS EARTICULAÇÃO INSTITUCIONAL</t>
  </si>
  <si>
    <t xml:space="preserve"> GERÊNCIA DE JUVENTUDE</t>
  </si>
  <si>
    <t xml:space="preserve"> GERÊNCIA DE PREVENÇÃO</t>
  </si>
  <si>
    <t xml:space="preserve"> GERÊNCIA DE REINSERÇÃO SOCIAL E PRODUTIVA</t>
  </si>
  <si>
    <t xml:space="preserve"> SETOR DEAPOIOA INICIATIVAS JUVENIS E DIÁLOGOS INTERSETORIAIS</t>
  </si>
  <si>
    <t xml:space="preserve"> SETOR DE JUVENTUDE</t>
  </si>
  <si>
    <t xml:space="preserve"> SETOR DE POLÍTICAS PÚBLICAS DE JUVENTUDE</t>
  </si>
  <si>
    <t xml:space="preserve"> SETOR DE REINSERÇÃO SOCIAL E PRODUTIVA</t>
  </si>
  <si>
    <t xml:space="preserve"> UNIDADE DEAPOIOA INICIATIVAS JUVENIS E DIÁLOGOS INTERSETORIAIS</t>
  </si>
  <si>
    <t xml:space="preserve"> UNIDADE DE DEFESA E FORTALECIMENTO DE DIREITOS DA JUVENTUDE</t>
  </si>
  <si>
    <t xml:space="preserve"> UNIDADE DE POLÍTICAS PÚBLICAS DE JUVENTUDE</t>
  </si>
  <si>
    <t xml:space="preserve"> UNIDADE DE PREVENÇÃO</t>
  </si>
  <si>
    <t xml:space="preserve"> DIVISÃO DE LIVRE ORIENTAÇÃO E DIVERSIDADE SEXUAL</t>
  </si>
  <si>
    <t xml:space="preserve"> GERÊNCIA DA LIVRE ORIENTAÇÃO SEXUAL</t>
  </si>
  <si>
    <t xml:space="preserve"> GERÊNCIA DE PROTEÇÃO SOCIAL ESPECIAL DEALTA COMPLEXIDADE</t>
  </si>
  <si>
    <t xml:space="preserve"> GERÊNCIA DE PROTEÇÃO SOCIAL ESPECIAL DE MÉDIA COMPLEXIDADE</t>
  </si>
  <si>
    <t xml:space="preserve"> GERENTE EXECUTIVA DE OPERAÇÕES</t>
  </si>
  <si>
    <t xml:space="preserve"> SECRETARIA EXECUTIVA DEASSISTÊNCIA SOCIAL</t>
  </si>
  <si>
    <t xml:space="preserve"> SECRETARIA EXECUTIVA DE POLÍTICAS SOBRE DE DROGAS</t>
  </si>
  <si>
    <t xml:space="preserve"> SETOR DE EXPRESSO RECIFE</t>
  </si>
  <si>
    <t xml:space="preserve"> CONSELHO MUNICIPAL DE DEFESA E PROMOÇÃO DOS DIREITOS DA CRIANÇA E ADOLESCENTE - COMDICA</t>
  </si>
  <si>
    <t>ANIVERSARIANTES DO MÊS</t>
  </si>
  <si>
    <t>BUSCAR CARRO</t>
  </si>
  <si>
    <t>NOME</t>
  </si>
  <si>
    <t>pgi-6659</t>
  </si>
  <si>
    <t>FORM CADASTRAR POSSE</t>
  </si>
  <si>
    <t>EMPRESA</t>
  </si>
  <si>
    <t>STATUS</t>
  </si>
  <si>
    <t>Empresa</t>
  </si>
  <si>
    <t>CNPJ</t>
  </si>
  <si>
    <t>Valor</t>
  </si>
  <si>
    <t>Situação</t>
  </si>
  <si>
    <t>Duração</t>
  </si>
  <si>
    <t>Data Inicio</t>
  </si>
  <si>
    <t>Termino</t>
  </si>
  <si>
    <t>Data Registro</t>
  </si>
  <si>
    <t>VIGÊNCIA</t>
  </si>
  <si>
    <t>TERMINADO</t>
  </si>
  <si>
    <t>PAGO</t>
  </si>
  <si>
    <t>VALIDAÇÃO DE SITUAL</t>
  </si>
  <si>
    <t>ADITIVO</t>
  </si>
  <si>
    <t>CANCELADO</t>
  </si>
  <si>
    <t>ORÇAMENTO</t>
  </si>
  <si>
    <t>CONSULTAR</t>
  </si>
  <si>
    <t>ANÁLISE</t>
  </si>
  <si>
    <t>GRÁFICO DE GESTÃO DE CONTRATOS</t>
  </si>
  <si>
    <t>VALOR</t>
  </si>
  <si>
    <t>GASTO</t>
  </si>
  <si>
    <t>&gt;0</t>
  </si>
  <si>
    <t>CONSULTA DE CONTRATOS</t>
  </si>
  <si>
    <t>GESTÃO DE CONTRATOS (TEMPOS DIAS)</t>
  </si>
  <si>
    <t>R$ CONTRATO</t>
  </si>
  <si>
    <t>DATA TERMINO</t>
  </si>
  <si>
    <t>VALOR USADO</t>
  </si>
  <si>
    <t>SITUAÇÃO DE CONTRATO</t>
  </si>
  <si>
    <t>Contrato</t>
  </si>
  <si>
    <t>GESTÃO DE CONTRATOS SETOR DE TRANSPORTE</t>
  </si>
  <si>
    <t>GRAFICO DE QUANTIDADES DE MODELOS DE CARRO PEGO POR MOTO</t>
  </si>
  <si>
    <t>GESTÃO DE CONTRATOS (GASTOSxORÇAMENTO)</t>
  </si>
  <si>
    <t>NOTA</t>
  </si>
  <si>
    <t>EMPENHO</t>
  </si>
  <si>
    <t>Objeto do contrato</t>
  </si>
  <si>
    <t>E-mail e Telefone</t>
  </si>
  <si>
    <t>Endereço</t>
  </si>
  <si>
    <t>GASTOS POR ADITIVO</t>
  </si>
  <si>
    <t>TOTAL</t>
  </si>
  <si>
    <t>TEMPO DO CONTRATO PARA TERMINO EM DIAS</t>
  </si>
  <si>
    <t>3</t>
  </si>
  <si>
    <t>CONTRATO</t>
  </si>
  <si>
    <t>aditivos</t>
  </si>
  <si>
    <t>VALORES</t>
  </si>
  <si>
    <t>1</t>
  </si>
  <si>
    <t>Nº Registro</t>
  </si>
  <si>
    <t>Aditivo</t>
  </si>
  <si>
    <t>5</t>
  </si>
  <si>
    <t>SERVCAR LOCADORA</t>
  </si>
  <si>
    <t>01 GRAND SIENA</t>
  </si>
  <si>
    <t>4</t>
  </si>
  <si>
    <t>BRALUSO</t>
  </si>
  <si>
    <t xml:space="preserve">PASSAGÉNS AÉREAS </t>
  </si>
  <si>
    <t>5901.02.2018</t>
  </si>
  <si>
    <t xml:space="preserve">TCAR LOCAÇÃO DE VEÍCULOS </t>
  </si>
  <si>
    <t>2901.03.2018</t>
  </si>
  <si>
    <t>5901.01.2017</t>
  </si>
  <si>
    <t>TRIVALE ADMINISTRAÇÃO LTDA.</t>
  </si>
  <si>
    <t>019/2013 - IASC</t>
  </si>
  <si>
    <t>LOCAVEL BUS TRANSPORTE E FRETAMENTO LTDA</t>
  </si>
  <si>
    <t>LOCAÇÃO DE VEÍCULOS</t>
  </si>
  <si>
    <t>GERENCIAMENTO E ABASTECIMENTO DE COMBUSTIVEL</t>
  </si>
  <si>
    <t>LOCAÇÃO DE VEÍCULO TIPO VAN</t>
  </si>
  <si>
    <t>COMBUSTÍVEL</t>
  </si>
  <si>
    <t>2812201808</t>
  </si>
  <si>
    <t>2812201809</t>
  </si>
  <si>
    <t>3012201810</t>
  </si>
  <si>
    <t>3112201801</t>
  </si>
  <si>
    <t>3112201802</t>
  </si>
  <si>
    <t>3112201807</t>
  </si>
  <si>
    <t>0201201810</t>
  </si>
  <si>
    <t>360/2013</t>
  </si>
  <si>
    <t>257/2014</t>
  </si>
  <si>
    <t>CONTRATO REAL</t>
  </si>
  <si>
    <t>GESTÃO DE PAGAMENTOS DE CONTRATOS</t>
  </si>
  <si>
    <t>TEMPO PARA TERMINO</t>
  </si>
  <si>
    <t>wilson123</t>
  </si>
  <si>
    <t>N. REG</t>
  </si>
  <si>
    <t>OBSERVAÇÃO</t>
  </si>
  <si>
    <t>DATA FATURADA</t>
  </si>
  <si>
    <t>DATA EXECUÇÃO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</si>
</sst>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$&quot;\ #,##0.00"/>
    <numFmt numFmtId="165" formatCode="[$-F800]dddd\,\ mmmm\ dd\,\ yyyy"/>
    <numFmt numFmtId="166" formatCode="[=0]&quot;&quot;;General"/>
  </numFmts>
  <fonts count="3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Arial Black"/>
      <family val="2"/>
    </font>
    <font>
      <sz val="11"/>
      <color theme="0"/>
      <name val="Calibri"/>
      <family val="2"/>
      <scheme val="minor"/>
    </font>
    <font>
      <sz val="9"/>
      <color rgb="FF000000"/>
      <name val="Inherit"/>
    </font>
    <font>
      <sz val="48"/>
      <color theme="0"/>
      <name val="Arial Black"/>
      <family val="2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48"/>
      <color theme="0"/>
      <name val="Arial Black"/>
      <family val="2"/>
    </font>
    <font>
      <b/>
      <sz val="45"/>
      <color theme="0"/>
      <name val="Arial Black"/>
      <family val="2"/>
    </font>
    <font>
      <b/>
      <sz val="11"/>
      <name val="Arial"/>
      <family val="2"/>
    </font>
    <font>
      <b/>
      <sz val="14"/>
      <color theme="0" tint="-0.249977111117893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0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48"/>
      <color theme="9" tint="-0.499984740745262"/>
      <name val="Arial Black"/>
      <family val="2"/>
    </font>
    <font>
      <b/>
      <sz val="48"/>
      <color theme="9" tint="-0.499984740745262"/>
      <name val="Arial Black"/>
      <family val="2"/>
    </font>
    <font>
      <sz val="28"/>
      <color theme="0"/>
      <name val="Arial Black"/>
      <family val="2"/>
    </font>
    <font>
      <sz val="24"/>
      <color theme="0"/>
      <name val="Arial Black"/>
      <family val="2"/>
    </font>
    <font>
      <b/>
      <sz val="11"/>
      <color theme="9" tint="-0.499984740745262"/>
      <name val="Calibri"/>
      <family val="2"/>
      <scheme val="minor"/>
    </font>
    <font>
      <sz val="16"/>
      <color theme="0"/>
      <name val="Arial Black"/>
      <family val="2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4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dotted">
        <color rgb="FFCCCCCC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hair">
        <color theme="8" tint="-0.24994659260841701"/>
      </left>
      <right style="hair">
        <color theme="8" tint="-0.24994659260841701"/>
      </right>
      <top/>
      <bottom style="hair">
        <color theme="8" tint="-0.24994659260841701"/>
      </bottom>
      <diagonal/>
    </border>
    <border>
      <left style="hair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hair">
        <color theme="8" tint="-0.24994659260841701"/>
      </left>
      <right/>
      <top/>
      <bottom style="hair">
        <color theme="8" tint="-0.24994659260841701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ck">
        <color theme="0"/>
      </left>
      <right/>
      <top style="thick">
        <color theme="0"/>
      </top>
      <bottom style="medium">
        <color theme="0"/>
      </bottom>
      <diagonal/>
    </border>
    <border>
      <left/>
      <right/>
      <top style="thick">
        <color theme="0"/>
      </top>
      <bottom style="medium">
        <color theme="0"/>
      </bottom>
      <diagonal/>
    </border>
    <border>
      <left/>
      <right style="thick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/>
      <top style="medium">
        <color theme="0"/>
      </top>
      <bottom/>
      <diagonal/>
    </border>
    <border>
      <left/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/>
      <top/>
      <bottom style="medium">
        <color theme="0"/>
      </bottom>
      <diagonal/>
    </border>
    <border>
      <left/>
      <right style="thick">
        <color theme="0"/>
      </right>
      <top/>
      <bottom style="medium">
        <color theme="0"/>
      </bottom>
      <diagonal/>
    </border>
    <border>
      <left style="thick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hair">
        <color theme="8" tint="-0.24994659260841701"/>
      </left>
      <right style="hair">
        <color theme="8" tint="-0.24994659260841701"/>
      </right>
      <top/>
      <bottom/>
      <diagonal/>
    </border>
    <border>
      <left style="hair">
        <color theme="8" tint="-0.24994659260841701"/>
      </left>
      <right/>
      <top/>
      <bottom/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155">
    <xf numFmtId="0" fontId="0" fillId="0" borderId="0" xfId="0"/>
    <xf numFmtId="0" fontId="0" fillId="0" borderId="0" xfId="0"/>
    <xf numFmtId="1" fontId="4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49" fontId="0" fillId="0" borderId="0" xfId="0" applyNumberFormat="1" applyAlignment="1">
      <alignment horizontal="center"/>
    </xf>
    <xf numFmtId="0" fontId="7" fillId="0" borderId="6" xfId="0" applyFont="1" applyFill="1" applyBorder="1" applyAlignment="1">
      <alignment horizontal="left" vertical="center" wrapText="1" indent="1"/>
    </xf>
    <xf numFmtId="0" fontId="0" fillId="5" borderId="0" xfId="0" applyFill="1"/>
    <xf numFmtId="0" fontId="6" fillId="5" borderId="0" xfId="0" applyFont="1" applyFill="1"/>
    <xf numFmtId="0" fontId="0" fillId="3" borderId="0" xfId="0" applyFill="1"/>
    <xf numFmtId="164" fontId="0" fillId="3" borderId="0" xfId="0" applyNumberFormat="1" applyFill="1"/>
    <xf numFmtId="164" fontId="0" fillId="0" borderId="0" xfId="0" applyNumberFormat="1"/>
    <xf numFmtId="0" fontId="6" fillId="5" borderId="0" xfId="0" applyFont="1" applyFill="1" applyBorder="1"/>
    <xf numFmtId="0" fontId="0" fillId="5" borderId="0" xfId="0" applyFill="1" applyBorder="1"/>
    <xf numFmtId="0" fontId="12" fillId="5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13" fillId="5" borderId="0" xfId="0" applyFont="1" applyFill="1" applyAlignment="1">
      <alignment vertical="center"/>
    </xf>
    <xf numFmtId="166" fontId="0" fillId="9" borderId="0" xfId="0" applyNumberFormat="1" applyFill="1"/>
    <xf numFmtId="0" fontId="0" fillId="9" borderId="0" xfId="0" applyFill="1"/>
    <xf numFmtId="164" fontId="0" fillId="9" borderId="0" xfId="0" applyNumberFormat="1" applyFill="1"/>
    <xf numFmtId="166" fontId="10" fillId="9" borderId="0" xfId="0" applyNumberFormat="1" applyFont="1" applyFill="1"/>
    <xf numFmtId="0" fontId="0" fillId="2" borderId="0" xfId="0" applyFill="1" applyProtection="1"/>
    <xf numFmtId="0" fontId="0" fillId="0" borderId="0" xfId="0" applyProtection="1"/>
    <xf numFmtId="0" fontId="0" fillId="7" borderId="29" xfId="0" applyFill="1" applyBorder="1" applyAlignment="1" applyProtection="1"/>
    <xf numFmtId="0" fontId="0" fillId="7" borderId="19" xfId="0" applyFill="1" applyBorder="1" applyAlignment="1" applyProtection="1"/>
    <xf numFmtId="0" fontId="0" fillId="7" borderId="30" xfId="0" applyFill="1" applyBorder="1" applyAlignment="1" applyProtection="1"/>
    <xf numFmtId="14" fontId="9" fillId="5" borderId="0" xfId="0" applyNumberFormat="1" applyFont="1" applyFill="1" applyBorder="1" applyProtection="1">
      <protection locked="0"/>
    </xf>
    <xf numFmtId="0" fontId="0" fillId="7" borderId="34" xfId="0" applyFill="1" applyBorder="1" applyAlignment="1" applyProtection="1"/>
    <xf numFmtId="0" fontId="0" fillId="7" borderId="35" xfId="0" applyFill="1" applyBorder="1" applyAlignment="1" applyProtection="1"/>
    <xf numFmtId="0" fontId="0" fillId="7" borderId="37" xfId="0" applyFill="1" applyBorder="1" applyAlignment="1" applyProtection="1"/>
    <xf numFmtId="0" fontId="0" fillId="7" borderId="38" xfId="0" applyFill="1" applyBorder="1" applyAlignment="1" applyProtection="1"/>
    <xf numFmtId="164" fontId="19" fillId="7" borderId="19" xfId="0" applyNumberFormat="1" applyFont="1" applyFill="1" applyBorder="1" applyAlignment="1" applyProtection="1"/>
    <xf numFmtId="0" fontId="18" fillId="7" borderId="3" xfId="0" applyFont="1" applyFill="1" applyBorder="1" applyAlignment="1" applyProtection="1">
      <alignment vertical="center"/>
    </xf>
    <xf numFmtId="49" fontId="1" fillId="0" borderId="8" xfId="0" applyNumberFormat="1" applyFont="1" applyBorder="1" applyAlignment="1" applyProtection="1">
      <alignment horizontal="center" vertical="center"/>
      <protection locked="0"/>
    </xf>
    <xf numFmtId="1" fontId="0" fillId="0" borderId="8" xfId="0" applyNumberFormat="1" applyBorder="1" applyAlignment="1" applyProtection="1">
      <alignment horizontal="center" vertical="center"/>
      <protection locked="0"/>
    </xf>
    <xf numFmtId="2" fontId="14" fillId="0" borderId="8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165" fontId="0" fillId="0" borderId="8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14" fillId="0" borderId="8" xfId="0" applyNumberFormat="1" applyFont="1" applyBorder="1" applyAlignment="1" applyProtection="1">
      <alignment horizontal="center" vertical="center" wrapText="1"/>
      <protection locked="0"/>
    </xf>
    <xf numFmtId="0" fontId="8" fillId="5" borderId="0" xfId="0" applyFont="1" applyFill="1" applyAlignment="1">
      <alignment vertical="center" wrapText="1" shrinkToFit="1"/>
    </xf>
    <xf numFmtId="1" fontId="0" fillId="9" borderId="0" xfId="0" applyNumberFormat="1" applyFill="1"/>
    <xf numFmtId="164" fontId="0" fillId="11" borderId="10" xfId="0" applyNumberFormat="1" applyFill="1" applyBorder="1"/>
    <xf numFmtId="1" fontId="0" fillId="9" borderId="0" xfId="0" applyNumberFormat="1" applyFill="1" applyAlignment="1">
      <alignment horizontal="center"/>
    </xf>
    <xf numFmtId="1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" fontId="0" fillId="3" borderId="0" xfId="0" applyNumberFormat="1" applyFill="1"/>
    <xf numFmtId="0" fontId="9" fillId="5" borderId="0" xfId="0" applyFont="1" applyFill="1"/>
    <xf numFmtId="1" fontId="9" fillId="5" borderId="0" xfId="0" applyNumberFormat="1" applyFont="1" applyFill="1"/>
    <xf numFmtId="0" fontId="9" fillId="0" borderId="0" xfId="0" applyFont="1"/>
    <xf numFmtId="49" fontId="1" fillId="0" borderId="0" xfId="0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2" fontId="14" fillId="0" borderId="0" xfId="0" applyNumberFormat="1" applyFont="1" applyBorder="1" applyAlignment="1" applyProtection="1">
      <alignment horizontal="center" vertical="center"/>
      <protection locked="0"/>
    </xf>
    <xf numFmtId="2" fontId="14" fillId="0" borderId="0" xfId="0" applyNumberFormat="1" applyFont="1" applyBorder="1" applyAlignment="1" applyProtection="1">
      <alignment horizontal="center" vertical="center" wrapText="1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vertical="center"/>
    </xf>
    <xf numFmtId="0" fontId="25" fillId="5" borderId="0" xfId="0" applyFont="1" applyFill="1" applyAlignment="1">
      <alignment vertical="center"/>
    </xf>
    <xf numFmtId="14" fontId="9" fillId="5" borderId="0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>
      <alignment vertical="top"/>
    </xf>
    <xf numFmtId="0" fontId="0" fillId="0" borderId="0" xfId="0" applyAlignment="1">
      <alignment vertical="top"/>
    </xf>
    <xf numFmtId="0" fontId="8" fillId="5" borderId="0" xfId="0" applyFont="1" applyFill="1" applyAlignment="1">
      <alignment vertical="top"/>
    </xf>
    <xf numFmtId="0" fontId="12" fillId="5" borderId="0" xfId="0" applyFont="1" applyFill="1" applyAlignment="1">
      <alignment vertical="top"/>
    </xf>
    <xf numFmtId="49" fontId="0" fillId="0" borderId="15" xfId="0" applyNumberFormat="1" applyBorder="1" applyAlignment="1" applyProtection="1">
      <alignment horizontal="center" vertical="top"/>
      <protection locked="0"/>
    </xf>
    <xf numFmtId="49" fontId="0" fillId="0" borderId="8" xfId="0" applyNumberFormat="1" applyBorder="1" applyAlignment="1" applyProtection="1">
      <alignment horizontal="center" vertical="top"/>
      <protection locked="0"/>
    </xf>
    <xf numFmtId="1" fontId="0" fillId="0" borderId="15" xfId="0" applyNumberFormat="1" applyBorder="1" applyAlignment="1" applyProtection="1">
      <alignment horizontal="center" vertical="top"/>
      <protection locked="0"/>
    </xf>
    <xf numFmtId="165" fontId="0" fillId="0" borderId="9" xfId="0" applyNumberFormat="1" applyBorder="1" applyAlignment="1" applyProtection="1">
      <alignment horizontal="center" vertical="top"/>
      <protection locked="0"/>
    </xf>
    <xf numFmtId="49" fontId="0" fillId="0" borderId="9" xfId="0" applyNumberFormat="1" applyBorder="1" applyAlignment="1" applyProtection="1">
      <alignment horizontal="center" vertical="top" wrapText="1"/>
      <protection locked="0"/>
    </xf>
    <xf numFmtId="165" fontId="0" fillId="0" borderId="9" xfId="0" applyNumberFormat="1" applyBorder="1" applyAlignment="1" applyProtection="1">
      <alignment horizontal="center" vertical="top" wrapText="1"/>
      <protection locked="0"/>
    </xf>
    <xf numFmtId="164" fontId="0" fillId="0" borderId="9" xfId="0" applyNumberFormat="1" applyBorder="1" applyAlignment="1" applyProtection="1">
      <alignment horizontal="center" vertical="top"/>
      <protection locked="0"/>
    </xf>
    <xf numFmtId="49" fontId="0" fillId="0" borderId="9" xfId="0" applyNumberFormat="1" applyBorder="1" applyAlignment="1" applyProtection="1">
      <alignment horizontal="center" vertical="top"/>
      <protection locked="0"/>
    </xf>
    <xf numFmtId="0" fontId="27" fillId="5" borderId="0" xfId="0" applyFont="1" applyFill="1" applyAlignment="1">
      <alignment vertical="top"/>
    </xf>
    <xf numFmtId="1" fontId="28" fillId="5" borderId="0" xfId="0" applyNumberFormat="1" applyFont="1" applyFill="1" applyAlignment="1">
      <alignment vertical="top"/>
    </xf>
    <xf numFmtId="49" fontId="0" fillId="0" borderId="15" xfId="0" applyNumberFormat="1" applyFont="1" applyBorder="1" applyAlignment="1" applyProtection="1">
      <alignment horizontal="center" vertical="top"/>
      <protection locked="0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0" borderId="44" xfId="0" applyFont="1" applyFill="1" applyBorder="1" applyAlignment="1"/>
    <xf numFmtId="0" fontId="1" fillId="0" borderId="44" xfId="0" applyFont="1" applyFill="1" applyBorder="1"/>
    <xf numFmtId="0" fontId="0" fillId="0" borderId="44" xfId="0" applyFill="1" applyBorder="1"/>
    <xf numFmtId="0" fontId="0" fillId="0" borderId="44" xfId="0" applyBorder="1" applyAlignment="1" applyProtection="1">
      <alignment horizontal="center" vertical="center"/>
      <protection locked="0"/>
    </xf>
    <xf numFmtId="1" fontId="0" fillId="0" borderId="44" xfId="0" applyNumberFormat="1" applyBorder="1" applyAlignment="1" applyProtection="1">
      <alignment horizontal="center" vertical="center"/>
      <protection locked="0"/>
    </xf>
    <xf numFmtId="165" fontId="0" fillId="0" borderId="44" xfId="0" applyNumberFormat="1" applyBorder="1" applyAlignment="1" applyProtection="1">
      <alignment horizontal="center" vertical="center"/>
      <protection locked="0"/>
    </xf>
    <xf numFmtId="14" fontId="0" fillId="0" borderId="45" xfId="0" applyNumberFormat="1" applyBorder="1" applyAlignment="1" applyProtection="1">
      <alignment horizontal="center" vertical="center"/>
      <protection locked="0"/>
    </xf>
    <xf numFmtId="0" fontId="30" fillId="13" borderId="10" xfId="0" applyFont="1" applyFill="1" applyBorder="1" applyAlignment="1">
      <alignment horizontal="center" vertical="center"/>
    </xf>
    <xf numFmtId="0" fontId="30" fillId="13" borderId="10" xfId="0" applyFont="1" applyFill="1" applyBorder="1" applyAlignment="1" applyProtection="1">
      <alignment horizontal="center" vertical="center"/>
      <protection locked="0"/>
    </xf>
    <xf numFmtId="1" fontId="30" fillId="13" borderId="10" xfId="0" applyNumberFormat="1" applyFont="1" applyFill="1" applyBorder="1" applyAlignment="1" applyProtection="1">
      <alignment horizontal="center" vertical="center"/>
      <protection locked="0"/>
    </xf>
    <xf numFmtId="165" fontId="30" fillId="13" borderId="10" xfId="0" applyNumberFormat="1" applyFont="1" applyFill="1" applyBorder="1" applyAlignment="1" applyProtection="1">
      <alignment horizontal="center" vertical="center"/>
      <protection locked="0"/>
    </xf>
    <xf numFmtId="14" fontId="30" fillId="13" borderId="10" xfId="0" applyNumberFormat="1" applyFont="1" applyFill="1" applyBorder="1" applyAlignment="1" applyProtection="1">
      <alignment horizontal="center" vertical="center"/>
      <protection locked="0"/>
    </xf>
    <xf numFmtId="0" fontId="5" fillId="6" borderId="20" xfId="0" applyFont="1" applyFill="1" applyBorder="1" applyAlignment="1" applyProtection="1">
      <alignment horizontal="center"/>
    </xf>
    <xf numFmtId="0" fontId="5" fillId="6" borderId="21" xfId="0" applyFont="1" applyFill="1" applyBorder="1" applyAlignment="1" applyProtection="1">
      <alignment horizontal="center"/>
    </xf>
    <xf numFmtId="0" fontId="5" fillId="6" borderId="22" xfId="0" applyFont="1" applyFill="1" applyBorder="1" applyAlignment="1" applyProtection="1">
      <alignment horizontal="center"/>
    </xf>
    <xf numFmtId="0" fontId="0" fillId="7" borderId="39" xfId="0" applyFill="1" applyBorder="1" applyAlignment="1" applyProtection="1">
      <alignment horizontal="center"/>
    </xf>
    <xf numFmtId="0" fontId="0" fillId="7" borderId="40" xfId="0" applyFill="1" applyBorder="1" applyAlignment="1" applyProtection="1">
      <alignment horizontal="center"/>
    </xf>
    <xf numFmtId="0" fontId="0" fillId="7" borderId="41" xfId="0" applyFill="1" applyBorder="1" applyAlignment="1" applyProtection="1">
      <alignment horizontal="center"/>
    </xf>
    <xf numFmtId="0" fontId="5" fillId="6" borderId="39" xfId="0" applyFont="1" applyFill="1" applyBorder="1" applyAlignment="1" applyProtection="1">
      <alignment horizontal="center"/>
    </xf>
    <xf numFmtId="0" fontId="5" fillId="6" borderId="40" xfId="0" applyFont="1" applyFill="1" applyBorder="1" applyAlignment="1" applyProtection="1">
      <alignment horizontal="center"/>
    </xf>
    <xf numFmtId="0" fontId="5" fillId="6" borderId="41" xfId="0" applyFont="1" applyFill="1" applyBorder="1" applyAlignment="1" applyProtection="1">
      <alignment horizontal="center"/>
    </xf>
    <xf numFmtId="0" fontId="29" fillId="6" borderId="4" xfId="0" applyFont="1" applyFill="1" applyBorder="1" applyAlignment="1" applyProtection="1">
      <alignment horizontal="center" vertical="center" wrapText="1" shrinkToFit="1"/>
    </xf>
    <xf numFmtId="0" fontId="29" fillId="6" borderId="11" xfId="0" applyFont="1" applyFill="1" applyBorder="1" applyAlignment="1" applyProtection="1">
      <alignment horizontal="center" vertical="center" wrapText="1" shrinkToFit="1"/>
    </xf>
    <xf numFmtId="0" fontId="29" fillId="6" borderId="5" xfId="0" applyFont="1" applyFill="1" applyBorder="1" applyAlignment="1" applyProtection="1">
      <alignment horizontal="center" vertical="center" wrapText="1" shrinkToFit="1"/>
    </xf>
    <xf numFmtId="0" fontId="0" fillId="7" borderId="33" xfId="0" applyFill="1" applyBorder="1" applyAlignment="1" applyProtection="1">
      <alignment horizontal="center"/>
    </xf>
    <xf numFmtId="0" fontId="0" fillId="7" borderId="34" xfId="0" applyFill="1" applyBorder="1" applyAlignment="1" applyProtection="1">
      <alignment horizontal="center"/>
    </xf>
    <xf numFmtId="0" fontId="0" fillId="7" borderId="2" xfId="0" applyFill="1" applyBorder="1" applyAlignment="1" applyProtection="1">
      <alignment horizontal="center"/>
    </xf>
    <xf numFmtId="0" fontId="0" fillId="7" borderId="0" xfId="0" applyFill="1" applyBorder="1" applyAlignment="1" applyProtection="1">
      <alignment horizontal="center"/>
    </xf>
    <xf numFmtId="0" fontId="0" fillId="7" borderId="36" xfId="0" applyFill="1" applyBorder="1" applyAlignment="1" applyProtection="1">
      <alignment horizontal="center"/>
    </xf>
    <xf numFmtId="0" fontId="0" fillId="7" borderId="37" xfId="0" applyFill="1" applyBorder="1" applyAlignment="1" applyProtection="1">
      <alignment horizontal="center"/>
    </xf>
    <xf numFmtId="164" fontId="15" fillId="7" borderId="2" xfId="0" applyNumberFormat="1" applyFont="1" applyFill="1" applyBorder="1" applyAlignment="1" applyProtection="1">
      <alignment horizontal="center"/>
    </xf>
    <xf numFmtId="164" fontId="15" fillId="7" borderId="0" xfId="0" applyNumberFormat="1" applyFont="1" applyFill="1" applyBorder="1" applyAlignment="1" applyProtection="1">
      <alignment horizontal="center"/>
    </xf>
    <xf numFmtId="14" fontId="15" fillId="7" borderId="0" xfId="0" applyNumberFormat="1" applyFont="1" applyFill="1" applyBorder="1" applyAlignment="1" applyProtection="1">
      <alignment horizontal="center"/>
    </xf>
    <xf numFmtId="0" fontId="15" fillId="7" borderId="0" xfId="0" applyFont="1" applyFill="1" applyBorder="1" applyAlignment="1" applyProtection="1">
      <alignment horizontal="center"/>
    </xf>
    <xf numFmtId="164" fontId="15" fillId="7" borderId="3" xfId="0" applyNumberFormat="1" applyFont="1" applyFill="1" applyBorder="1" applyAlignment="1" applyProtection="1">
      <alignment horizontal="center"/>
    </xf>
    <xf numFmtId="0" fontId="20" fillId="0" borderId="23" xfId="0" applyFont="1" applyFill="1" applyBorder="1" applyAlignment="1" applyProtection="1">
      <alignment horizontal="center" vertical="center" wrapText="1"/>
    </xf>
    <xf numFmtId="0" fontId="20" fillId="0" borderId="7" xfId="0" applyFont="1" applyFill="1" applyBorder="1" applyAlignment="1" applyProtection="1">
      <alignment horizontal="center" vertical="center" wrapText="1"/>
    </xf>
    <xf numFmtId="0" fontId="20" fillId="0" borderId="24" xfId="0" applyFont="1" applyFill="1" applyBorder="1" applyAlignment="1" applyProtection="1">
      <alignment horizontal="center" vertical="center" wrapText="1"/>
    </xf>
    <xf numFmtId="0" fontId="20" fillId="0" borderId="25" xfId="0" applyFont="1" applyFill="1" applyBorder="1" applyAlignment="1" applyProtection="1">
      <alignment horizontal="center" vertical="center" wrapText="1"/>
    </xf>
    <xf numFmtId="0" fontId="20" fillId="0" borderId="17" xfId="0" applyFont="1" applyFill="1" applyBorder="1" applyAlignment="1" applyProtection="1">
      <alignment horizontal="center" vertical="center" wrapText="1"/>
    </xf>
    <xf numFmtId="0" fontId="20" fillId="0" borderId="26" xfId="0" applyFont="1" applyFill="1" applyBorder="1" applyAlignment="1" applyProtection="1">
      <alignment horizontal="center" vertical="center" wrapText="1"/>
    </xf>
    <xf numFmtId="0" fontId="16" fillId="7" borderId="27" xfId="0" applyFont="1" applyFill="1" applyBorder="1" applyAlignment="1" applyProtection="1">
      <alignment horizontal="center"/>
    </xf>
    <xf numFmtId="0" fontId="16" fillId="7" borderId="18" xfId="0" applyFont="1" applyFill="1" applyBorder="1" applyAlignment="1" applyProtection="1">
      <alignment horizontal="center"/>
    </xf>
    <xf numFmtId="0" fontId="5" fillId="6" borderId="4" xfId="0" applyFont="1" applyFill="1" applyBorder="1" applyAlignment="1" applyProtection="1">
      <alignment horizontal="center"/>
    </xf>
    <xf numFmtId="0" fontId="5" fillId="6" borderId="11" xfId="0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0" fontId="16" fillId="7" borderId="28" xfId="0" applyFont="1" applyFill="1" applyBorder="1" applyAlignment="1" applyProtection="1">
      <alignment horizontal="center"/>
    </xf>
    <xf numFmtId="0" fontId="11" fillId="7" borderId="31" xfId="0" applyFont="1" applyFill="1" applyBorder="1" applyAlignment="1" applyProtection="1">
      <alignment horizontal="center" vertical="center"/>
    </xf>
    <xf numFmtId="0" fontId="11" fillId="7" borderId="16" xfId="0" applyFont="1" applyFill="1" applyBorder="1" applyAlignment="1" applyProtection="1">
      <alignment horizontal="center" vertical="center"/>
    </xf>
    <xf numFmtId="0" fontId="11" fillId="7" borderId="32" xfId="0" applyFont="1" applyFill="1" applyBorder="1" applyAlignment="1" applyProtection="1">
      <alignment horizontal="center" vertical="center"/>
    </xf>
    <xf numFmtId="0" fontId="0" fillId="7" borderId="4" xfId="0" applyFill="1" applyBorder="1" applyAlignment="1" applyProtection="1">
      <alignment horizontal="center"/>
    </xf>
    <xf numFmtId="0" fontId="0" fillId="7" borderId="11" xfId="0" applyFill="1" applyBorder="1" applyAlignment="1" applyProtection="1">
      <alignment horizontal="center"/>
    </xf>
    <xf numFmtId="0" fontId="0" fillId="7" borderId="5" xfId="0" applyFill="1" applyBorder="1" applyAlignment="1" applyProtection="1">
      <alignment horizontal="center"/>
    </xf>
    <xf numFmtId="164" fontId="17" fillId="12" borderId="42" xfId="0" applyNumberFormat="1" applyFont="1" applyFill="1" applyBorder="1" applyAlignment="1" applyProtection="1">
      <alignment horizontal="center" vertical="center"/>
    </xf>
    <xf numFmtId="164" fontId="17" fillId="10" borderId="42" xfId="0" applyNumberFormat="1" applyFont="1" applyFill="1" applyBorder="1" applyAlignment="1" applyProtection="1">
      <alignment horizontal="center" vertical="center"/>
    </xf>
    <xf numFmtId="164" fontId="17" fillId="11" borderId="42" xfId="0" applyNumberFormat="1" applyFont="1" applyFill="1" applyBorder="1" applyAlignment="1" applyProtection="1">
      <alignment horizontal="center" vertical="center"/>
    </xf>
    <xf numFmtId="164" fontId="23" fillId="7" borderId="27" xfId="0" applyNumberFormat="1" applyFont="1" applyFill="1" applyBorder="1" applyAlignment="1" applyProtection="1">
      <alignment horizontal="center" vertical="center"/>
    </xf>
    <xf numFmtId="164" fontId="23" fillId="7" borderId="18" xfId="0" applyNumberFormat="1" applyFont="1" applyFill="1" applyBorder="1" applyAlignment="1" applyProtection="1">
      <alignment horizontal="center" vertical="center"/>
    </xf>
    <xf numFmtId="164" fontId="23" fillId="7" borderId="2" xfId="0" applyNumberFormat="1" applyFont="1" applyFill="1" applyBorder="1" applyAlignment="1" applyProtection="1">
      <alignment horizontal="center" vertical="center"/>
    </xf>
    <xf numFmtId="164" fontId="23" fillId="7" borderId="0" xfId="0" applyNumberFormat="1" applyFont="1" applyFill="1" applyBorder="1" applyAlignment="1" applyProtection="1">
      <alignment horizontal="center" vertical="center"/>
    </xf>
    <xf numFmtId="164" fontId="23" fillId="7" borderId="36" xfId="0" applyNumberFormat="1" applyFont="1" applyFill="1" applyBorder="1" applyAlignment="1" applyProtection="1">
      <alignment horizontal="center" vertical="center"/>
    </xf>
    <xf numFmtId="164" fontId="23" fillId="7" borderId="37" xfId="0" applyNumberFormat="1" applyFont="1" applyFill="1" applyBorder="1" applyAlignment="1" applyProtection="1">
      <alignment horizontal="center" vertical="center"/>
    </xf>
    <xf numFmtId="0" fontId="22" fillId="7" borderId="12" xfId="0" applyFont="1" applyFill="1" applyBorder="1" applyAlignment="1" applyProtection="1">
      <alignment horizontal="center" vertical="center"/>
    </xf>
    <xf numFmtId="0" fontId="22" fillId="7" borderId="43" xfId="0" applyFont="1" applyFill="1" applyBorder="1" applyAlignment="1" applyProtection="1">
      <alignment horizontal="center" vertical="center"/>
    </xf>
    <xf numFmtId="0" fontId="22" fillId="7" borderId="14" xfId="0" applyFont="1" applyFill="1" applyBorder="1" applyAlignment="1" applyProtection="1">
      <alignment horizontal="center" vertical="center"/>
    </xf>
    <xf numFmtId="0" fontId="21" fillId="7" borderId="12" xfId="0" applyFont="1" applyFill="1" applyBorder="1" applyAlignment="1" applyProtection="1">
      <alignment horizontal="center" vertical="center"/>
    </xf>
    <xf numFmtId="0" fontId="21" fillId="7" borderId="43" xfId="0" applyFont="1" applyFill="1" applyBorder="1" applyAlignment="1" applyProtection="1">
      <alignment horizontal="center" vertical="center"/>
    </xf>
    <xf numFmtId="0" fontId="21" fillId="7" borderId="14" xfId="0" applyFont="1" applyFill="1" applyBorder="1" applyAlignment="1" applyProtection="1">
      <alignment horizontal="center" vertic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66" fontId="0" fillId="9" borderId="0" xfId="0" applyNumberFormat="1" applyFill="1" applyAlignment="1">
      <alignment horizontal="center"/>
    </xf>
    <xf numFmtId="0" fontId="8" fillId="5" borderId="0" xfId="0" applyFont="1" applyFill="1" applyAlignment="1">
      <alignment horizontal="center" vertical="center" wrapText="1" shrinkToFit="1"/>
    </xf>
    <xf numFmtId="0" fontId="26" fillId="5" borderId="0" xfId="0" applyFont="1" applyFill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Porcentagem 2" xfId="2"/>
    <cellStyle name="Porcentagem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VALID!$AI$3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VALID!$AZ$19:$AZ$28</c:f>
              <c:strCache>
                <c:ptCount val="10"/>
                <c:pt idx="0">
                  <c:v>LOCAVEL BUS TRANSPORTE E FRETAMENTO LTDA</c:v>
                </c:pt>
                <c:pt idx="1">
                  <c:v>TRIVALE ADMINISTRAÇÃO LTDA.</c:v>
                </c:pt>
                <c:pt idx="2">
                  <c:v>BRALUSO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VALID!$BA$19:$BA$28</c:f>
              <c:numCache>
                <c:formatCode>"R$"\ #,##0.00</c:formatCode>
                <c:ptCount val="10"/>
                <c:pt idx="0">
                  <c:v>142830</c:v>
                </c:pt>
                <c:pt idx="1">
                  <c:v>498643.88</c:v>
                </c:pt>
                <c:pt idx="2">
                  <c:v>200000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VALID!$AJ$3</c:f>
              <c:strCache>
                <c:ptCount val="1"/>
                <c:pt idx="0">
                  <c:v>GASTO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dLbl>
              <c:idx val="1"/>
              <c:layout>
                <c:manualLayout>
                  <c:x val="1.7872098497979789E-2"/>
                  <c:y val="-0.192536330882605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2.2978412354545445E-2"/>
                  <c:y val="-0.162915356900666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1.4042363105555549E-2"/>
                  <c:y val="-0.177725843891636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9148676962121108E-2"/>
                  <c:y val="-0.18142846563937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2.0425255426262522E-2"/>
                  <c:y val="-0.174023222143893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6595520033838376E-2"/>
                  <c:y val="-0.151807491657439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1.7872098497979789E-2"/>
                  <c:y val="-0.151807491657439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4042363105555455E-2"/>
                  <c:y val="-0.144402248161954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1.4042363105555549E-2"/>
                  <c:y val="-0.151807491657439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VALID!$AZ$19:$AZ$28</c:f>
              <c:strCache>
                <c:ptCount val="10"/>
                <c:pt idx="0">
                  <c:v>LOCAVEL BUS TRANSPORTE E FRETAMENTO LTDA</c:v>
                </c:pt>
                <c:pt idx="1">
                  <c:v>TRIVALE ADMINISTRAÇÃO LTDA.</c:v>
                </c:pt>
                <c:pt idx="2">
                  <c:v>BRALUSO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VALID!$BB$19:$BB$28</c:f>
              <c:numCache>
                <c:formatCode>"R$"\ #,##0.00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gapDepth val="68"/>
        <c:shape val="cylinder"/>
        <c:axId val="258455376"/>
        <c:axId val="258455936"/>
        <c:axId val="0"/>
      </c:bar3DChart>
      <c:catAx>
        <c:axId val="25845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258455936"/>
        <c:crosses val="autoZero"/>
        <c:auto val="1"/>
        <c:lblAlgn val="ctr"/>
        <c:lblOffset val="100"/>
        <c:noMultiLvlLbl val="0"/>
      </c:catAx>
      <c:valAx>
        <c:axId val="258455936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5845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49459565585797"/>
          <c:y val="0.18806030298379436"/>
          <c:w val="0.71489532312397952"/>
          <c:h val="0.64779569826663286"/>
        </c:manualLayout>
      </c:layout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solidFill>
            <a:sysClr val="windowText" lastClr="000000">
              <a:lumMod val="25000"/>
              <a:lumOff val="75000"/>
            </a:sysClr>
          </a:solidFill>
        </a:ln>
        <a:effectLst/>
        <a:sp3d>
          <a:contourClr>
            <a:sysClr val="windowText" lastClr="000000">
              <a:lumMod val="25000"/>
              <a:lumOff val="75000"/>
            </a:sys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solidFill>
            <a:sysClr val="windowText" lastClr="000000">
              <a:lumMod val="25000"/>
              <a:lumOff val="75000"/>
            </a:sysClr>
          </a:solidFill>
        </a:ln>
        <a:effectLst/>
        <a:sp3d>
          <a:contourClr>
            <a:sysClr val="windowText" lastClr="000000">
              <a:lumMod val="25000"/>
              <a:lumOff val="75000"/>
            </a:sysClr>
          </a:contourClr>
        </a:sp3d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Dias para Termino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VALID!$AW$19:$AW$28</c:f>
              <c:strCache>
                <c:ptCount val="10"/>
                <c:pt idx="0">
                  <c:v>LOCAVEL BUS TRANSPORTE E FRETAMENTO LTDA</c:v>
                </c:pt>
                <c:pt idx="1">
                  <c:v>TRIVALE ADMINISTRAÇÃO LTDA.</c:v>
                </c:pt>
                <c:pt idx="2">
                  <c:v>BRALUSO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VALID!$AX$19:$AX$28</c:f>
              <c:numCache>
                <c:formatCode>0.00</c:formatCode>
                <c:ptCount val="10"/>
                <c:pt idx="0">
                  <c:v>108.340942129631</c:v>
                </c:pt>
                <c:pt idx="1">
                  <c:v>0</c:v>
                </c:pt>
                <c:pt idx="2">
                  <c:v>198.340942129631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88187824"/>
        <c:axId val="288188384"/>
        <c:axId val="0"/>
      </c:bar3DChart>
      <c:catAx>
        <c:axId val="28818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8188384"/>
        <c:crosses val="autoZero"/>
        <c:auto val="1"/>
        <c:lblAlgn val="ctr"/>
        <c:lblOffset val="100"/>
        <c:noMultiLvlLbl val="0"/>
      </c:catAx>
      <c:valAx>
        <c:axId val="28818838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8818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403745177285104E-2"/>
          <c:y val="7.8466089453989876E-2"/>
          <c:w val="0.91345751178885859"/>
          <c:h val="0.87669614514373018"/>
        </c:manualLayout>
      </c:layout>
      <c:bar3DChart>
        <c:barDir val="col"/>
        <c:grouping val="stacked"/>
        <c:varyColors val="0"/>
        <c:ser>
          <c:idx val="0"/>
          <c:order val="0"/>
          <c:tx>
            <c:v>Orçamento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MONITORAMENTO!$T$6</c:f>
              <c:numCache>
                <c:formatCode>"R$"\ #,##0.00</c:formatCode>
                <c:ptCount val="1"/>
                <c:pt idx="0">
                  <c:v>200000</c:v>
                </c:pt>
              </c:numCache>
            </c:numRef>
          </c:val>
        </c:ser>
        <c:ser>
          <c:idx val="1"/>
          <c:order val="1"/>
          <c:tx>
            <c:v>Gasto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MONITORAMENTO!$Y$6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v>Saldo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MONITORAMENTO!$Z$7</c:f>
              <c:numCache>
                <c:formatCode>"R$"\ #,##0.00</c:formatCode>
                <c:ptCount val="1"/>
                <c:pt idx="0">
                  <c:v>200000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gapDepth val="30"/>
        <c:shape val="cylinder"/>
        <c:axId val="288191744"/>
        <c:axId val="288192304"/>
        <c:axId val="0"/>
      </c:bar3DChart>
      <c:catAx>
        <c:axId val="28819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192304"/>
        <c:crosses val="autoZero"/>
        <c:auto val="1"/>
        <c:lblAlgn val="ctr"/>
        <c:lblOffset val="100"/>
        <c:noMultiLvlLbl val="0"/>
      </c:catAx>
      <c:valAx>
        <c:axId val="28819230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88191744"/>
        <c:crosses val="autoZero"/>
        <c:crossBetween val="between"/>
      </c:valAx>
      <c:spPr>
        <a:noFill/>
        <a:ln w="25400"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0.12266139148438619"/>
                  <c:y val="-4.15300531131539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5.0065874075259651E-3"/>
                  <c:y val="-4.4496485478379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VALID!$AM$16:$AM$21</c:f>
              <c:strCache>
                <c:ptCount val="6"/>
                <c:pt idx="0">
                  <c:v>2812201809-1</c:v>
                </c:pt>
                <c:pt idx="1">
                  <c:v>2812201809-2</c:v>
                </c:pt>
                <c:pt idx="2">
                  <c:v>2812201809-3</c:v>
                </c:pt>
                <c:pt idx="3">
                  <c:v>2812201809-4</c:v>
                </c:pt>
                <c:pt idx="4">
                  <c:v>2812201809-5</c:v>
                </c:pt>
                <c:pt idx="5">
                  <c:v>2812201809-6</c:v>
                </c:pt>
              </c:strCache>
            </c:strRef>
          </c:cat>
          <c:val>
            <c:numRef>
              <c:f>VALID!$AN$16:$AN$21</c:f>
              <c:numCache>
                <c:formatCode>"R$"\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94544"/>
        <c:axId val="289542528"/>
      </c:lineChart>
      <c:catAx>
        <c:axId val="28819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9542528"/>
        <c:crosses val="autoZero"/>
        <c:auto val="1"/>
        <c:lblAlgn val="ctr"/>
        <c:lblOffset val="100"/>
        <c:noMultiLvlLbl val="0"/>
      </c:catAx>
      <c:valAx>
        <c:axId val="28954252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8819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>
          <a:contourClr>
            <a:sysClr val="windowText" lastClr="000000">
              <a:lumMod val="25000"/>
              <a:lumOff val="75000"/>
            </a:sysClr>
          </a:contourClr>
        </a:sp3d>
      </c:spPr>
    </c:sideWall>
    <c:backWall>
      <c:thickness val="0"/>
      <c:spPr>
        <a:noFill/>
        <a:ln>
          <a:noFill/>
        </a:ln>
        <a:effectLst/>
        <a:sp3d>
          <a:contourClr>
            <a:sysClr val="windowText" lastClr="000000">
              <a:lumMod val="25000"/>
              <a:lumOff val="75000"/>
            </a:sysClr>
          </a:contourClr>
        </a:sp3d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v>FALTA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VALID!$AF$8</c:f>
              <c:numCache>
                <c:formatCode>0</c:formatCode>
                <c:ptCount val="1"/>
                <c:pt idx="0">
                  <c:v>199</c:v>
                </c:pt>
              </c:numCache>
            </c:numRef>
          </c:val>
        </c:ser>
        <c:ser>
          <c:idx val="1"/>
          <c:order val="1"/>
          <c:tx>
            <c:v>USADO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VALID!$AF$11</c:f>
              <c:numCache>
                <c:formatCode>0</c:formatCode>
                <c:ptCount val="1"/>
                <c:pt idx="0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gapDepth val="0"/>
        <c:shape val="cylinder"/>
        <c:axId val="289545328"/>
        <c:axId val="289545888"/>
        <c:axId val="0"/>
      </c:bar3DChart>
      <c:catAx>
        <c:axId val="289545328"/>
        <c:scaling>
          <c:orientation val="minMax"/>
        </c:scaling>
        <c:delete val="1"/>
        <c:axPos val="l"/>
        <c:majorTickMark val="none"/>
        <c:minorTickMark val="none"/>
        <c:tickLblPos val="nextTo"/>
        <c:crossAx val="289545888"/>
        <c:crosses val="autoZero"/>
        <c:auto val="1"/>
        <c:lblAlgn val="ctr"/>
        <c:lblOffset val="100"/>
        <c:noMultiLvlLbl val="0"/>
      </c:catAx>
      <c:valAx>
        <c:axId val="28954588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8954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VALOR</c:v>
          </c:tx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VALID!$AM$4:$AM$6</c:f>
              <c:numCache>
                <c:formatCode>"R$"\ #,##0.00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GASTO</c:v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VALID!$AN$4:$AN$6</c:f>
              <c:numCache>
                <c:formatCode>"R$"\ #,##0.00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9548688"/>
        <c:axId val="289549248"/>
        <c:axId val="0"/>
      </c:bar3DChart>
      <c:catAx>
        <c:axId val="28954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289549248"/>
        <c:crosses val="autoZero"/>
        <c:auto val="1"/>
        <c:lblAlgn val="ctr"/>
        <c:lblOffset val="100"/>
        <c:noMultiLvlLbl val="0"/>
      </c:catAx>
      <c:valAx>
        <c:axId val="28954924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8954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17690</xdr:colOff>
      <xdr:row>2</xdr:row>
      <xdr:rowOff>38100</xdr:rowOff>
    </xdr:from>
    <xdr:to>
      <xdr:col>17</xdr:col>
      <xdr:colOff>571500</xdr:colOff>
      <xdr:row>16</xdr:row>
      <xdr:rowOff>209550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24</xdr:row>
      <xdr:rowOff>28576</xdr:rowOff>
    </xdr:from>
    <xdr:to>
      <xdr:col>8</xdr:col>
      <xdr:colOff>581025</xdr:colOff>
      <xdr:row>32</xdr:row>
      <xdr:rowOff>200025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50131</xdr:colOff>
      <xdr:row>19</xdr:row>
      <xdr:rowOff>6515</xdr:rowOff>
    </xdr:from>
    <xdr:to>
      <xdr:col>18</xdr:col>
      <xdr:colOff>10027</xdr:colOff>
      <xdr:row>36</xdr:row>
      <xdr:rowOff>0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20054</xdr:colOff>
      <xdr:row>15</xdr:row>
      <xdr:rowOff>20052</xdr:rowOff>
    </xdr:from>
    <xdr:to>
      <xdr:col>25</xdr:col>
      <xdr:colOff>441158</xdr:colOff>
      <xdr:row>25</xdr:row>
      <xdr:rowOff>180473</xdr:rowOff>
    </xdr:to>
    <xdr:graphicFrame macro="">
      <xdr:nvGraphicFramePr>
        <xdr:cNvPr id="24" name="Gráfico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40105</xdr:colOff>
      <xdr:row>28</xdr:row>
      <xdr:rowOff>40105</xdr:rowOff>
    </xdr:from>
    <xdr:to>
      <xdr:col>26</xdr:col>
      <xdr:colOff>431132</xdr:colOff>
      <xdr:row>48</xdr:row>
      <xdr:rowOff>110289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10026</xdr:colOff>
      <xdr:row>36</xdr:row>
      <xdr:rowOff>200527</xdr:rowOff>
    </xdr:from>
    <xdr:to>
      <xdr:col>18</xdr:col>
      <xdr:colOff>0</xdr:colOff>
      <xdr:row>49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80210</xdr:colOff>
      <xdr:row>0</xdr:row>
      <xdr:rowOff>70184</xdr:rowOff>
    </xdr:from>
    <xdr:to>
      <xdr:col>1</xdr:col>
      <xdr:colOff>481262</xdr:colOff>
      <xdr:row>2</xdr:row>
      <xdr:rowOff>160420</xdr:rowOff>
    </xdr:to>
    <xdr:pic macro="[0]!Imagem3_Clique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10" y="70184"/>
          <a:ext cx="561473" cy="561473"/>
        </a:xfrm>
        <a:prstGeom prst="rect">
          <a:avLst/>
        </a:prstGeom>
      </xdr:spPr>
    </xdr:pic>
    <xdr:clientData/>
  </xdr:twoCellAnchor>
  <xdr:twoCellAnchor editAs="oneCell">
    <xdr:from>
      <xdr:col>17</xdr:col>
      <xdr:colOff>20052</xdr:colOff>
      <xdr:row>0</xdr:row>
      <xdr:rowOff>0</xdr:rowOff>
    </xdr:from>
    <xdr:to>
      <xdr:col>18</xdr:col>
      <xdr:colOff>130342</xdr:colOff>
      <xdr:row>3</xdr:row>
      <xdr:rowOff>40106</xdr:rowOff>
    </xdr:to>
    <xdr:pic macro="[0]!MONITORAMENTO_Imagem2_Clique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5131" y="0"/>
          <a:ext cx="721895" cy="7218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9525</xdr:colOff>
      <xdr:row>0</xdr:row>
      <xdr:rowOff>0</xdr:rowOff>
    </xdr:from>
    <xdr:to>
      <xdr:col>71</xdr:col>
      <xdr:colOff>400050</xdr:colOff>
      <xdr:row>14</xdr:row>
      <xdr:rowOff>38100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517072</xdr:colOff>
      <xdr:row>7</xdr:row>
      <xdr:rowOff>27215</xdr:rowOff>
    </xdr:from>
    <xdr:to>
      <xdr:col>8</xdr:col>
      <xdr:colOff>2680607</xdr:colOff>
      <xdr:row>10</xdr:row>
      <xdr:rowOff>95251</xdr:rowOff>
    </xdr:to>
    <xdr:sp macro="[0]!ViewGpag" textlink="">
      <xdr:nvSpPr>
        <xdr:cNvPr id="2" name="Pentágono 1"/>
        <xdr:cNvSpPr/>
      </xdr:nvSpPr>
      <xdr:spPr>
        <a:xfrm>
          <a:off x="19580679" y="1360715"/>
          <a:ext cx="2163535" cy="884465"/>
        </a:xfrm>
        <a:prstGeom prst="homePlat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="1">
              <a:latin typeface="Arial Black" panose="020B0A04020102020204" pitchFamily="34" charset="0"/>
            </a:rPr>
            <a:t>GESTÃO</a:t>
          </a:r>
          <a:r>
            <a:rPr lang="pt-BR" sz="1400" b="1" baseline="0">
              <a:latin typeface="Arial Black" panose="020B0A04020102020204" pitchFamily="34" charset="0"/>
            </a:rPr>
            <a:t> DE LANÇAMENTO</a:t>
          </a:r>
          <a:endParaRPr lang="pt-BR" sz="14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2884715</xdr:colOff>
      <xdr:row>1</xdr:row>
      <xdr:rowOff>176892</xdr:rowOff>
    </xdr:from>
    <xdr:to>
      <xdr:col>7</xdr:col>
      <xdr:colOff>2122715</xdr:colOff>
      <xdr:row>5</xdr:row>
      <xdr:rowOff>81642</xdr:rowOff>
    </xdr:to>
    <xdr:sp macro="[0]!RetângulocomÚnicoCantoAparado4_Clique" textlink="">
      <xdr:nvSpPr>
        <xdr:cNvPr id="5" name="Retângulo com Único Canto Aparado 4"/>
        <xdr:cNvSpPr/>
      </xdr:nvSpPr>
      <xdr:spPr>
        <a:xfrm>
          <a:off x="15348858" y="367392"/>
          <a:ext cx="2286000" cy="666750"/>
        </a:xfrm>
        <a:prstGeom prst="snip1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Arial Black" panose="020B0A04020102020204" pitchFamily="34" charset="0"/>
            </a:rPr>
            <a:t>REGISTRO</a:t>
          </a:r>
          <a:r>
            <a:rPr lang="pt-BR" sz="1200" b="1" baseline="0">
              <a:latin typeface="Arial Black" panose="020B0A04020102020204" pitchFamily="34" charset="0"/>
            </a:rPr>
            <a:t> DE NOVOS CONTRATOS</a:t>
          </a:r>
          <a:endParaRPr lang="pt-BR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2698296</xdr:colOff>
      <xdr:row>1</xdr:row>
      <xdr:rowOff>176893</xdr:rowOff>
    </xdr:from>
    <xdr:to>
      <xdr:col>8</xdr:col>
      <xdr:colOff>1428750</xdr:colOff>
      <xdr:row>5</xdr:row>
      <xdr:rowOff>81642</xdr:rowOff>
    </xdr:to>
    <xdr:sp macro="[0]!RetângulocomÚnicoCantoAparado5_Clique" textlink="">
      <xdr:nvSpPr>
        <xdr:cNvPr id="6" name="Retângulo com Único Canto Aparado 5"/>
        <xdr:cNvSpPr/>
      </xdr:nvSpPr>
      <xdr:spPr>
        <a:xfrm>
          <a:off x="18210439" y="367393"/>
          <a:ext cx="2295525" cy="666749"/>
        </a:xfrm>
        <a:prstGeom prst="snip1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Arial Black" panose="020B0A04020102020204" pitchFamily="34" charset="0"/>
            </a:rPr>
            <a:t>REGISTRO</a:t>
          </a:r>
          <a:r>
            <a:rPr lang="pt-BR" sz="1200" b="1" baseline="0">
              <a:latin typeface="Arial Black" panose="020B0A04020102020204" pitchFamily="34" charset="0"/>
            </a:rPr>
            <a:t> DE NOVOS LANÇAMENTOS</a:t>
          </a:r>
          <a:endParaRPr lang="pt-BR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1074965</xdr:colOff>
      <xdr:row>7</xdr:row>
      <xdr:rowOff>108859</xdr:rowOff>
    </xdr:from>
    <xdr:to>
      <xdr:col>7</xdr:col>
      <xdr:colOff>3360965</xdr:colOff>
      <xdr:row>9</xdr:row>
      <xdr:rowOff>149680</xdr:rowOff>
    </xdr:to>
    <xdr:sp macro="[0]!ShowFirst" textlink="">
      <xdr:nvSpPr>
        <xdr:cNvPr id="7" name="Retângulo com Único Canto Aparado 6"/>
        <xdr:cNvSpPr/>
      </xdr:nvSpPr>
      <xdr:spPr>
        <a:xfrm>
          <a:off x="16587108" y="1442359"/>
          <a:ext cx="2286000" cy="666750"/>
        </a:xfrm>
        <a:prstGeom prst="snip1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115661</xdr:colOff>
      <xdr:row>0</xdr:row>
      <xdr:rowOff>0</xdr:rowOff>
    </xdr:from>
    <xdr:to>
      <xdr:col>18</xdr:col>
      <xdr:colOff>428625</xdr:colOff>
      <xdr:row>0</xdr:row>
      <xdr:rowOff>512989</xdr:rowOff>
    </xdr:to>
    <xdr:sp macro="[0]!ViewContratos" textlink="">
      <xdr:nvSpPr>
        <xdr:cNvPr id="2" name="Elipse 1"/>
        <xdr:cNvSpPr/>
      </xdr:nvSpPr>
      <xdr:spPr>
        <a:xfrm>
          <a:off x="10478861" y="1777093"/>
          <a:ext cx="312964" cy="774246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307520</xdr:colOff>
      <xdr:row>0</xdr:row>
      <xdr:rowOff>0</xdr:rowOff>
    </xdr:from>
    <xdr:to>
      <xdr:col>20</xdr:col>
      <xdr:colOff>511627</xdr:colOff>
      <xdr:row>1</xdr:row>
      <xdr:rowOff>879019</xdr:rowOff>
    </xdr:to>
    <xdr:sp macro="[0]!RetângulocomÚnicoCantoAparado4_Clique" textlink="">
      <xdr:nvSpPr>
        <xdr:cNvPr id="3" name="Retângulo com Único Canto Aparado 2"/>
        <xdr:cNvSpPr/>
      </xdr:nvSpPr>
      <xdr:spPr>
        <a:xfrm>
          <a:off x="11280320" y="1219198"/>
          <a:ext cx="813707" cy="2622096"/>
        </a:xfrm>
        <a:prstGeom prst="snip1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Arial Black" panose="020B0A04020102020204" pitchFamily="34" charset="0"/>
            </a:rPr>
            <a:t>REGISTRO</a:t>
          </a:r>
          <a:r>
            <a:rPr lang="pt-BR" sz="1200" b="1" baseline="0">
              <a:latin typeface="Arial Black" panose="020B0A04020102020204" pitchFamily="34" charset="0"/>
            </a:rPr>
            <a:t> DE NOVOS CONTRATOS</a:t>
          </a:r>
          <a:endParaRPr lang="pt-BR" sz="12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18</xdr:col>
      <xdr:colOff>36739</xdr:colOff>
      <xdr:row>0</xdr:row>
      <xdr:rowOff>0</xdr:rowOff>
    </xdr:from>
    <xdr:to>
      <xdr:col>18</xdr:col>
      <xdr:colOff>485775</xdr:colOff>
      <xdr:row>1</xdr:row>
      <xdr:rowOff>317621</xdr:rowOff>
    </xdr:to>
    <xdr:pic macro="[0]!Imagem2_Clique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9939" y="1863604"/>
          <a:ext cx="449036" cy="54622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228600</xdr:rowOff>
    </xdr:from>
    <xdr:to>
      <xdr:col>2</xdr:col>
      <xdr:colOff>133350</xdr:colOff>
      <xdr:row>6</xdr:row>
      <xdr:rowOff>142875</xdr:rowOff>
    </xdr:to>
    <xdr:sp macro="[0]!ViewGCon" textlink="">
      <xdr:nvSpPr>
        <xdr:cNvPr id="5" name="Retângulo 4"/>
        <xdr:cNvSpPr/>
      </xdr:nvSpPr>
      <xdr:spPr>
        <a:xfrm>
          <a:off x="0" y="990600"/>
          <a:ext cx="1228725" cy="723900"/>
        </a:xfrm>
        <a:prstGeom prst="rect">
          <a:avLst/>
        </a:prstGeom>
        <a:ln>
          <a:solidFill>
            <a:schemeClr val="accent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latin typeface="Arial Black" panose="020B0A04020102020204" pitchFamily="34" charset="0"/>
            </a:rPr>
            <a:t>GESTÃO</a:t>
          </a:r>
          <a:r>
            <a:rPr lang="pt-BR" sz="1200" baseline="0">
              <a:latin typeface="Arial Black" panose="020B0A04020102020204" pitchFamily="34" charset="0"/>
            </a:rPr>
            <a:t> DE CONTRATOS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B51"/>
  <sheetViews>
    <sheetView showGridLines="0" showRowColHeaders="0" topLeftCell="A7" zoomScale="92" zoomScaleNormal="92" workbookViewId="0">
      <selection activeCell="S18" sqref="S18"/>
    </sheetView>
  </sheetViews>
  <sheetFormatPr defaultRowHeight="15"/>
  <cols>
    <col min="1" max="1" width="2.42578125" style="24" customWidth="1"/>
    <col min="2" max="13" width="9.140625" style="24"/>
    <col min="14" max="14" width="3.28515625" style="24" customWidth="1"/>
    <col min="15" max="18" width="9.140625" style="24"/>
    <col min="19" max="19" width="2.7109375" style="24" customWidth="1"/>
    <col min="20" max="20" width="9.140625" style="24"/>
    <col min="21" max="21" width="19.85546875" style="24" customWidth="1"/>
    <col min="22" max="22" width="9.140625" style="24"/>
    <col min="23" max="23" width="3.28515625" style="24" customWidth="1"/>
    <col min="24" max="25" width="9.140625" style="24"/>
    <col min="26" max="26" width="16.85546875" style="24" customWidth="1"/>
    <col min="27" max="27" width="6.7109375" style="24" customWidth="1"/>
    <col min="28" max="28" width="2.5703125" style="24" customWidth="1"/>
    <col min="29" max="16384" width="9.140625" style="24"/>
  </cols>
  <sheetData>
    <row r="1" spans="1:28" ht="15.75" thickBot="1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</row>
    <row r="2" spans="1:28" ht="21" thickTop="1" thickBot="1">
      <c r="A2" s="23"/>
      <c r="B2" s="98" t="s">
        <v>178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100"/>
      <c r="S2" s="23"/>
      <c r="T2" s="92" t="s">
        <v>169</v>
      </c>
      <c r="U2" s="93"/>
      <c r="V2" s="93"/>
      <c r="W2" s="93"/>
      <c r="X2" s="93"/>
      <c r="Y2" s="93"/>
      <c r="Z2" s="93"/>
      <c r="AA2" s="94"/>
      <c r="AB2" s="23"/>
    </row>
    <row r="3" spans="1:28" ht="16.5" thickTop="1" thickBot="1">
      <c r="A3" s="23"/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7"/>
      <c r="S3" s="23"/>
      <c r="T3" s="115" t="s">
        <v>198</v>
      </c>
      <c r="U3" s="116"/>
      <c r="V3" s="116"/>
      <c r="W3" s="116"/>
      <c r="X3" s="116"/>
      <c r="Y3" s="116"/>
      <c r="Z3" s="116"/>
      <c r="AA3" s="117"/>
      <c r="AB3" s="23"/>
    </row>
    <row r="4" spans="1:28" ht="16.5" thickTop="1" thickBot="1">
      <c r="A4" s="23"/>
      <c r="B4" s="95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7"/>
      <c r="S4" s="23"/>
      <c r="T4" s="118"/>
      <c r="U4" s="119"/>
      <c r="V4" s="119"/>
      <c r="W4" s="119"/>
      <c r="X4" s="119"/>
      <c r="Y4" s="119"/>
      <c r="Z4" s="119"/>
      <c r="AA4" s="120"/>
      <c r="AB4" s="23"/>
    </row>
    <row r="5" spans="1:28" ht="22.5" thickTop="1" thickBot="1">
      <c r="A5" s="23"/>
      <c r="B5" s="95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7"/>
      <c r="S5" s="23"/>
      <c r="T5" s="121" t="s">
        <v>171</v>
      </c>
      <c r="U5" s="122"/>
      <c r="V5" s="122" t="s">
        <v>172</v>
      </c>
      <c r="W5" s="122"/>
      <c r="X5" s="122"/>
      <c r="Y5" s="122" t="s">
        <v>173</v>
      </c>
      <c r="Z5" s="122"/>
      <c r="AA5" s="126"/>
      <c r="AB5" s="23"/>
    </row>
    <row r="6" spans="1:28" ht="20.25" thickTop="1" thickBot="1">
      <c r="A6" s="23"/>
      <c r="B6" s="95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7"/>
      <c r="S6" s="23"/>
      <c r="T6" s="110">
        <f>VALID!AF4</f>
        <v>200000</v>
      </c>
      <c r="U6" s="111"/>
      <c r="V6" s="112">
        <f>VALID!AF6</f>
        <v>43322</v>
      </c>
      <c r="W6" s="113"/>
      <c r="X6" s="113"/>
      <c r="Y6" s="111">
        <f>VALID!AF7</f>
        <v>0</v>
      </c>
      <c r="Z6" s="111"/>
      <c r="AA6" s="114"/>
      <c r="AB6" s="23"/>
    </row>
    <row r="7" spans="1:28" ht="16.5" thickTop="1" thickBot="1">
      <c r="A7" s="23"/>
      <c r="B7" s="95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7"/>
      <c r="S7" s="23"/>
      <c r="T7" s="25"/>
      <c r="U7" s="26"/>
      <c r="V7" s="26"/>
      <c r="W7" s="26"/>
      <c r="X7" s="26"/>
      <c r="Y7" s="26"/>
      <c r="Z7" s="33">
        <f>T6-Y6</f>
        <v>200000</v>
      </c>
      <c r="AA7" s="27"/>
      <c r="AB7" s="23"/>
    </row>
    <row r="8" spans="1:28" ht="17.25" thickTop="1" thickBot="1">
      <c r="A8" s="23"/>
      <c r="B8" s="95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7"/>
      <c r="S8" s="23"/>
      <c r="T8" s="127" t="s">
        <v>174</v>
      </c>
      <c r="U8" s="128"/>
      <c r="V8" s="128"/>
      <c r="W8" s="128"/>
      <c r="X8" s="128"/>
      <c r="Y8" s="128"/>
      <c r="Z8" s="128"/>
      <c r="AA8" s="129"/>
      <c r="AB8" s="23"/>
    </row>
    <row r="9" spans="1:28" ht="16.5" customHeight="1" thickTop="1" thickBot="1">
      <c r="A9" s="23"/>
      <c r="B9" s="95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7"/>
      <c r="S9" s="23"/>
      <c r="T9" s="136" t="str">
        <f>VALID!AF5</f>
        <v>ADITIVO</v>
      </c>
      <c r="U9" s="137"/>
      <c r="V9" s="137"/>
      <c r="W9" s="137"/>
      <c r="X9" s="142" t="s">
        <v>188</v>
      </c>
      <c r="Y9" s="143"/>
      <c r="Z9" s="143"/>
      <c r="AA9" s="144"/>
      <c r="AB9" s="23"/>
    </row>
    <row r="10" spans="1:28" ht="16.5" customHeight="1" thickTop="1" thickBot="1">
      <c r="A10" s="23"/>
      <c r="B10" s="95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7"/>
      <c r="S10" s="23"/>
      <c r="T10" s="138"/>
      <c r="U10" s="139"/>
      <c r="V10" s="139"/>
      <c r="W10" s="139"/>
      <c r="X10" s="142"/>
      <c r="Y10" s="143"/>
      <c r="Z10" s="143"/>
      <c r="AA10" s="144"/>
      <c r="AB10" s="23"/>
    </row>
    <row r="11" spans="1:28" ht="16.5" customHeight="1" thickTop="1" thickBot="1">
      <c r="A11" s="23"/>
      <c r="B11" s="95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7"/>
      <c r="S11" s="23"/>
      <c r="T11" s="138"/>
      <c r="U11" s="139"/>
      <c r="V11" s="139"/>
      <c r="W11" s="139"/>
      <c r="X11" s="145" t="str">
        <f>VALID!AE8</f>
        <v>257/2014</v>
      </c>
      <c r="Y11" s="146"/>
      <c r="Z11" s="146"/>
      <c r="AA11" s="147"/>
      <c r="AB11" s="23"/>
    </row>
    <row r="12" spans="1:28" ht="16.5" customHeight="1" thickTop="1" thickBot="1">
      <c r="A12" s="23"/>
      <c r="B12" s="95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7"/>
      <c r="S12" s="23"/>
      <c r="T12" s="138"/>
      <c r="U12" s="139"/>
      <c r="V12" s="139"/>
      <c r="W12" s="139"/>
      <c r="X12" s="145"/>
      <c r="Y12" s="146"/>
      <c r="Z12" s="146"/>
      <c r="AA12" s="147"/>
      <c r="AB12" s="23"/>
    </row>
    <row r="13" spans="1:28" ht="16.5" customHeight="1" thickTop="1" thickBot="1">
      <c r="A13" s="23"/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7"/>
      <c r="S13" s="23"/>
      <c r="T13" s="140"/>
      <c r="U13" s="141"/>
      <c r="V13" s="141"/>
      <c r="W13" s="141"/>
      <c r="X13" s="145"/>
      <c r="Y13" s="146"/>
      <c r="Z13" s="146"/>
      <c r="AA13" s="147"/>
      <c r="AB13" s="23"/>
    </row>
    <row r="14" spans="1:28" ht="15" customHeight="1" thickTop="1" thickBot="1">
      <c r="A14" s="23"/>
      <c r="B14" s="95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7"/>
      <c r="S14" s="23"/>
      <c r="T14" s="23"/>
      <c r="U14" s="23"/>
      <c r="V14" s="23"/>
      <c r="W14" s="23"/>
      <c r="X14" s="23"/>
      <c r="Y14" s="23"/>
      <c r="Z14" s="23"/>
      <c r="AA14" s="23"/>
      <c r="AB14" s="23"/>
    </row>
    <row r="15" spans="1:28" ht="31.5" customHeight="1" thickTop="1" thickBot="1">
      <c r="A15" s="23"/>
      <c r="B15" s="95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7"/>
      <c r="S15" s="23"/>
      <c r="T15" s="101" t="str">
        <f>T3</f>
        <v>BRALUSO</v>
      </c>
      <c r="U15" s="102"/>
      <c r="V15" s="102"/>
      <c r="W15" s="102"/>
      <c r="X15" s="102"/>
      <c r="Y15" s="102"/>
      <c r="Z15" s="102"/>
      <c r="AA15" s="103"/>
      <c r="AB15" s="23"/>
    </row>
    <row r="16" spans="1:28" ht="16.5" thickTop="1" thickBot="1">
      <c r="A16" s="23"/>
      <c r="B16" s="95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7"/>
      <c r="S16" s="23"/>
      <c r="T16" s="104"/>
      <c r="U16" s="105"/>
      <c r="V16" s="105"/>
      <c r="W16" s="105"/>
      <c r="X16" s="105"/>
      <c r="Y16" s="105"/>
      <c r="Z16" s="29"/>
      <c r="AA16" s="30"/>
      <c r="AB16" s="23"/>
    </row>
    <row r="17" spans="1:28" ht="16.5" customHeight="1" thickTop="1" thickBot="1">
      <c r="A17" s="23"/>
      <c r="B17" s="95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7"/>
      <c r="S17" s="23"/>
      <c r="T17" s="106"/>
      <c r="U17" s="107"/>
      <c r="V17" s="107"/>
      <c r="W17" s="107"/>
      <c r="X17" s="107"/>
      <c r="Y17" s="107"/>
      <c r="Z17" s="134">
        <f>Z7</f>
        <v>200000</v>
      </c>
      <c r="AA17" s="34"/>
      <c r="AB17" s="23"/>
    </row>
    <row r="18" spans="1:28" ht="16.5" customHeight="1" thickTop="1" thickBo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106"/>
      <c r="U18" s="107"/>
      <c r="V18" s="107"/>
      <c r="W18" s="107"/>
      <c r="X18" s="107"/>
      <c r="Y18" s="107"/>
      <c r="Z18" s="134"/>
      <c r="AA18" s="34"/>
      <c r="AB18" s="23"/>
    </row>
    <row r="19" spans="1:28" ht="21" customHeight="1" thickTop="1" thickBot="1">
      <c r="A19" s="23"/>
      <c r="B19" s="98" t="s">
        <v>170</v>
      </c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100"/>
      <c r="S19" s="23"/>
      <c r="T19" s="106"/>
      <c r="U19" s="107"/>
      <c r="V19" s="107"/>
      <c r="W19" s="107"/>
      <c r="X19" s="107"/>
      <c r="Y19" s="107"/>
      <c r="Z19" s="134"/>
      <c r="AA19" s="34"/>
      <c r="AB19" s="23"/>
    </row>
    <row r="20" spans="1:28" ht="16.5" customHeight="1" thickTop="1" thickBot="1">
      <c r="A20" s="23"/>
      <c r="B20" s="95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7"/>
      <c r="S20" s="23"/>
      <c r="T20" s="106"/>
      <c r="U20" s="107"/>
      <c r="V20" s="107"/>
      <c r="W20" s="107"/>
      <c r="X20" s="107"/>
      <c r="Y20" s="107"/>
      <c r="Z20" s="135">
        <f>Y6</f>
        <v>0</v>
      </c>
      <c r="AA20" s="34"/>
      <c r="AB20" s="23"/>
    </row>
    <row r="21" spans="1:28" ht="12" customHeight="1" thickTop="1" thickBot="1">
      <c r="A21" s="23"/>
      <c r="B21" s="95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7"/>
      <c r="S21" s="23"/>
      <c r="T21" s="106"/>
      <c r="U21" s="107"/>
      <c r="V21" s="107"/>
      <c r="W21" s="107"/>
      <c r="X21" s="107"/>
      <c r="Y21" s="107"/>
      <c r="Z21" s="135"/>
      <c r="AA21" s="34"/>
      <c r="AB21" s="23"/>
    </row>
    <row r="22" spans="1:28" ht="16.5" customHeight="1" thickTop="1" thickBot="1">
      <c r="A22" s="23"/>
      <c r="B22" s="95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7"/>
      <c r="S22" s="23"/>
      <c r="T22" s="106"/>
      <c r="U22" s="107"/>
      <c r="V22" s="107"/>
      <c r="W22" s="107"/>
      <c r="X22" s="107"/>
      <c r="Y22" s="107"/>
      <c r="Z22" s="135"/>
      <c r="AA22" s="34"/>
      <c r="AB22" s="23"/>
    </row>
    <row r="23" spans="1:28" ht="16.5" customHeight="1" thickTop="1" thickBot="1">
      <c r="A23" s="23"/>
      <c r="B23" s="95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7"/>
      <c r="S23" s="23"/>
      <c r="T23" s="106"/>
      <c r="U23" s="107"/>
      <c r="V23" s="107"/>
      <c r="W23" s="107"/>
      <c r="X23" s="107"/>
      <c r="Y23" s="107"/>
      <c r="Z23" s="133">
        <f>T6</f>
        <v>200000</v>
      </c>
      <c r="AA23" s="34"/>
      <c r="AB23" s="23"/>
    </row>
    <row r="24" spans="1:28" ht="16.5" customHeight="1" thickTop="1" thickBot="1">
      <c r="A24" s="23"/>
      <c r="B24" s="95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7"/>
      <c r="S24" s="23"/>
      <c r="T24" s="106"/>
      <c r="U24" s="107"/>
      <c r="V24" s="107"/>
      <c r="W24" s="107"/>
      <c r="X24" s="107"/>
      <c r="Y24" s="107"/>
      <c r="Z24" s="133"/>
      <c r="AA24" s="34"/>
      <c r="AB24" s="23"/>
    </row>
    <row r="25" spans="1:28" ht="16.5" customHeight="1" thickTop="1" thickBot="1">
      <c r="A25" s="23"/>
      <c r="B25" s="95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7"/>
      <c r="S25" s="23"/>
      <c r="T25" s="106"/>
      <c r="U25" s="107"/>
      <c r="V25" s="107"/>
      <c r="W25" s="107"/>
      <c r="X25" s="107"/>
      <c r="Y25" s="107"/>
      <c r="Z25" s="133"/>
      <c r="AA25" s="34"/>
      <c r="AB25" s="23"/>
    </row>
    <row r="26" spans="1:28" ht="16.5" thickTop="1" thickBot="1">
      <c r="A26" s="23"/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7"/>
      <c r="S26" s="23"/>
      <c r="T26" s="108"/>
      <c r="U26" s="109"/>
      <c r="V26" s="109"/>
      <c r="W26" s="109"/>
      <c r="X26" s="109"/>
      <c r="Y26" s="109"/>
      <c r="Z26" s="31"/>
      <c r="AA26" s="32"/>
      <c r="AB26" s="23"/>
    </row>
    <row r="27" spans="1:28" ht="16.5" thickTop="1" thickBot="1">
      <c r="A27" s="23"/>
      <c r="B27" s="95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7"/>
      <c r="S27" s="23"/>
      <c r="T27" s="23"/>
      <c r="U27" s="23"/>
      <c r="V27" s="23"/>
      <c r="W27" s="23"/>
      <c r="X27" s="23"/>
      <c r="Y27" s="23"/>
      <c r="Z27" s="23"/>
      <c r="AA27" s="23"/>
      <c r="AB27" s="23"/>
    </row>
    <row r="28" spans="1:28" ht="21" thickTop="1" thickBot="1">
      <c r="A28" s="23"/>
      <c r="B28" s="95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7"/>
      <c r="S28" s="23"/>
      <c r="T28" s="123" t="s">
        <v>184</v>
      </c>
      <c r="U28" s="124"/>
      <c r="V28" s="124"/>
      <c r="W28" s="124"/>
      <c r="X28" s="124"/>
      <c r="Y28" s="124"/>
      <c r="Z28" s="124"/>
      <c r="AA28" s="125"/>
      <c r="AB28" s="23"/>
    </row>
    <row r="29" spans="1:28" ht="16.5" thickTop="1" thickBot="1">
      <c r="A29" s="23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7"/>
      <c r="S29" s="23"/>
      <c r="T29" s="130"/>
      <c r="U29" s="131"/>
      <c r="V29" s="131"/>
      <c r="W29" s="131"/>
      <c r="X29" s="131"/>
      <c r="Y29" s="131"/>
      <c r="Z29" s="131"/>
      <c r="AA29" s="132"/>
      <c r="AB29" s="23"/>
    </row>
    <row r="30" spans="1:28" ht="16.5" thickTop="1" thickBot="1">
      <c r="A30" s="23"/>
      <c r="B30" s="9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7"/>
      <c r="S30" s="23"/>
      <c r="T30" s="130"/>
      <c r="U30" s="131"/>
      <c r="V30" s="131"/>
      <c r="W30" s="131"/>
      <c r="X30" s="131"/>
      <c r="Y30" s="131"/>
      <c r="Z30" s="131"/>
      <c r="AA30" s="132"/>
      <c r="AB30" s="23"/>
    </row>
    <row r="31" spans="1:28" ht="16.5" thickTop="1" thickBot="1">
      <c r="A31" s="23"/>
      <c r="B31" s="95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7"/>
      <c r="S31" s="23"/>
      <c r="T31" s="130"/>
      <c r="U31" s="131"/>
      <c r="V31" s="131"/>
      <c r="W31" s="131"/>
      <c r="X31" s="131"/>
      <c r="Y31" s="131"/>
      <c r="Z31" s="131"/>
      <c r="AA31" s="132"/>
      <c r="AB31" s="23"/>
    </row>
    <row r="32" spans="1:28" ht="16.5" thickTop="1" thickBot="1">
      <c r="A32" s="23"/>
      <c r="B32" s="95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7"/>
      <c r="S32" s="23"/>
      <c r="T32" s="130"/>
      <c r="U32" s="131"/>
      <c r="V32" s="131"/>
      <c r="W32" s="131"/>
      <c r="X32" s="131"/>
      <c r="Y32" s="131"/>
      <c r="Z32" s="131"/>
      <c r="AA32" s="132"/>
      <c r="AB32" s="23"/>
    </row>
    <row r="33" spans="1:28" ht="16.5" thickTop="1" thickBot="1">
      <c r="A33" s="23"/>
      <c r="B33" s="95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7"/>
      <c r="S33" s="23"/>
      <c r="T33" s="130"/>
      <c r="U33" s="131"/>
      <c r="V33" s="131"/>
      <c r="W33" s="131"/>
      <c r="X33" s="131"/>
      <c r="Y33" s="131"/>
      <c r="Z33" s="131"/>
      <c r="AA33" s="132"/>
      <c r="AB33" s="23"/>
    </row>
    <row r="34" spans="1:28" ht="16.5" thickTop="1" thickBot="1">
      <c r="A34" s="23"/>
      <c r="B34" s="95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7"/>
      <c r="S34" s="23"/>
      <c r="T34" s="130"/>
      <c r="U34" s="131"/>
      <c r="V34" s="131"/>
      <c r="W34" s="131"/>
      <c r="X34" s="131"/>
      <c r="Y34" s="131"/>
      <c r="Z34" s="131"/>
      <c r="AA34" s="132"/>
      <c r="AB34" s="23"/>
    </row>
    <row r="35" spans="1:28" ht="16.5" thickTop="1" thickBot="1">
      <c r="A35" s="23"/>
      <c r="B35" s="95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7"/>
      <c r="S35" s="23"/>
      <c r="T35" s="130"/>
      <c r="U35" s="131"/>
      <c r="V35" s="131"/>
      <c r="W35" s="131"/>
      <c r="X35" s="131"/>
      <c r="Y35" s="131"/>
      <c r="Z35" s="131"/>
      <c r="AA35" s="132"/>
      <c r="AB35" s="23"/>
    </row>
    <row r="36" spans="1:28" ht="16.5" thickTop="1" thickBot="1">
      <c r="A36" s="23"/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7"/>
      <c r="S36" s="23"/>
      <c r="T36" s="130"/>
      <c r="U36" s="131"/>
      <c r="V36" s="131"/>
      <c r="W36" s="131"/>
      <c r="X36" s="131"/>
      <c r="Y36" s="131"/>
      <c r="Z36" s="131"/>
      <c r="AA36" s="132"/>
      <c r="AB36" s="23"/>
    </row>
    <row r="37" spans="1:28" ht="16.5" thickTop="1" thickBot="1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130"/>
      <c r="U37" s="131"/>
      <c r="V37" s="131"/>
      <c r="W37" s="131"/>
      <c r="X37" s="131"/>
      <c r="Y37" s="131"/>
      <c r="Z37" s="131"/>
      <c r="AA37" s="132"/>
      <c r="AB37" s="23"/>
    </row>
    <row r="38" spans="1:28" ht="21" thickTop="1" thickBot="1">
      <c r="A38" s="23"/>
      <c r="B38" s="123" t="s">
        <v>186</v>
      </c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5"/>
      <c r="S38" s="23"/>
      <c r="T38" s="130"/>
      <c r="U38" s="131"/>
      <c r="V38" s="131"/>
      <c r="W38" s="131"/>
      <c r="X38" s="131"/>
      <c r="Y38" s="131"/>
      <c r="Z38" s="131"/>
      <c r="AA38" s="132"/>
      <c r="AB38" s="23"/>
    </row>
    <row r="39" spans="1:28" ht="16.5" thickTop="1" thickBot="1">
      <c r="A39" s="23"/>
      <c r="B39" s="130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2"/>
      <c r="S39" s="23"/>
      <c r="T39" s="130"/>
      <c r="U39" s="131"/>
      <c r="V39" s="131"/>
      <c r="W39" s="131"/>
      <c r="X39" s="131"/>
      <c r="Y39" s="131"/>
      <c r="Z39" s="131"/>
      <c r="AA39" s="132"/>
      <c r="AB39" s="23"/>
    </row>
    <row r="40" spans="1:28" ht="16.5" thickTop="1" thickBot="1">
      <c r="A40" s="23"/>
      <c r="B40" s="130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2"/>
      <c r="S40" s="23"/>
      <c r="T40" s="130"/>
      <c r="U40" s="131"/>
      <c r="V40" s="131"/>
      <c r="W40" s="131"/>
      <c r="X40" s="131"/>
      <c r="Y40" s="131"/>
      <c r="Z40" s="131"/>
      <c r="AA40" s="132"/>
      <c r="AB40" s="23"/>
    </row>
    <row r="41" spans="1:28" ht="16.5" thickTop="1" thickBot="1">
      <c r="A41" s="23"/>
      <c r="B41" s="130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2"/>
      <c r="S41" s="23"/>
      <c r="T41" s="130"/>
      <c r="U41" s="131"/>
      <c r="V41" s="131"/>
      <c r="W41" s="131"/>
      <c r="X41" s="131"/>
      <c r="Y41" s="131"/>
      <c r="Z41" s="131"/>
      <c r="AA41" s="132"/>
      <c r="AB41" s="23"/>
    </row>
    <row r="42" spans="1:28" ht="16.5" thickTop="1" thickBot="1">
      <c r="A42" s="23"/>
      <c r="B42" s="130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2"/>
      <c r="S42" s="23"/>
      <c r="T42" s="130"/>
      <c r="U42" s="131"/>
      <c r="V42" s="131"/>
      <c r="W42" s="131"/>
      <c r="X42" s="131"/>
      <c r="Y42" s="131"/>
      <c r="Z42" s="131"/>
      <c r="AA42" s="132"/>
      <c r="AB42" s="23"/>
    </row>
    <row r="43" spans="1:28" ht="16.5" thickTop="1" thickBot="1">
      <c r="A43" s="23"/>
      <c r="B43" s="130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2"/>
      <c r="S43" s="23"/>
      <c r="T43" s="130"/>
      <c r="U43" s="131"/>
      <c r="V43" s="131"/>
      <c r="W43" s="131"/>
      <c r="X43" s="131"/>
      <c r="Y43" s="131"/>
      <c r="Z43" s="131"/>
      <c r="AA43" s="132"/>
      <c r="AB43" s="23"/>
    </row>
    <row r="44" spans="1:28" ht="16.5" thickTop="1" thickBot="1">
      <c r="A44" s="23"/>
      <c r="B44" s="130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2"/>
      <c r="S44" s="23"/>
      <c r="T44" s="130"/>
      <c r="U44" s="131"/>
      <c r="V44" s="131"/>
      <c r="W44" s="131"/>
      <c r="X44" s="131"/>
      <c r="Y44" s="131"/>
      <c r="Z44" s="131"/>
      <c r="AA44" s="132"/>
      <c r="AB44" s="23"/>
    </row>
    <row r="45" spans="1:28" ht="16.5" thickTop="1" thickBot="1">
      <c r="A45" s="23"/>
      <c r="B45" s="130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2"/>
      <c r="S45" s="23"/>
      <c r="T45" s="130"/>
      <c r="U45" s="131"/>
      <c r="V45" s="131"/>
      <c r="W45" s="131"/>
      <c r="X45" s="131"/>
      <c r="Y45" s="131"/>
      <c r="Z45" s="131"/>
      <c r="AA45" s="132"/>
      <c r="AB45" s="23"/>
    </row>
    <row r="46" spans="1:28" ht="16.5" thickTop="1" thickBot="1">
      <c r="A46" s="23"/>
      <c r="B46" s="130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2"/>
      <c r="S46" s="23"/>
      <c r="T46" s="130"/>
      <c r="U46" s="131"/>
      <c r="V46" s="131"/>
      <c r="W46" s="131"/>
      <c r="X46" s="131"/>
      <c r="Y46" s="131"/>
      <c r="Z46" s="131"/>
      <c r="AA46" s="132"/>
      <c r="AB46" s="23"/>
    </row>
    <row r="47" spans="1:28" ht="16.5" thickTop="1" thickBot="1">
      <c r="A47" s="23"/>
      <c r="B47" s="130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2"/>
      <c r="S47" s="23"/>
      <c r="T47" s="130"/>
      <c r="U47" s="131"/>
      <c r="V47" s="131"/>
      <c r="W47" s="131"/>
      <c r="X47" s="131"/>
      <c r="Y47" s="131"/>
      <c r="Z47" s="131"/>
      <c r="AA47" s="132"/>
      <c r="AB47" s="23"/>
    </row>
    <row r="48" spans="1:28" ht="16.5" thickTop="1" thickBot="1">
      <c r="A48" s="23"/>
      <c r="B48" s="130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2"/>
      <c r="S48" s="23"/>
      <c r="T48" s="130"/>
      <c r="U48" s="131"/>
      <c r="V48" s="131"/>
      <c r="W48" s="131"/>
      <c r="X48" s="131"/>
      <c r="Y48" s="131"/>
      <c r="Z48" s="131"/>
      <c r="AA48" s="132"/>
      <c r="AB48" s="23"/>
    </row>
    <row r="49" spans="1:28" ht="16.5" thickTop="1" thickBot="1">
      <c r="A49" s="23"/>
      <c r="B49" s="130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2"/>
      <c r="S49" s="23"/>
      <c r="T49" s="130"/>
      <c r="U49" s="131"/>
      <c r="V49" s="131"/>
      <c r="W49" s="131"/>
      <c r="X49" s="131"/>
      <c r="Y49" s="131"/>
      <c r="Z49" s="131"/>
      <c r="AA49" s="132"/>
      <c r="AB49" s="23"/>
    </row>
    <row r="50" spans="1:28" ht="15.75" thickTop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</row>
    <row r="51" spans="1:28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</row>
  </sheetData>
  <sheetProtection formatCells="0" formatColumns="0" formatRows="0" insertColumns="0" insertRows="0" insertHyperlinks="0" deleteColumns="0" deleteRows="0" sort="0" autoFilter="0" pivotTables="0"/>
  <dataConsolidate/>
  <mergeCells count="25">
    <mergeCell ref="T9:W13"/>
    <mergeCell ref="X9:AA10"/>
    <mergeCell ref="X11:AA13"/>
    <mergeCell ref="B38:R38"/>
    <mergeCell ref="B39:R49"/>
    <mergeCell ref="T29:AA49"/>
    <mergeCell ref="Z23:Z25"/>
    <mergeCell ref="Z17:Z19"/>
    <mergeCell ref="Z20:Z22"/>
    <mergeCell ref="T2:AA2"/>
    <mergeCell ref="B20:R36"/>
    <mergeCell ref="B19:R19"/>
    <mergeCell ref="B3:R17"/>
    <mergeCell ref="B2:R2"/>
    <mergeCell ref="T15:AA15"/>
    <mergeCell ref="T16:Y26"/>
    <mergeCell ref="T6:U6"/>
    <mergeCell ref="V6:X6"/>
    <mergeCell ref="Y6:AA6"/>
    <mergeCell ref="T3:AA4"/>
    <mergeCell ref="T5:U5"/>
    <mergeCell ref="T28:AA28"/>
    <mergeCell ref="V5:X5"/>
    <mergeCell ref="Y5:AA5"/>
    <mergeCell ref="T8:AA8"/>
  </mergeCells>
  <dataValidations count="1">
    <dataValidation type="list" allowBlank="1" showInputMessage="1" showErrorMessage="1" sqref="T3:AA4">
      <formula1>Contratosx</formula1>
    </dataValidation>
  </dataValidations>
  <pageMargins left="0.23622047244094491" right="0.23622047244094491" top="0.74803149606299213" bottom="0.74803149606299213" header="0.31496062992125984" footer="0.31496062992125984"/>
  <pageSetup paperSize="9" scale="5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C137"/>
  <sheetViews>
    <sheetView topLeftCell="AR4" workbookViewId="0">
      <selection activeCell="AZ19" sqref="AZ19"/>
    </sheetView>
  </sheetViews>
  <sheetFormatPr defaultRowHeight="15"/>
  <cols>
    <col min="1" max="1" width="27.85546875" customWidth="1"/>
    <col min="2" max="2" width="21.42578125" bestFit="1" customWidth="1"/>
    <col min="3" max="3" width="20.140625" bestFit="1" customWidth="1"/>
    <col min="5" max="5" width="40" bestFit="1" customWidth="1"/>
    <col min="6" max="6" width="12.5703125" customWidth="1"/>
    <col min="7" max="9" width="10.7109375" bestFit="1" customWidth="1"/>
    <col min="10" max="10" width="20.140625" bestFit="1" customWidth="1"/>
    <col min="13" max="13" width="15.28515625" bestFit="1" customWidth="1"/>
    <col min="14" max="14" width="69.28515625" customWidth="1"/>
    <col min="16" max="16" width="14.85546875" customWidth="1"/>
    <col min="17" max="17" width="11.28515625" bestFit="1" customWidth="1"/>
    <col min="18" max="18" width="18.140625" bestFit="1" customWidth="1"/>
    <col min="19" max="19" width="37.7109375" bestFit="1" customWidth="1"/>
    <col min="20" max="20" width="27.7109375" hidden="1" customWidth="1"/>
    <col min="24" max="24" width="32.42578125" bestFit="1" customWidth="1"/>
    <col min="26" max="27" width="10.7109375" bestFit="1" customWidth="1"/>
    <col min="31" max="31" width="20.42578125" customWidth="1"/>
    <col min="32" max="32" width="51.7109375" bestFit="1" customWidth="1"/>
    <col min="34" max="34" width="22" bestFit="1" customWidth="1"/>
    <col min="35" max="35" width="14.42578125" bestFit="1" customWidth="1"/>
    <col min="36" max="36" width="11.7109375" bestFit="1" customWidth="1"/>
    <col min="38" max="39" width="12.7109375" bestFit="1" customWidth="1"/>
    <col min="40" max="40" width="11.7109375" bestFit="1" customWidth="1"/>
    <col min="41" max="41" width="8.28515625" bestFit="1" customWidth="1"/>
    <col min="43" max="43" width="10.7109375" bestFit="1" customWidth="1"/>
    <col min="44" max="44" width="11.7109375" bestFit="1" customWidth="1"/>
    <col min="45" max="45" width="12" bestFit="1" customWidth="1"/>
    <col min="49" max="49" width="44.5703125" bestFit="1" customWidth="1"/>
    <col min="50" max="50" width="21.7109375" bestFit="1" customWidth="1"/>
    <col min="52" max="52" width="16.28515625" bestFit="1" customWidth="1"/>
    <col min="53" max="53" width="12.5703125" bestFit="1" customWidth="1"/>
    <col min="54" max="55" width="10.7109375" bestFit="1" customWidth="1"/>
  </cols>
  <sheetData>
    <row r="1" spans="1:55" ht="17.25" thickTop="1" thickBot="1">
      <c r="A1" t="s">
        <v>3</v>
      </c>
      <c r="C1" t="s">
        <v>4</v>
      </c>
      <c r="E1" s="151" t="s">
        <v>5</v>
      </c>
      <c r="F1" s="151"/>
      <c r="H1" s="151" t="s">
        <v>6</v>
      </c>
      <c r="I1" s="151"/>
      <c r="J1" s="151"/>
      <c r="M1" t="s">
        <v>8</v>
      </c>
      <c r="N1" s="2" t="s">
        <v>9</v>
      </c>
      <c r="S1" s="151" t="s">
        <v>145</v>
      </c>
      <c r="T1" s="151"/>
      <c r="U1" s="151"/>
      <c r="V1" s="151"/>
      <c r="W1" s="151"/>
      <c r="X1" s="151"/>
      <c r="AA1" t="s">
        <v>160</v>
      </c>
      <c r="AB1" t="s">
        <v>159</v>
      </c>
      <c r="AE1" t="s">
        <v>163</v>
      </c>
      <c r="AH1" s="148" t="s">
        <v>165</v>
      </c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BC1" t="s">
        <v>206</v>
      </c>
    </row>
    <row r="2" spans="1:55" ht="15.75" thickTop="1">
      <c r="H2" t="s">
        <v>7</v>
      </c>
      <c r="I2" t="s">
        <v>0</v>
      </c>
      <c r="J2" t="s">
        <v>2</v>
      </c>
      <c r="N2" t="e">
        <f>MONITORAMENTO!#REF!</f>
        <v>#REF!</v>
      </c>
      <c r="P2" t="s">
        <v>0</v>
      </c>
      <c r="Q2" t="s">
        <v>22</v>
      </c>
      <c r="R2" t="s">
        <v>1</v>
      </c>
      <c r="S2" t="s">
        <v>0</v>
      </c>
      <c r="T2" t="s">
        <v>28</v>
      </c>
      <c r="U2" t="s">
        <v>1</v>
      </c>
      <c r="V2" t="s">
        <v>2</v>
      </c>
      <c r="W2" t="s">
        <v>146</v>
      </c>
      <c r="X2" t="s">
        <v>147</v>
      </c>
      <c r="AA2">
        <v>1</v>
      </c>
      <c r="AB2" t="s">
        <v>160</v>
      </c>
      <c r="AC2" t="s">
        <v>164</v>
      </c>
      <c r="AE2" s="6" t="e">
        <f>VLOOKUP($AF$2,'--GESTÃO DE CONTRATOS--'!$E$13:$P$543,12,FALSE)</f>
        <v>#N/A</v>
      </c>
      <c r="AF2" t="s">
        <v>223</v>
      </c>
      <c r="AH2" s="11"/>
      <c r="AI2" s="11"/>
      <c r="AJ2" s="11"/>
      <c r="AK2" s="11"/>
      <c r="AL2" s="11"/>
      <c r="AM2" s="11"/>
      <c r="AN2" s="11"/>
      <c r="AP2" s="11"/>
      <c r="AQ2" s="11"/>
      <c r="AR2" s="11"/>
      <c r="AS2" s="11"/>
      <c r="AT2" s="11"/>
      <c r="BC2" t="s">
        <v>204</v>
      </c>
    </row>
    <row r="3" spans="1:55">
      <c r="B3" t="s">
        <v>12</v>
      </c>
      <c r="H3" t="e">
        <f>M4</f>
        <v>#REF!</v>
      </c>
      <c r="I3" t="e">
        <f>VLOOKUP(N2,#REF!,2,FALSE)</f>
        <v>#REF!</v>
      </c>
      <c r="J3" t="e">
        <f>N4</f>
        <v>#REF!</v>
      </c>
      <c r="M3" t="s">
        <v>7</v>
      </c>
      <c r="N3" t="s">
        <v>10</v>
      </c>
      <c r="P3" s="4" t="e">
        <f>#REF!</f>
        <v>#REF!</v>
      </c>
      <c r="Q3" t="e">
        <f>IF(COUNTIFS(#REF!,VALID!$P3,#REF!,VALID!$N$2)=0,"",COUNTIFS(#REF!,VALID!$P3,#REF!,VALID!$N$2))</f>
        <v>#REF!</v>
      </c>
      <c r="R3" s="1" t="str">
        <f>IFERROR(VLOOKUP(P3,#REF!,2,FALSE),"")</f>
        <v/>
      </c>
      <c r="T3" t="s">
        <v>29</v>
      </c>
      <c r="U3" t="e">
        <f>VLOOKUP(VALID!$S$3,#REF!,2,FALSE)</f>
        <v>#REF!</v>
      </c>
      <c r="V3" s="1" t="e">
        <f>VLOOKUP(VALID!$S$3,#REF!,3,FALSE)</f>
        <v>#REF!</v>
      </c>
      <c r="W3" s="1" t="e">
        <f>VLOOKUP(VALID!$S$3,#REF!,4,FALSE)</f>
        <v>#REF!</v>
      </c>
      <c r="X3" t="e">
        <f>VLOOKUP(S3,#REF!,6,FALSE)</f>
        <v>#REF!</v>
      </c>
      <c r="AA3">
        <v>2</v>
      </c>
      <c r="AB3" t="s">
        <v>156</v>
      </c>
      <c r="AC3" t="s">
        <v>162</v>
      </c>
      <c r="AE3" s="6" t="str">
        <f>VLOOKUP($AF$3,'--GESTÃO DE CONTRATOS--'!$E$15:$P$543,12,FALSE)</f>
        <v>2812201809-4</v>
      </c>
      <c r="AF3" s="1" t="str">
        <f>MONITORAMENTO!T3</f>
        <v>BRALUSO</v>
      </c>
      <c r="AH3" s="11" t="s">
        <v>146</v>
      </c>
      <c r="AI3" s="11" t="s">
        <v>166</v>
      </c>
      <c r="AJ3" s="11" t="s">
        <v>167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BC3" t="s">
        <v>198</v>
      </c>
    </row>
    <row r="4" spans="1:55">
      <c r="B4" t="s">
        <v>11</v>
      </c>
      <c r="C4" t="e">
        <f>COUNTIF(#REF!,VALID!$B4)</f>
        <v>#REF!</v>
      </c>
      <c r="M4" t="e">
        <f>VLOOKUP(VALID!I3,#REF!,2,FALSE)</f>
        <v>#REF!</v>
      </c>
      <c r="N4" s="3" t="e">
        <f>VLOOKUP(VALID!I3,#REF!,3,FALSE)</f>
        <v>#REF!</v>
      </c>
      <c r="P4" s="1" t="str">
        <f t="array" ref="P4">IFERROR(INDEX(#REF!,MATCH(0,COUNTIF(VALID!$P$2:$P3,#REF!),0)),"")</f>
        <v/>
      </c>
      <c r="Q4" s="1" t="e">
        <f>IF(COUNTIFS(#REF!,VALID!$P4,#REF!,VALID!$N$2)=0,"",COUNTIFS(#REF!,VALID!$P4,#REF!,VALID!$N$2))</f>
        <v>#REF!</v>
      </c>
      <c r="R4" s="1" t="str">
        <f t="array" ref="R4">IFERROR(VLOOKUP(P4,#REF!,2,FALSE),"")</f>
        <v/>
      </c>
      <c r="T4" t="s">
        <v>30</v>
      </c>
      <c r="AA4">
        <v>3</v>
      </c>
      <c r="AB4" t="s">
        <v>157</v>
      </c>
      <c r="AC4" t="s">
        <v>158</v>
      </c>
      <c r="AE4" s="1" t="str">
        <f>LEFT(AE3,10)</f>
        <v>2812201809</v>
      </c>
      <c r="AF4" s="13">
        <f>VLOOKUP($AE$3,'--GESTÃO DE CONTRATOS--'!$A$13:$O$562,10,FALSE)</f>
        <v>200000</v>
      </c>
      <c r="AH4" s="50" t="e">
        <f>'--GESTÃO DE CONTRATOS--'!#REF!</f>
        <v>#REF!</v>
      </c>
      <c r="AI4" s="12" t="e">
        <f>'--GESTÃO DE CONTRATOS--'!#REF!</f>
        <v>#REF!</v>
      </c>
      <c r="AJ4" s="12" t="e">
        <f>'--GESTÃO DE CONTRATOS--'!#REF!</f>
        <v>#REF!</v>
      </c>
      <c r="AK4" s="11"/>
      <c r="AL4" s="12"/>
      <c r="AM4" s="12"/>
      <c r="AN4" s="12"/>
      <c r="AO4" s="11"/>
      <c r="AP4" s="11"/>
      <c r="AQ4" s="11"/>
      <c r="AR4" s="11"/>
      <c r="AS4" s="11"/>
      <c r="AT4" s="11"/>
    </row>
    <row r="5" spans="1:55">
      <c r="B5" t="s">
        <v>13</v>
      </c>
      <c r="C5" s="1" t="e">
        <f>COUNTIF(#REF!,VALID!$B5)</f>
        <v>#REF!</v>
      </c>
      <c r="P5" s="1" t="str">
        <f t="array" ref="P5">IFERROR(INDEX(#REF!,MATCH(0,COUNTIF(VALID!$P$2:$P4,#REF!),0)),"")</f>
        <v/>
      </c>
      <c r="Q5" s="1" t="e">
        <f>IF(COUNTIFS(#REF!,VALID!$P5,#REF!,VALID!$N$2)=0,"",COUNTIFS(#REF!,VALID!$P5,#REF!,VALID!$N$2))</f>
        <v>#REF!</v>
      </c>
      <c r="R5" s="1" t="str">
        <f>IFERROR(VLOOKUP(P5,#REF!,2,FALSE),"")</f>
        <v/>
      </c>
      <c r="T5" t="s">
        <v>31</v>
      </c>
      <c r="AA5">
        <v>4</v>
      </c>
      <c r="AB5" t="s">
        <v>161</v>
      </c>
      <c r="AC5" t="s">
        <v>161</v>
      </c>
      <c r="AE5" s="11" t="s">
        <v>166</v>
      </c>
      <c r="AF5" s="13" t="str">
        <f>VLOOKUP($AE$3,'--GESTÃO DE CONTRATOS--'!$A$13:$O$563,11,FALSE)</f>
        <v>ADITIVO</v>
      </c>
      <c r="AH5" s="50" t="e">
        <f>'--GESTÃO DE CONTRATOS--'!#REF!</f>
        <v>#REF!</v>
      </c>
      <c r="AI5" s="12" t="e">
        <f>'--GESTÃO DE CONTRATOS--'!#REF!</f>
        <v>#REF!</v>
      </c>
      <c r="AJ5" s="12" t="e">
        <f>'--GESTÃO DE CONTRATOS--'!#REF!</f>
        <v>#REF!</v>
      </c>
      <c r="AK5" s="11"/>
      <c r="AL5" s="12"/>
      <c r="AM5" s="12"/>
      <c r="AN5" s="12"/>
      <c r="AO5" s="11"/>
      <c r="AP5" s="11"/>
      <c r="AQ5" s="11"/>
      <c r="AR5" s="11"/>
      <c r="AS5" s="11"/>
      <c r="AT5" s="11"/>
    </row>
    <row r="6" spans="1:55">
      <c r="B6" t="s">
        <v>14</v>
      </c>
      <c r="C6" s="1" t="e">
        <f>COUNTIF(#REF!,VALID!$B6)</f>
        <v>#REF!</v>
      </c>
      <c r="P6" s="1" t="str">
        <f t="array" ref="P6">IFERROR(INDEX(#REF!,MATCH(0,COUNTIF(VALID!$P$2:$P5,#REF!),0)),"")</f>
        <v/>
      </c>
      <c r="Q6" s="1" t="e">
        <f>IF(COUNTIFS(#REF!,VALID!$P6,#REF!,VALID!$N$2)=0,"",COUNTIFS(#REF!,VALID!$P6,#REF!,VALID!$N$2))</f>
        <v>#REF!</v>
      </c>
      <c r="R6" s="1" t="str">
        <f>IFERROR(VLOOKUP(P6,#REF!,2,FALSE),"")</f>
        <v/>
      </c>
      <c r="T6" t="s">
        <v>32</v>
      </c>
      <c r="AA6">
        <v>5</v>
      </c>
      <c r="AE6" s="11" t="s">
        <v>168</v>
      </c>
      <c r="AF6" s="5">
        <f>VLOOKUP($AE$3,'--GESTÃO DE CONTRATOS--'!$A$13:$O$563,13,FALSE)</f>
        <v>43322</v>
      </c>
      <c r="AH6" s="50" t="e">
        <f>'--GESTÃO DE CONTRATOS--'!#REF!</f>
        <v>#REF!</v>
      </c>
      <c r="AI6" s="12" t="e">
        <f>'--GESTÃO DE CONTRATOS--'!#REF!</f>
        <v>#REF!</v>
      </c>
      <c r="AJ6" s="12" t="e">
        <f>'--GESTÃO DE CONTRATOS--'!#REF!</f>
        <v>#REF!</v>
      </c>
      <c r="AK6" s="11"/>
      <c r="AL6" s="12"/>
      <c r="AM6" s="12"/>
      <c r="AN6" s="12"/>
      <c r="AO6" s="11"/>
      <c r="AP6" s="11"/>
      <c r="AQ6" s="11"/>
      <c r="AR6" s="11"/>
      <c r="AS6" s="11"/>
      <c r="AT6" s="11"/>
    </row>
    <row r="7" spans="1:55">
      <c r="P7" s="1" t="str">
        <f t="array" ref="P7">IFERROR(INDEX(#REF!,MATCH(0,COUNTIF(VALID!$P$2:$P6,#REF!),0)),"")</f>
        <v/>
      </c>
      <c r="Q7" s="1" t="e">
        <f>IF(COUNTIFS(#REF!,VALID!$P7,#REF!,VALID!$N$2)=0,"",COUNTIFS(#REF!,VALID!$P7,#REF!,VALID!$N$2))</f>
        <v>#REF!</v>
      </c>
      <c r="R7" s="1" t="str">
        <f>IFERROR(VLOOKUP(P7,#REF!,2,FALSE),"")</f>
        <v/>
      </c>
      <c r="T7" t="s">
        <v>33</v>
      </c>
      <c r="AA7">
        <v>6</v>
      </c>
      <c r="AD7" t="s">
        <v>220</v>
      </c>
      <c r="AF7" s="13">
        <f>SUMIFS('GESTÃO DE PAGAMENTOS'!$I$10:$I$5000,'GESTÃO DE PAGAMENTOS'!$C$10:$C$5000,$AF$3,'GESTÃO DE PAGAMENTOS'!$J$10:$J$5000,"PAGO")</f>
        <v>0</v>
      </c>
      <c r="AH7" s="50" t="e">
        <f>'--GESTÃO DE CONTRATOS--'!#REF!</f>
        <v>#REF!</v>
      </c>
      <c r="AI7" s="12" t="e">
        <f>'--GESTÃO DE CONTRATOS--'!#REF!</f>
        <v>#REF!</v>
      </c>
      <c r="AJ7" s="12" t="e">
        <f>'--GESTÃO DE CONTRATOS--'!#REF!</f>
        <v>#REF!</v>
      </c>
      <c r="AK7" s="11"/>
      <c r="AL7" s="12"/>
      <c r="AM7" s="12"/>
      <c r="AN7" s="12"/>
      <c r="AO7" s="11"/>
      <c r="AP7" s="11"/>
      <c r="AQ7" s="11"/>
      <c r="AR7" s="11"/>
      <c r="AS7" s="11"/>
      <c r="AT7" s="11"/>
    </row>
    <row r="8" spans="1:55">
      <c r="B8" t="s">
        <v>15</v>
      </c>
      <c r="E8" s="151" t="s">
        <v>17</v>
      </c>
      <c r="F8" s="151"/>
      <c r="P8" s="1" t="str">
        <f t="array" ref="P8">IFERROR(INDEX(#REF!,MATCH(0,COUNTIF(VALID!$P$2:$P7,#REF!),0)),"")</f>
        <v/>
      </c>
      <c r="Q8" s="1" t="e">
        <f>IF(COUNTIFS(#REF!,VALID!$P8,#REF!,VALID!$N$2)=0,"",COUNTIFS(#REF!,VALID!$P8,#REF!,VALID!$N$2))</f>
        <v>#REF!</v>
      </c>
      <c r="R8" s="1" t="str">
        <f>IFERROR(VLOOKUP(P8,#REF!,2,FALSE),"")</f>
        <v/>
      </c>
      <c r="T8" t="s">
        <v>34</v>
      </c>
      <c r="AA8">
        <v>7</v>
      </c>
      <c r="AE8" t="str">
        <f>VLOOKUP(AE3,'--GESTÃO DE CONTRATOS--'!$A$15:$D$543,4,FALSE)</f>
        <v>257/2014</v>
      </c>
      <c r="AF8" s="6">
        <f ca="1">IF(VLOOKUP($AE$3,'--GESTÃO DE CONTRATOS--'!$A$13:$O$563,14,FALSE)-TODAY()&lt;0,0,VLOOKUP($AE$3,'--GESTÃO DE CONTRATOS--'!$A$13:$O$563,14,FALSE)-TODAY())</f>
        <v>199</v>
      </c>
      <c r="AH8" s="50" t="e">
        <f>'--GESTÃO DE CONTRATOS--'!#REF!</f>
        <v>#REF!</v>
      </c>
      <c r="AI8" s="12" t="e">
        <f>'--GESTÃO DE CONTRATOS--'!#REF!</f>
        <v>#REF!</v>
      </c>
      <c r="AJ8" s="12" t="e">
        <f>'--GESTÃO DE CONTRATOS--'!#REF!</f>
        <v>#REF!</v>
      </c>
      <c r="AK8" s="11"/>
      <c r="AL8" s="11"/>
      <c r="AM8" s="12"/>
      <c r="AN8" s="12"/>
      <c r="AO8" s="11"/>
      <c r="AP8" s="11"/>
      <c r="AQ8" s="11"/>
      <c r="AR8" s="11"/>
      <c r="AS8" s="11"/>
      <c r="AT8" s="11"/>
    </row>
    <row r="9" spans="1:55">
      <c r="B9" s="4"/>
      <c r="D9">
        <f ca="1">MONTH(TODAY())</f>
        <v>1</v>
      </c>
      <c r="E9" s="5">
        <f ca="1">EDATE(TODAY(),5)-(DAY(TODAY()-1))</f>
        <v>43617</v>
      </c>
      <c r="F9" s="6" t="e">
        <f ca="1">COUNTIFS(#REF!,"&gt;="&amp;VALID!$E9,#REF!,"&lt;="&amp;VALID!$G9)</f>
        <v>#REF!</v>
      </c>
      <c r="G9" s="5">
        <f ca="1">EDATE(TODAY(),5)+(31-DAY(TODAY()))</f>
        <v>43647</v>
      </c>
      <c r="P9" s="1" t="str">
        <f t="array" ref="P9">IFERROR(INDEX(#REF!,MATCH(0,COUNTIF(VALID!$P$2:$P8,#REF!),0)),"")</f>
        <v/>
      </c>
      <c r="Q9" s="1" t="e">
        <f>IF(COUNTIFS(#REF!,VALID!$P9,#REF!,VALID!$N$2)=0,"",COUNTIFS(#REF!,VALID!$P9,#REF!,VALID!$N$2))</f>
        <v>#REF!</v>
      </c>
      <c r="R9" s="1" t="str">
        <f>IFERROR(VLOOKUP(P9,#REF!,2,FALSE),"")</f>
        <v/>
      </c>
      <c r="T9" t="s">
        <v>35</v>
      </c>
      <c r="AA9">
        <v>8</v>
      </c>
      <c r="AF9" s="5">
        <f>VLOOKUP($AE$3,'--GESTÃO DE CONTRATOS--'!$A$13:$O$563,14,FALSE)</f>
        <v>43686</v>
      </c>
      <c r="AH9" s="50" t="e">
        <f>'--GESTÃO DE CONTRATOS--'!#REF!</f>
        <v>#REF!</v>
      </c>
      <c r="AI9" s="12" t="e">
        <f>'--GESTÃO DE CONTRATOS--'!#REF!</f>
        <v>#REF!</v>
      </c>
      <c r="AJ9" s="12" t="e">
        <f>'--GESTÃO DE CONTRATOS--'!#REF!</f>
        <v>#REF!</v>
      </c>
      <c r="AK9" s="11"/>
      <c r="AL9" s="11"/>
      <c r="AM9" s="12"/>
      <c r="AN9" s="12"/>
      <c r="AO9" s="11"/>
      <c r="AP9" s="11"/>
      <c r="AQ9" s="11"/>
      <c r="AR9" s="11"/>
      <c r="AS9" s="11"/>
      <c r="AT9" s="11"/>
    </row>
    <row r="10" spans="1:55">
      <c r="B10" s="4"/>
      <c r="E10" s="5">
        <f ca="1">EDATE(TODAY(),2)-(DAY(TODAY()-1))</f>
        <v>43525</v>
      </c>
      <c r="F10" s="6" t="e">
        <f ca="1">COUNTIFS(#REF!,"&gt;="&amp;VALID!$E10,#REF!,"&lt;="&amp;VALID!$G10)</f>
        <v>#REF!</v>
      </c>
      <c r="G10" s="5">
        <f ca="1">EDATE(TODAY(),2)+(31-DAY(TODAY()))</f>
        <v>43555</v>
      </c>
      <c r="P10" s="1" t="str">
        <f t="array" ref="P10">IFERROR(INDEX(#REF!,MATCH(0,COUNTIF(VALID!$P$2:$P9,#REF!),0)),"")</f>
        <v/>
      </c>
      <c r="Q10" s="1" t="e">
        <f>IF(COUNTIFS(#REF!,VALID!$P10,#REF!,VALID!$N$2)=0,"",COUNTIFS(#REF!,VALID!$P10,#REF!,VALID!$N$2))</f>
        <v>#REF!</v>
      </c>
      <c r="R10" s="1" t="str">
        <f>IFERROR(VLOOKUP(P10,#REF!,2,FALSE),"")</f>
        <v/>
      </c>
      <c r="T10" t="s">
        <v>36</v>
      </c>
      <c r="AE10" t="s">
        <v>185</v>
      </c>
      <c r="AF10" s="6">
        <f>AF9-AF6</f>
        <v>364</v>
      </c>
      <c r="AG10" s="6"/>
      <c r="AH10" s="50" t="e">
        <f>'--GESTÃO DE CONTRATOS--'!#REF!</f>
        <v>#REF!</v>
      </c>
      <c r="AI10" s="12" t="e">
        <f>'--GESTÃO DE CONTRATOS--'!#REF!</f>
        <v>#REF!</v>
      </c>
      <c r="AJ10" s="12" t="e">
        <f>'--GESTÃO DE CONTRATOS--'!#REF!</f>
        <v>#REF!</v>
      </c>
      <c r="AK10" s="11"/>
      <c r="AL10" s="11"/>
      <c r="AM10" s="12"/>
      <c r="AN10" s="12"/>
      <c r="AO10" s="11"/>
      <c r="AP10" s="11"/>
      <c r="AQ10" s="11"/>
      <c r="AR10" s="11"/>
      <c r="AS10" s="11"/>
      <c r="AT10" s="11"/>
    </row>
    <row r="11" spans="1:55">
      <c r="E11" s="5">
        <f ca="1">EDATE(TODAY(),0)-(DAY(TODAY()-1))</f>
        <v>43466</v>
      </c>
      <c r="F11" s="6" t="e">
        <f ca="1">COUNTIFS(#REF!,"&gt;="&amp;VALID!$E11,#REF!,"&lt;="&amp;VALID!$G11)</f>
        <v>#REF!</v>
      </c>
      <c r="G11" s="5">
        <f ca="1">EDATE(TODAY(),0)+(31-DAY(TODAY()))</f>
        <v>43496</v>
      </c>
      <c r="I11" s="151" t="s">
        <v>16</v>
      </c>
      <c r="J11" s="151"/>
      <c r="K11" s="151"/>
      <c r="M11" s="5">
        <v>43240</v>
      </c>
      <c r="N11">
        <f>MONTH(M11)</f>
        <v>5</v>
      </c>
      <c r="P11" s="1" t="str">
        <f t="array" ref="P11">IFERROR(INDEX(#REF!,MATCH(0,COUNTIF(VALID!$P$2:$P10,#REF!),0)),"")</f>
        <v/>
      </c>
      <c r="Q11" s="1" t="e">
        <f>IF(COUNTIFS(#REF!,VALID!$P11,#REF!,VALID!$N$2)=0,"",COUNTIFS(#REF!,VALID!$P11,#REF!,VALID!$N$2))</f>
        <v>#REF!</v>
      </c>
      <c r="R11" s="1" t="str">
        <f>IFERROR(VLOOKUP(P11,#REF!,2,FALSE),"")</f>
        <v/>
      </c>
      <c r="T11" t="s">
        <v>37</v>
      </c>
      <c r="X11" s="151" t="s">
        <v>141</v>
      </c>
      <c r="Y11" s="151"/>
      <c r="Z11" s="151"/>
      <c r="AF11" s="6">
        <f ca="1">AF10-AF8</f>
        <v>165</v>
      </c>
      <c r="AH11" s="50" t="e">
        <f>'--GESTÃO DE CONTRATOS--'!#REF!</f>
        <v>#REF!</v>
      </c>
      <c r="AI11" s="12" t="e">
        <f>'--GESTÃO DE CONTRATOS--'!#REF!</f>
        <v>#REF!</v>
      </c>
      <c r="AJ11" s="12" t="e">
        <f>'--GESTÃO DE CONTRATOS--'!#REF!</f>
        <v>#REF!</v>
      </c>
      <c r="AK11" s="11"/>
      <c r="AL11" s="11"/>
      <c r="AM11" s="12"/>
      <c r="AN11" s="12"/>
      <c r="AO11" s="11"/>
      <c r="AP11" s="11"/>
      <c r="AQ11" s="11"/>
      <c r="AR11" s="11"/>
      <c r="AS11" s="11"/>
      <c r="AT11" s="11"/>
    </row>
    <row r="12" spans="1:55">
      <c r="G12" t="e">
        <f ca="1">IF(LARGE(#REF!,1)=$D$9,#REF!,"não")</f>
        <v>#REF!</v>
      </c>
      <c r="I12" s="1">
        <v>1</v>
      </c>
      <c r="J12" s="1" t="str">
        <f>IFERROR(INDEX(#REF!,MATCH(0,COUNTIF(VALID!$J$11:$J11,#REF!),0)),".")</f>
        <v>.</v>
      </c>
      <c r="K12" t="e">
        <f>COUNTIF(#REF!,VALID!J12)</f>
        <v>#REF!</v>
      </c>
      <c r="P12" s="1" t="str">
        <f t="array" ref="P12">IFERROR(INDEX(#REF!,MATCH(0,COUNTIF(VALID!$P$2:$P11,#REF!),0)),"")</f>
        <v/>
      </c>
      <c r="Q12" s="1" t="e">
        <f>IF(COUNTIFS(#REF!,VALID!$P12,#REF!,VALID!$N$2)=0,"",COUNTIFS(#REF!,VALID!$P12,#REF!,VALID!$N$2))</f>
        <v>#REF!</v>
      </c>
      <c r="R12" s="1" t="str">
        <f>IFERROR(VLOOKUP(P12,#REF!,2,FALSE),"")</f>
        <v/>
      </c>
      <c r="T12" t="s">
        <v>38</v>
      </c>
      <c r="X12" s="149" t="e">
        <f ca="1">COUNTIFS(#REF!,"="&amp;MONTH(VALID!E11))</f>
        <v>#REF!</v>
      </c>
      <c r="Y12" s="149"/>
      <c r="Z12" s="149"/>
      <c r="AH12" s="50" t="e">
        <f>'--GESTÃO DE CONTRATOS--'!#REF!</f>
        <v>#REF!</v>
      </c>
      <c r="AI12" s="12" t="e">
        <f>'--GESTÃO DE CONTRATOS--'!#REF!</f>
        <v>#REF!</v>
      </c>
      <c r="AJ12" s="12" t="e">
        <f>'--GESTÃO DE CONTRATOS--'!#REF!</f>
        <v>#REF!</v>
      </c>
      <c r="AK12" s="11"/>
      <c r="AL12" s="11"/>
      <c r="AM12" s="12"/>
      <c r="AN12" s="12"/>
      <c r="AO12" s="11"/>
      <c r="AP12" s="11"/>
      <c r="AQ12" s="11"/>
      <c r="AR12" s="11"/>
      <c r="AS12" s="11"/>
      <c r="AT12" s="11"/>
    </row>
    <row r="13" spans="1:55">
      <c r="A13" s="4"/>
      <c r="B13" s="4"/>
      <c r="C13" s="4"/>
      <c r="I13" s="1">
        <v>2</v>
      </c>
      <c r="J13" s="1" t="str">
        <f t="array" ref="J13">IFERROR(INDEX(#REF!,MATCH(0,COUNTIF(VALID!$J$11:$J12,#REF!),0)),"")</f>
        <v/>
      </c>
      <c r="K13" s="1" t="e">
        <f>COUNTIF(#REF!,VALID!J13)</f>
        <v>#REF!</v>
      </c>
      <c r="P13" s="1" t="str">
        <f t="array" ref="P13">IFERROR(INDEX(#REF!,MATCH(0,COUNTIF(VALID!$P$2:$P12,#REF!),0)),"")</f>
        <v/>
      </c>
      <c r="Q13" s="1" t="e">
        <f>IF(COUNTIFS(#REF!,VALID!$P13,#REF!,VALID!$N$2)=0,"",COUNTIFS(#REF!,VALID!$P13,#REF!,VALID!$N$2))</f>
        <v>#REF!</v>
      </c>
      <c r="R13" s="1" t="str">
        <f>IFERROR(VLOOKUP(P13,#REF!,2,FALSE),"")</f>
        <v/>
      </c>
      <c r="T13" t="s">
        <v>39</v>
      </c>
      <c r="X13" t="e">
        <f ca="1">VLOOKUP(Z13,#REF!,2,FALSE)</f>
        <v>#REF!</v>
      </c>
      <c r="Z13" s="6" t="e">
        <f t="array" aca="1" ref="Z13" ca="1">MAX(IF(#REF!=$D$9,#REF!,""))</f>
        <v>#REF!</v>
      </c>
      <c r="AA13" s="5" t="e">
        <f ca="1">VLOOKUP(Z13,#REF!,10,FALSE)</f>
        <v>#REF!</v>
      </c>
      <c r="AH13" s="152" t="s">
        <v>177</v>
      </c>
      <c r="AI13" s="152"/>
      <c r="AJ13" s="152"/>
      <c r="AK13" s="152"/>
      <c r="AL13" s="152"/>
      <c r="AM13" s="152"/>
      <c r="AN13" s="21"/>
      <c r="AO13" s="20"/>
      <c r="AP13" s="20"/>
      <c r="AQ13" s="20"/>
      <c r="AR13" s="20"/>
      <c r="AS13" s="20"/>
      <c r="AT13" s="20"/>
    </row>
    <row r="14" spans="1:55">
      <c r="B14" s="4"/>
      <c r="C14" s="5"/>
      <c r="I14" s="1">
        <v>3</v>
      </c>
      <c r="J14" s="1" t="str">
        <f t="array" ref="J14">IFERROR(INDEX(#REF!,MATCH(0,COUNTIF(VALID!$J$11:$J13,#REF!),0)),"")</f>
        <v/>
      </c>
      <c r="K14" s="1" t="e">
        <f>COUNTIF(#REF!,VALID!J14)</f>
        <v>#REF!</v>
      </c>
      <c r="P14" s="1" t="str">
        <f t="array" ref="P14">IFERROR(INDEX(#REF!,MATCH(0,COUNTIF(VALID!$P$2:$P13,#REF!),0)),"")</f>
        <v/>
      </c>
      <c r="Q14" s="1" t="e">
        <f>IF(COUNTIFS(#REF!,VALID!$P14,#REF!,VALID!$N$2)=0,"",COUNTIFS(#REF!,VALID!$P14,#REF!,VALID!$N$2))</f>
        <v>#REF!</v>
      </c>
      <c r="R14" s="1" t="str">
        <f>IFERROR(VLOOKUP(P14,#REF!,2,FALSE),"")</f>
        <v/>
      </c>
      <c r="T14" t="s">
        <v>40</v>
      </c>
      <c r="X14" s="1" t="e">
        <f ca="1">VLOOKUP(Z14,#REF!,2,FALSE)</f>
        <v>#REF!</v>
      </c>
      <c r="Z14" s="6" t="e">
        <f t="array" aca="1" ref="Z14" ca="1">MAX(IF(#REF!=$D$9,IF(#REF!&lt;&gt;Z13,#REF!,"")))</f>
        <v>#REF!</v>
      </c>
      <c r="AA14" s="5" t="e">
        <f ca="1">VLOOKUP(Z14,#REF!,10,FALSE)</f>
        <v>#REF!</v>
      </c>
      <c r="AH14" s="19"/>
      <c r="AI14" s="22"/>
      <c r="AJ14" s="19"/>
      <c r="AK14" s="20"/>
      <c r="AL14" s="20"/>
      <c r="AM14" s="21"/>
      <c r="AN14" s="21"/>
      <c r="AO14" s="20"/>
      <c r="AP14" s="20"/>
      <c r="AQ14" s="20"/>
      <c r="AR14" s="20"/>
      <c r="AS14" s="20"/>
      <c r="AT14" s="20"/>
    </row>
    <row r="15" spans="1:55">
      <c r="B15" s="4"/>
      <c r="C15" s="5"/>
      <c r="E15" t="s">
        <v>19</v>
      </c>
      <c r="I15" s="1">
        <v>4</v>
      </c>
      <c r="J15" s="1" t="str">
        <f t="array" ref="J15">IFERROR(INDEX(#REF!,MATCH(0,COUNTIF(VALID!$J$11:$J14,#REF!),0)),"")</f>
        <v/>
      </c>
      <c r="K15" s="1">
        <f>IF(J15="",0,COUNTIF(#REF!,VALID!J15))</f>
        <v>0</v>
      </c>
      <c r="N15" t="s">
        <v>0</v>
      </c>
      <c r="O15" t="s">
        <v>18</v>
      </c>
      <c r="P15" s="1" t="str">
        <f t="array" ref="P15">IFERROR(INDEX(#REF!,MATCH(0,COUNTIF(VALID!$P$2:$P14,#REF!),0)),"")</f>
        <v/>
      </c>
      <c r="Q15" s="1" t="e">
        <f>IF(COUNTIFS(#REF!,VALID!$P15,#REF!,VALID!$N$2)=0,"",COUNTIFS(#REF!,VALID!$P15,#REF!,VALID!$N$2))</f>
        <v>#REF!</v>
      </c>
      <c r="R15" s="1" t="str">
        <f>IFERROR(VLOOKUP(P15,#REF!,2,FALSE),"")</f>
        <v/>
      </c>
      <c r="T15" s="1" t="s">
        <v>41</v>
      </c>
      <c r="X15" s="1" t="e">
        <f ca="1">VLOOKUP(Z15,#REF!,2,FALSE)</f>
        <v>#REF!</v>
      </c>
      <c r="Z15" s="6" t="e">
        <f t="array" aca="1" ref="Z15" ca="1">MAX(IF(#REF!=$D$9,IF(#REF!&lt;&gt;Z13,IF(#REF!&lt;&gt;Z14,#REF!,""))))</f>
        <v>#REF!</v>
      </c>
      <c r="AA15" s="5" t="e">
        <f ca="1">VLOOKUP(Z15,#REF!,10,FALSE)</f>
        <v>#REF!</v>
      </c>
      <c r="AH15" s="19"/>
      <c r="AI15" s="22"/>
      <c r="AJ15" s="19"/>
      <c r="AK15" s="20"/>
      <c r="AL15" s="20"/>
      <c r="AM15" s="45" t="s">
        <v>189</v>
      </c>
      <c r="AN15" s="21"/>
      <c r="AO15" s="20"/>
      <c r="AP15" s="20"/>
      <c r="AQ15" s="49" t="s">
        <v>190</v>
      </c>
      <c r="AR15" s="49" t="s">
        <v>180</v>
      </c>
      <c r="AS15" s="49" t="s">
        <v>21</v>
      </c>
      <c r="AT15" s="49" t="s">
        <v>179</v>
      </c>
      <c r="BB15" s="77"/>
      <c r="BC15" s="5"/>
    </row>
    <row r="16" spans="1:55">
      <c r="B16" s="4"/>
      <c r="D16" s="4"/>
      <c r="E16" t="s">
        <v>1</v>
      </c>
      <c r="F16" t="s">
        <v>0</v>
      </c>
      <c r="G16" t="s">
        <v>21</v>
      </c>
      <c r="I16" s="1">
        <v>5</v>
      </c>
      <c r="J16" s="1" t="str">
        <f t="array" ref="J16">IFERROR(INDEX(#REF!,MATCH(0,COUNTIF(VALID!$J$11:$J15,#REF!),0)),"")</f>
        <v/>
      </c>
      <c r="K16" s="1">
        <f>IF(J16="",0,COUNTIF(#REF!,VALID!J16))</f>
        <v>0</v>
      </c>
      <c r="M16" s="5">
        <f ca="1">EDATE(TODAY(),6)</f>
        <v>43668</v>
      </c>
      <c r="N16" t="e">
        <f>INDEX(#REF!,MATCH(VALID!$O16,#REF!,0))</f>
        <v>#REF!</v>
      </c>
      <c r="O16" s="1" t="e">
        <f>LARGE(#REF!,1)</f>
        <v>#REF!</v>
      </c>
      <c r="P16" s="1" t="str">
        <f t="array" ref="P16">IFERROR(INDEX(#REF!,MATCH(0,COUNTIF(VALID!$P$2:$P15,#REF!),0)),"")</f>
        <v/>
      </c>
      <c r="Q16" s="1" t="e">
        <f>IF(COUNTIFS(#REF!,VALID!$P16,#REF!,VALID!$N$2)=0,"",COUNTIFS(#REF!,VALID!$P16,#REF!,VALID!$N$2))</f>
        <v>#REF!</v>
      </c>
      <c r="R16" s="1" t="str">
        <f>IFERROR(VLOOKUP(P16,#REF!,2,FALSE),"")</f>
        <v/>
      </c>
      <c r="T16" s="1" t="s">
        <v>42</v>
      </c>
      <c r="X16" s="1" t="e">
        <f ca="1">VLOOKUP(Z16,#REF!,2,FALSE)</f>
        <v>#REF!</v>
      </c>
      <c r="Z16" s="6" t="e">
        <f t="array" aca="1" ref="Z16" ca="1">MAX(IF(#REF!=$D$9,IF(#REF!&lt;&gt;$Z$13,IF(#REF!&lt;&gt;$Z$14,IF(#REF!&lt;&gt;$Z$15,#REF!,"")))))</f>
        <v>#REF!</v>
      </c>
      <c r="AA16" s="5" t="e">
        <f ca="1">VLOOKUP(Z16,#REF!,10,FALSE)</f>
        <v>#REF!</v>
      </c>
      <c r="AH16" s="19"/>
      <c r="AI16" s="22"/>
      <c r="AJ16" s="19"/>
      <c r="AK16" s="20"/>
      <c r="AL16" s="20"/>
      <c r="AM16" s="21" t="str">
        <f>CONCATENATE($AE$4,"-",1)</f>
        <v>2812201809-1</v>
      </c>
      <c r="AN16" s="46">
        <f>IF($AM$16&lt;&gt;"",SUMIF('GESTÃO DE PAGAMENTOS'!$B$10:$B$5000,VALID!$AM16,'GESTÃO DE PAGAMENTOS'!$I$10:$I$5000),"")</f>
        <v>0</v>
      </c>
      <c r="AO16" s="20"/>
      <c r="AP16" s="20"/>
      <c r="AQ16" s="21" t="e">
        <f>VLOOKUP(AT16,'GESTÃO DE PAGAMENTOS'!$A$10:$J$5000,9,FALSE)</f>
        <v>#N/A</v>
      </c>
      <c r="AR16" s="47" t="e">
        <f>VLOOKUP($AT16,'GESTÃO DE PAGAMENTOS'!$A$10:$J$5000,4,FALSE)</f>
        <v>#N/A</v>
      </c>
      <c r="AS16" s="48" t="e">
        <f>VLOOKUP($AT16,'GESTÃO DE PAGAMENTOS'!$A$10:$J$5000,6,FALSE)</f>
        <v>#N/A</v>
      </c>
      <c r="AT16" s="20" t="b">
        <f t="array" ref="AT16">IF('GESTÃO DE PAGAMENTOS'!$C$10:$C$5000=VALID!$AF$3,LARGE('GESTÃO DE PAGAMENTOS'!$H$10:$H$5000,1))</f>
        <v>0</v>
      </c>
    </row>
    <row r="17" spans="2:54">
      <c r="B17" s="4"/>
      <c r="C17" s="1"/>
      <c r="E17" t="e">
        <f>VLOOKUP($F17,#REF!,2,FALSE)</f>
        <v>#REF!</v>
      </c>
      <c r="F17" t="e">
        <f>VLOOKUP($N$2,#REF!,2,FALSE)</f>
        <v>#REF!</v>
      </c>
      <c r="G17" s="5" t="e">
        <f t="array" ref="G17">MAX(IF(#REF!=VALID!$N$2,#REF!,""))</f>
        <v>#REF!</v>
      </c>
      <c r="I17" s="1">
        <v>6</v>
      </c>
      <c r="J17" s="1" t="str">
        <f t="array" ref="J17">IFERROR(INDEX(#REF!,MATCH(0,COUNTIF(VALID!$J$11:$J16,#REF!),0)),"")</f>
        <v/>
      </c>
      <c r="K17" s="1">
        <f>IF(J17="",0,COUNTIF(#REF!,VALID!J17))</f>
        <v>0</v>
      </c>
      <c r="N17" s="1" t="e">
        <f t="array" ref="N17">INDEX(#REF!,MATCH(VALID!$O17,#REF!,0))</f>
        <v>#REF!</v>
      </c>
      <c r="O17" s="1" t="e">
        <f>LARGE(#REF!,2)</f>
        <v>#REF!</v>
      </c>
      <c r="P17" s="1" t="str">
        <f t="array" ref="P17">IFERROR(INDEX(#REF!,MATCH(0,COUNTIF(VALID!$P$2:$P16,#REF!),0)),"")</f>
        <v/>
      </c>
      <c r="Q17" s="1" t="e">
        <f>IF(COUNTIFS(#REF!,VALID!$P17,#REF!,VALID!$N$2)=0,"",COUNTIFS(#REF!,VALID!$P17,#REF!,VALID!$N$2))</f>
        <v>#REF!</v>
      </c>
      <c r="R17" s="1" t="str">
        <f>IFERROR(VLOOKUP(P17,#REF!,2,FALSE),"")</f>
        <v/>
      </c>
      <c r="T17" s="1" t="s">
        <v>43</v>
      </c>
      <c r="X17" s="1" t="e">
        <f ca="1">VLOOKUP(Z17,#REF!,2,FALSE)</f>
        <v>#REF!</v>
      </c>
      <c r="Z17" s="6" t="e">
        <f t="array" aca="1" ref="Z17" ca="1">MAX(IF(#REF!=$D$9,IF(#REF!&lt;&gt;$Z$13,IF(#REF!&lt;&gt;$Z$14,IF(#REF!&lt;&gt;$Z$15,IF(#REF!&lt;&gt;$Z$16,#REF!,""))))))</f>
        <v>#REF!</v>
      </c>
      <c r="AA17" s="5" t="e">
        <f ca="1">VLOOKUP(Z17,#REF!,10,FALSE)</f>
        <v>#REF!</v>
      </c>
      <c r="AH17" s="19"/>
      <c r="AI17" s="22"/>
      <c r="AJ17" s="19"/>
      <c r="AK17" s="20"/>
      <c r="AL17" s="20"/>
      <c r="AM17" s="21" t="str">
        <f>CONCATENATE($AE$4,"-",2)</f>
        <v>2812201809-2</v>
      </c>
      <c r="AN17" s="46">
        <f>IF($AM$16&lt;&gt;"",SUMIF('GESTÃO DE PAGAMENTOS'!$B$10:$B$5000,VALID!$AM17,'GESTÃO DE PAGAMENTOS'!$I$10:$I$5000),"")</f>
        <v>0</v>
      </c>
      <c r="AO17" s="20"/>
      <c r="AP17" s="20"/>
      <c r="AQ17" s="21" t="e">
        <f>VLOOKUP(AT17,'GESTÃO DE PAGAMENTOS'!$A$10:$J$5000,9,FALSE)</f>
        <v>#N/A</v>
      </c>
      <c r="AR17" s="47" t="e">
        <f>VLOOKUP($AT17,'GESTÃO DE PAGAMENTOS'!$A$10:$J$5000,4,FALSE)</f>
        <v>#N/A</v>
      </c>
      <c r="AS17" s="48" t="e">
        <f>VLOOKUP($AT17,'GESTÃO DE PAGAMENTOS'!$A$10:$J$5000,6,FALSE)</f>
        <v>#N/A</v>
      </c>
      <c r="AT17" s="20" t="b">
        <f>IF('GESTÃO DE PAGAMENTOS'!$C$10:$C$5000=VALID!$AF$3,LARGE('GESTÃO DE PAGAMENTOS'!$E$10:$E$5000,2))</f>
        <v>0</v>
      </c>
    </row>
    <row r="18" spans="2:54">
      <c r="B18" s="4"/>
      <c r="C18" s="1"/>
      <c r="E18" s="1" t="e">
        <f>VLOOKUP($F18,#REF!,2,FALSE)</f>
        <v>#REF!</v>
      </c>
      <c r="F18" t="e">
        <f>LOOKUP(G18,#REF!,#REF!)</f>
        <v>#REF!</v>
      </c>
      <c r="G18" s="5" t="e">
        <f t="array" ref="G18">MAX(IF(#REF!=VALID!$N$2,IF(#REF!&lt;&gt;VALID!$G17,#REF!,"")))</f>
        <v>#REF!</v>
      </c>
      <c r="I18" s="1">
        <v>7</v>
      </c>
      <c r="J18" s="1" t="str">
        <f t="array" ref="J18">IFERROR(INDEX(#REF!,MATCH(0,COUNTIF(VALID!$J$11:$J17,#REF!),0)),"")</f>
        <v/>
      </c>
      <c r="K18" s="1">
        <f>IF(J18="",0,COUNTIF(#REF!,VALID!J18))</f>
        <v>0</v>
      </c>
      <c r="N18" s="1" t="e">
        <f t="array" ref="N18">INDEX(#REF!,MATCH(VALID!$O18,#REF!,0))</f>
        <v>#REF!</v>
      </c>
      <c r="O18" s="1" t="e">
        <f>LARGE(#REF!,3)</f>
        <v>#REF!</v>
      </c>
      <c r="P18" s="1" t="str">
        <f t="array" ref="P18">IFERROR(INDEX(#REF!,MATCH(0,COUNTIF(VALID!$P$2:$P17,#REF!),0)),"")</f>
        <v/>
      </c>
      <c r="Q18" s="1" t="e">
        <f>IF(COUNTIFS(#REF!,VALID!$P18,#REF!,VALID!$N$2)=0,"",COUNTIFS(#REF!,VALID!$P18,#REF!,VALID!$N$2))</f>
        <v>#REF!</v>
      </c>
      <c r="R18" s="1" t="str">
        <f>IFERROR(VLOOKUP(P18,#REF!,2,FALSE),"")</f>
        <v/>
      </c>
      <c r="T18" s="1" t="s">
        <v>44</v>
      </c>
      <c r="X18" s="1" t="e">
        <f ca="1">VLOOKUP(Z18,#REF!,2,FALSE)</f>
        <v>#REF!</v>
      </c>
      <c r="Z18" s="6" t="e">
        <f t="array" aca="1" ref="Z18" ca="1">MAX(IF(#REF!=$D$9,IF(#REF!&lt;&gt;$Z$13,IF(#REF!&lt;&gt;$Z$14,IF(#REF!&lt;&gt;$Z$15,IF(#REF!&lt;&gt;$Z$16,IF(#REF!&lt;&gt;$Z$17,#REF!,"")))))))</f>
        <v>#REF!</v>
      </c>
      <c r="AA18" s="5" t="e">
        <f ca="1">VLOOKUP(Z18,#REF!,10,FALSE)</f>
        <v>#REF!</v>
      </c>
      <c r="AH18" s="19"/>
      <c r="AI18" s="22"/>
      <c r="AJ18" s="19"/>
      <c r="AK18" s="20"/>
      <c r="AL18" s="20"/>
      <c r="AM18" s="21" t="str">
        <f>CONCATENATE($AE$4,"-",3)</f>
        <v>2812201809-3</v>
      </c>
      <c r="AN18" s="46">
        <f>IF($AM$16&lt;&gt;"",SUMIF('GESTÃO DE PAGAMENTOS'!$B$10:$B$5000,VALID!$AM18,'GESTÃO DE PAGAMENTOS'!$I$10:$I$5000),"")</f>
        <v>0</v>
      </c>
      <c r="AO18" s="20"/>
      <c r="AP18" s="20"/>
      <c r="AQ18" s="21" t="e">
        <f>VLOOKUP(AT18,'GESTÃO DE PAGAMENTOS'!$A$10:$J$5000,9,FALSE)</f>
        <v>#N/A</v>
      </c>
      <c r="AR18" s="47" t="e">
        <f>VLOOKUP($AT18,'GESTÃO DE PAGAMENTOS'!$A$10:$J$5000,4,FALSE)</f>
        <v>#N/A</v>
      </c>
      <c r="AS18" s="48" t="e">
        <f>VLOOKUP($AT18,'GESTÃO DE PAGAMENTOS'!$A$10:$J$5000,6,FALSE)</f>
        <v>#N/A</v>
      </c>
      <c r="AT18" s="20" t="b">
        <f>IF('GESTÃO DE PAGAMENTOS'!$C$10:$C$5000=VALID!$AF$3,LARGE('GESTÃO DE PAGAMENTOS'!$E$10:$E$5000,3))</f>
        <v>0</v>
      </c>
      <c r="AW18" t="s">
        <v>188</v>
      </c>
      <c r="AX18" t="s">
        <v>222</v>
      </c>
      <c r="AZ18" t="s">
        <v>188</v>
      </c>
      <c r="BA18" t="s">
        <v>162</v>
      </c>
      <c r="BB18" t="s">
        <v>167</v>
      </c>
    </row>
    <row r="19" spans="2:54">
      <c r="B19" s="4"/>
      <c r="E19" s="1" t="e">
        <f>VLOOKUP($F19,#REF!,2,FALSE)</f>
        <v>#REF!</v>
      </c>
      <c r="F19" s="1" t="e">
        <f>LOOKUP(G19,#REF!,#REF!)</f>
        <v>#REF!</v>
      </c>
      <c r="G19" s="5" t="e">
        <f t="array" ref="G19">MAX(IF(#REF!=VALID!$N$2,IF(#REF!&lt;&gt;VALID!$G18,IF(#REF!&lt;&gt;VALID!$G17,#REF!,""))))</f>
        <v>#REF!</v>
      </c>
      <c r="I19" s="1">
        <v>8</v>
      </c>
      <c r="J19" s="1" t="str">
        <f t="array" ref="J19">IFERROR(INDEX(#REF!,MATCH(0,COUNTIF(VALID!$J$11:$J18,#REF!),0)),"")</f>
        <v/>
      </c>
      <c r="K19" s="1">
        <f>IF(J19="",0,COUNTIF(#REF!,VALID!J19))</f>
        <v>0</v>
      </c>
      <c r="P19" s="1" t="str">
        <f t="array" ref="P19">IFERROR(INDEX(#REF!,MATCH(0,COUNTIF(VALID!$P$2:$P18,#REF!),0)),"")</f>
        <v/>
      </c>
      <c r="Q19" s="1" t="e">
        <f>IF(COUNTIFS(#REF!,VALID!$P19,#REF!,VALID!$N$2)=0,"",COUNTIFS(#REF!,VALID!$P19,#REF!,VALID!$N$2))</f>
        <v>#REF!</v>
      </c>
      <c r="R19" s="1" t="str">
        <f>IFERROR(VLOOKUP(P19,#REF!,2,FALSE),"")</f>
        <v/>
      </c>
      <c r="T19" s="1" t="s">
        <v>45</v>
      </c>
      <c r="X19" s="1" t="e">
        <f ca="1">VLOOKUP(Z19,#REF!,2,FALSE)</f>
        <v>#REF!</v>
      </c>
      <c r="Z19" s="6" t="e">
        <f t="array" aca="1" ref="Z19" ca="1">MAX(IF(#REF!=$D$9,IF(#REF!&lt;&gt;$Z$13,IF(#REF!&lt;&gt;$Z$14,IF(#REF!&lt;&gt;$Z$15,IF(#REF!&lt;&gt;$Z$16,IF(#REF!&lt;&gt;$Z$17,IF(#REF!&lt;&gt;$Z$18,#REF!,""))))))))</f>
        <v>#REF!</v>
      </c>
      <c r="AA19" s="5" t="e">
        <f ca="1">VLOOKUP(Z19,#REF!,10,FALSE)</f>
        <v>#REF!</v>
      </c>
      <c r="AH19" s="19"/>
      <c r="AI19" s="22"/>
      <c r="AJ19" s="19"/>
      <c r="AK19" s="20"/>
      <c r="AL19" s="20"/>
      <c r="AM19" s="21" t="str">
        <f>CONCATENATE($AE$4,"-",4)</f>
        <v>2812201809-4</v>
      </c>
      <c r="AN19" s="46">
        <f>IF($AM$16&lt;&gt;"",SUMIF('GESTÃO DE PAGAMENTOS'!$B$10:$B$5000,VALID!$AM19,'GESTÃO DE PAGAMENTOS'!$I$10:$I$5000),"")</f>
        <v>0</v>
      </c>
      <c r="AO19" s="20"/>
      <c r="AP19" s="20"/>
      <c r="AQ19" s="21" t="e">
        <f>VLOOKUP(AT19,'GESTÃO DE PAGAMENTOS'!$A$10:$J$5000,9,FALSE)</f>
        <v>#N/A</v>
      </c>
      <c r="AR19" s="47" t="e">
        <f>VLOOKUP($AT19,'GESTÃO DE PAGAMENTOS'!$A$10:$J$5000,4,FALSE)</f>
        <v>#N/A</v>
      </c>
      <c r="AS19" s="48" t="e">
        <f>VLOOKUP($AT19,'GESTÃO DE PAGAMENTOS'!$A$10:$J$5000,6,FALSE)</f>
        <v>#N/A</v>
      </c>
      <c r="AT19" s="20" t="b">
        <f>IF('GESTÃO DE PAGAMENTOS'!$C$10:$C$5000=VALID!$AF$3,LARGE('GESTÃO DE PAGAMENTOS'!$E$10:$E$5000,4))</f>
        <v>0</v>
      </c>
      <c r="AW19" s="1" t="str">
        <f>BC1</f>
        <v>LOCAVEL BUS TRANSPORTE E FRETAMENTO LTDA</v>
      </c>
      <c r="AX19" s="78">
        <f ca="1">IF(VLOOKUP(AW19,'--GESTÃO DE CONTRATOS--'!$E$15:$N$465,10,FALSE)-NOW()&lt;0,"0",VLOOKUP(AW19,'--GESTÃO DE CONTRATOS--'!$E$15:$N$465,10,FALSE)-NOW())</f>
        <v>108.340942129631</v>
      </c>
      <c r="AZ19" s="1" t="str">
        <f>AW19</f>
        <v>LOCAVEL BUS TRANSPORTE E FRETAMENTO LTDA</v>
      </c>
      <c r="BA19" s="13">
        <f>VLOOKUP(AZ19,'--GESTÃO DE CONTRATOS--'!$E$15:$J$465,6,FALSE)</f>
        <v>142830</v>
      </c>
      <c r="BB19" s="13">
        <f>SUMIF('GESTÃO DE PAGAMENTOS'!$C$10:$C$5000,VALID!AZ19,'GESTÃO DE PAGAMENTOS'!$I$10:$I$5000)</f>
        <v>0</v>
      </c>
    </row>
    <row r="20" spans="2:54">
      <c r="B20" s="4"/>
      <c r="I20" s="1">
        <v>9</v>
      </c>
      <c r="J20" s="1" t="str">
        <f t="array" ref="J20">IFERROR(INDEX(#REF!,MATCH(0,COUNTIF(VALID!$J$11:$J19,#REF!),0)),"")</f>
        <v/>
      </c>
      <c r="K20" s="1">
        <f>IF(J20="",0,COUNTIF(#REF!,VALID!J20))</f>
        <v>0</v>
      </c>
      <c r="N20" s="5"/>
      <c r="P20" s="1" t="str">
        <f t="array" ref="P20">IFERROR(INDEX(#REF!,MATCH(0,COUNTIF(VALID!$P$2:$P19,#REF!),0)),"")</f>
        <v/>
      </c>
      <c r="Q20" s="1" t="e">
        <f>IF(COUNTIFS(#REF!,VALID!$P20,#REF!,VALID!$N$2)=0,"",COUNTIFS(#REF!,VALID!$P20,#REF!,VALID!$N$2))</f>
        <v>#REF!</v>
      </c>
      <c r="R20" s="1" t="str">
        <f>IFERROR(VLOOKUP(P20,#REF!,2,FALSE),"")</f>
        <v/>
      </c>
      <c r="T20" s="1" t="s">
        <v>46</v>
      </c>
      <c r="X20" s="1" t="e">
        <f ca="1">VLOOKUP(Z20,#REF!,2,FALSE)</f>
        <v>#REF!</v>
      </c>
      <c r="Z20" s="6" t="e">
        <f t="array" aca="1" ref="Z20" ca="1">MAX(IF(#REF!=$D$9,IF(#REF!&lt;&gt;$Z$13,IF(#REF!&lt;&gt;$Z$14,IF(#REF!&lt;&gt;$Z$15,IF(#REF!&lt;&gt;$Z$16,IF(#REF!&lt;&gt;$Z$17,IF(#REF!&lt;&gt;$Z$18,IF(#REF!&lt;&gt;$Z$19,#REF!,"")))))))))</f>
        <v>#REF!</v>
      </c>
      <c r="AA20" s="5" t="e">
        <f ca="1">VLOOKUP(Z20,#REF!,10,FALSE)</f>
        <v>#REF!</v>
      </c>
      <c r="AH20" s="19"/>
      <c r="AI20" s="22"/>
      <c r="AJ20" s="19"/>
      <c r="AK20" s="20"/>
      <c r="AL20" s="20"/>
      <c r="AM20" s="21" t="str">
        <f>CONCATENATE($AE$4,"-",5)</f>
        <v>2812201809-5</v>
      </c>
      <c r="AN20" s="46">
        <f>IF($AM$16&lt;&gt;"",SUMIF('GESTÃO DE PAGAMENTOS'!$B$10:$B$5000,VALID!$AM20,'GESTÃO DE PAGAMENTOS'!$I$10:$I$5000),"")</f>
        <v>0</v>
      </c>
      <c r="AO20" s="20"/>
      <c r="AP20" s="20"/>
      <c r="AQ20" s="21" t="e">
        <f>VLOOKUP(AT20,'GESTÃO DE PAGAMENTOS'!$A$10:$J$5000,9,FALSE)</f>
        <v>#N/A</v>
      </c>
      <c r="AR20" s="47" t="e">
        <f>VLOOKUP($AT20,'GESTÃO DE PAGAMENTOS'!$A$10:$J$5000,4,FALSE)</f>
        <v>#N/A</v>
      </c>
      <c r="AS20" s="48" t="e">
        <f>VLOOKUP($AT20,'GESTÃO DE PAGAMENTOS'!$A$10:$J$5000,6,FALSE)</f>
        <v>#N/A</v>
      </c>
      <c r="AT20" s="20" t="b">
        <f>IF('GESTÃO DE PAGAMENTOS'!$C$10:$C$5000=VALID!$AF$3,LARGE('GESTÃO DE PAGAMENTOS'!$E$10:$E$5000,5))</f>
        <v>0</v>
      </c>
      <c r="AW20" s="1" t="str">
        <f t="shared" ref="AW20:AW29" si="0">BC2</f>
        <v>TRIVALE ADMINISTRAÇÃO LTDA.</v>
      </c>
      <c r="AX20" s="78" t="str">
        <f ca="1">IF(VLOOKUP(AW20,'--GESTÃO DE CONTRATOS--'!$E$15:$N$465,10,FALSE)-NOW()&lt;0,"0",VLOOKUP(AW20,'--GESTÃO DE CONTRATOS--'!$E$15:$N$465,10,FALSE)-NOW())</f>
        <v>0</v>
      </c>
      <c r="AZ20" s="1" t="str">
        <f t="shared" ref="AZ20:AZ29" si="1">AW20</f>
        <v>TRIVALE ADMINISTRAÇÃO LTDA.</v>
      </c>
      <c r="BA20" s="13">
        <f>VLOOKUP(AZ20,'--GESTÃO DE CONTRATOS--'!$E$15:$J$465,6,FALSE)</f>
        <v>498643.88</v>
      </c>
      <c r="BB20" s="13">
        <f>SUMIF('GESTÃO DE PAGAMENTOS'!$C$10:$C$5000,VALID!AZ20,'GESTÃO DE PAGAMENTOS'!$I$10:$I$5000)</f>
        <v>0</v>
      </c>
    </row>
    <row r="21" spans="2:54">
      <c r="B21" s="4"/>
      <c r="I21" s="1">
        <v>10</v>
      </c>
      <c r="J21" s="1" t="str">
        <f t="array" ref="J21">IFERROR(INDEX(#REF!,MATCH(0,COUNTIF(VALID!$J$11:$J20,#REF!),0)),"")</f>
        <v/>
      </c>
      <c r="K21" s="1">
        <f>IF(J21="",0,COUNTIF(#REF!,VALID!J21))</f>
        <v>0</v>
      </c>
      <c r="N21" s="5"/>
      <c r="P21" s="1" t="str">
        <f t="array" ref="P21">IFERROR(INDEX(#REF!,MATCH(0,COUNTIF(VALID!$P$2:$P20,#REF!),0)),"")</f>
        <v/>
      </c>
      <c r="Q21" s="1" t="e">
        <f>IF(COUNTIFS(#REF!,VALID!$P21,#REF!,VALID!$N$2)=0,"",COUNTIFS(#REF!,VALID!$P21,#REF!,VALID!$N$2))</f>
        <v>#REF!</v>
      </c>
      <c r="R21" s="1" t="str">
        <f>IFERROR(VLOOKUP(P21,#REF!,2,FALSE),"")</f>
        <v/>
      </c>
      <c r="T21" s="1" t="s">
        <v>47</v>
      </c>
      <c r="X21" s="1" t="e">
        <f ca="1">VLOOKUP(Z21,#REF!,2,FALSE)</f>
        <v>#REF!</v>
      </c>
      <c r="Z21" s="6" t="e">
        <f t="array" aca="1" ref="Z21" ca="1">MAX(IF(#REF!=$D$9,IF(#REF!&lt;&gt;$Z$13,IF(#REF!&lt;&gt;$Z$14,IF(#REF!&lt;&gt;$Z$15,IF(#REF!&lt;&gt;$Z$16,IF(#REF!&lt;&gt;$Z$17,IF(#REF!&lt;&gt;$Z$18,IF(#REF!&lt;&gt;$Z$19,IF(#REF!&lt;&gt;$Z$20,#REF!,""))))))))))</f>
        <v>#REF!</v>
      </c>
      <c r="AA21" s="5" t="e">
        <f ca="1">VLOOKUP(Z21,#REF!,10,FALSE)</f>
        <v>#REF!</v>
      </c>
      <c r="AH21" s="19"/>
      <c r="AI21" s="19"/>
      <c r="AJ21" s="19"/>
      <c r="AK21" s="20"/>
      <c r="AL21" s="20"/>
      <c r="AM21" s="21" t="str">
        <f>CONCATENATE($AE$4,"-",6)</f>
        <v>2812201809-6</v>
      </c>
      <c r="AN21" s="46">
        <f>IF($AM$16&lt;&gt;"",SUMIF('GESTÃO DE PAGAMENTOS'!$B$10:$B$5000,VALID!$AM21,'GESTÃO DE PAGAMENTOS'!$I$10:$I$5000),"")</f>
        <v>0</v>
      </c>
      <c r="AO21" s="20"/>
      <c r="AP21" s="20"/>
      <c r="AQ21" s="21" t="e">
        <f>VLOOKUP(AT21,'GESTÃO DE PAGAMENTOS'!$A$10:$J$5000,9,FALSE)</f>
        <v>#N/A</v>
      </c>
      <c r="AR21" s="47" t="e">
        <f>VLOOKUP($AT21,'GESTÃO DE PAGAMENTOS'!$A$10:$J$5000,4,FALSE)</f>
        <v>#N/A</v>
      </c>
      <c r="AS21" s="48" t="e">
        <f>VLOOKUP($AT21,'GESTÃO DE PAGAMENTOS'!$A$10:$J$5000,6,FALSE)</f>
        <v>#N/A</v>
      </c>
      <c r="AT21" s="20" t="b">
        <f>IF('GESTÃO DE PAGAMENTOS'!$C$10:$C$5000=VALID!$AF$3,LARGE('GESTÃO DE PAGAMENTOS'!$E$10:$E$5000,6))</f>
        <v>0</v>
      </c>
      <c r="AW21" s="1" t="str">
        <f t="shared" si="0"/>
        <v>BRALUSO</v>
      </c>
      <c r="AX21" s="78">
        <f ca="1">IF(VLOOKUP(AW21,'--GESTÃO DE CONTRATOS--'!$E$15:$N$465,10,FALSE)-NOW()&lt;0,"0",VLOOKUP(AW21,'--GESTÃO DE CONTRATOS--'!$E$15:$N$465,10,FALSE)-NOW())</f>
        <v>198.340942129631</v>
      </c>
      <c r="AZ21" s="1" t="str">
        <f t="shared" si="1"/>
        <v>BRALUSO</v>
      </c>
      <c r="BA21" s="13">
        <f>VLOOKUP(AZ21,'--GESTÃO DE CONTRATOS--'!$E$15:$J$465,6,FALSE)</f>
        <v>200000</v>
      </c>
      <c r="BB21" s="13">
        <f>SUMIF('GESTÃO DE PAGAMENTOS'!$C$10:$C$5000,VALID!AZ21,'GESTÃO DE PAGAMENTOS'!$I$10:$I$5000)</f>
        <v>0</v>
      </c>
    </row>
    <row r="22" spans="2:54">
      <c r="E22" t="s">
        <v>20</v>
      </c>
      <c r="I22" s="1">
        <v>11</v>
      </c>
      <c r="J22" s="1" t="str">
        <f t="array" ref="J22">IFERROR(INDEX(#REF!,MATCH(0,COUNTIF(VALID!$J$11:$J21,#REF!),0)),"")</f>
        <v/>
      </c>
      <c r="K22" s="1">
        <f>IF(J22="",0,COUNTIF(#REF!,VALID!J22))</f>
        <v>0</v>
      </c>
      <c r="M22" s="1"/>
      <c r="N22" s="5"/>
      <c r="P22" s="1" t="str">
        <f t="array" ref="P22">IFERROR(INDEX(#REF!,MATCH(0,COUNTIF(VALID!$P$2:$P21,#REF!),0)),"")</f>
        <v/>
      </c>
      <c r="Q22" s="1" t="e">
        <f>IF(COUNTIFS(#REF!,VALID!$P22,#REF!,VALID!$N$2)=0,"",COUNTIFS(#REF!,VALID!$P22,#REF!,VALID!$N$2))</f>
        <v>#REF!</v>
      </c>
      <c r="R22" s="1" t="str">
        <f>IFERROR(VLOOKUP(P22,#REF!,2,FALSE),"")</f>
        <v/>
      </c>
      <c r="T22" s="1" t="s">
        <v>48</v>
      </c>
      <c r="AH22" s="19"/>
      <c r="AI22" s="20"/>
      <c r="AJ22" s="19"/>
      <c r="AK22" s="20"/>
      <c r="AL22" s="20"/>
      <c r="AM22" s="21"/>
      <c r="AN22" s="21"/>
      <c r="AO22" s="20"/>
      <c r="AP22" s="20"/>
      <c r="AQ22" s="21" t="e">
        <f>VLOOKUP(AT22,'GESTÃO DE PAGAMENTOS'!$A$10:$J$5000,9,FALSE)</f>
        <v>#N/A</v>
      </c>
      <c r="AR22" s="47" t="e">
        <f>VLOOKUP($AT22,'GESTÃO DE PAGAMENTOS'!$A$10:$J$5000,4,FALSE)</f>
        <v>#N/A</v>
      </c>
      <c r="AS22" s="48" t="e">
        <f>VLOOKUP($AT22,'GESTÃO DE PAGAMENTOS'!$A$10:$J$5000,6,FALSE)</f>
        <v>#N/A</v>
      </c>
      <c r="AT22" s="20" t="b">
        <f t="array" ref="AT22">IF('GESTÃO DE PAGAMENTOS'!$C$10:$C$5000=VALID!$AF$3,LARGE('GESTÃO DE PAGAMENTOS'!$E$10:$E$5000,7))</f>
        <v>0</v>
      </c>
      <c r="AW22" s="1">
        <f t="shared" si="0"/>
        <v>0</v>
      </c>
      <c r="AX22" s="78" t="e">
        <f ca="1">IF(VLOOKUP(AW22,'--GESTÃO DE CONTRATOS--'!$E$15:$N$465,10,FALSE)-NOW()&lt;0,"0",VLOOKUP(AW22,'--GESTÃO DE CONTRATOS--'!$E$15:$N$465,10,FALSE)-NOW())</f>
        <v>#N/A</v>
      </c>
      <c r="AZ22" s="1">
        <f t="shared" si="1"/>
        <v>0</v>
      </c>
      <c r="BA22" s="13" t="e">
        <f>VLOOKUP(AZ22,'--GESTÃO DE CONTRATOS--'!$E$15:$J$465,6,FALSE)</f>
        <v>#N/A</v>
      </c>
      <c r="BB22" s="13">
        <f>SUMIF('GESTÃO DE PAGAMENTOS'!$C$10:$C$5000,VALID!AZ22,'GESTÃO DE PAGAMENTOS'!$I$10:$I$5000)</f>
        <v>0</v>
      </c>
    </row>
    <row r="23" spans="2:54">
      <c r="I23" s="1">
        <v>12</v>
      </c>
      <c r="J23" s="1" t="str">
        <f t="array" ref="J23">IFERROR(INDEX(#REF!,MATCH(0,COUNTIF(VALID!$J$11:$J22,#REF!),0)),"")</f>
        <v/>
      </c>
      <c r="K23" s="1">
        <f>IF(J23="",0,COUNTIF(#REF!,VALID!J23))</f>
        <v>0</v>
      </c>
      <c r="P23" s="1" t="str">
        <f t="array" ref="P23">IFERROR(INDEX(#REF!,MATCH(0,COUNTIF(VALID!$P$2:$P22,#REF!),0)),"")</f>
        <v/>
      </c>
      <c r="Q23" s="1" t="e">
        <f>IF(COUNTIFS(#REF!,VALID!$P23,#REF!,VALID!$N$2)=0,"",COUNTIFS(#REF!,VALID!$P23,#REF!,VALID!$N$2))</f>
        <v>#REF!</v>
      </c>
      <c r="R23" s="1" t="str">
        <f>IFERROR(VLOOKUP(P23,#REF!,2,FALSE),"")</f>
        <v/>
      </c>
      <c r="T23" s="1" t="s">
        <v>49</v>
      </c>
      <c r="AH23" s="19"/>
      <c r="AI23" s="20"/>
      <c r="AJ23" s="19"/>
      <c r="AK23" s="20"/>
      <c r="AL23" s="20"/>
      <c r="AM23" s="21"/>
      <c r="AN23" s="21"/>
      <c r="AO23" s="20"/>
      <c r="AP23" s="20"/>
      <c r="AQ23" s="21" t="e">
        <f>VLOOKUP(AT23,'GESTÃO DE PAGAMENTOS'!$A$10:$J$5000,9,FALSE)</f>
        <v>#N/A</v>
      </c>
      <c r="AR23" s="47" t="e">
        <f>VLOOKUP($AT23,'GESTÃO DE PAGAMENTOS'!$A$10:$J$5000,4,FALSE)</f>
        <v>#N/A</v>
      </c>
      <c r="AS23" s="48" t="e">
        <f>VLOOKUP($AT23,'GESTÃO DE PAGAMENTOS'!$A$10:$J$5000,6,FALSE)</f>
        <v>#N/A</v>
      </c>
      <c r="AT23" s="20" t="b">
        <f>IF('GESTÃO DE PAGAMENTOS'!$C$10:$C$5000=VALID!$AF$3,LARGE('GESTÃO DE PAGAMENTOS'!$E$10:$E$5000,8))</f>
        <v>0</v>
      </c>
      <c r="AW23" s="1">
        <f t="shared" si="0"/>
        <v>0</v>
      </c>
      <c r="AX23" s="78" t="e">
        <f ca="1">IF(VLOOKUP(AW23,'--GESTÃO DE CONTRATOS--'!$E$15:$N$465,10,FALSE)-NOW()&lt;0,"0",VLOOKUP(AW23,'--GESTÃO DE CONTRATOS--'!$E$15:$N$465,10,FALSE)-NOW())</f>
        <v>#N/A</v>
      </c>
      <c r="AZ23" s="1">
        <f t="shared" si="1"/>
        <v>0</v>
      </c>
      <c r="BA23" s="13" t="e">
        <f>VLOOKUP(AZ23,'--GESTÃO DE CONTRATOS--'!$E$15:$J$465,6,FALSE)</f>
        <v>#N/A</v>
      </c>
      <c r="BB23" s="13">
        <f>SUMIF('GESTÃO DE PAGAMENTOS'!$C$10:$C$5000,VALID!AZ23,'GESTÃO DE PAGAMENTOS'!$I$10:$I$5000)</f>
        <v>0</v>
      </c>
    </row>
    <row r="24" spans="2:54">
      <c r="I24" s="1">
        <v>13</v>
      </c>
      <c r="J24" s="1" t="str">
        <f t="array" ref="J24">IFERROR(INDEX(#REF!,MATCH(0,COUNTIF(VALID!$J$11:$J23,#REF!),0)),"")</f>
        <v/>
      </c>
      <c r="K24" s="1">
        <f>IF(J24="",0,COUNTIF(#REF!,VALID!J24))</f>
        <v>0</v>
      </c>
      <c r="P24" s="1" t="str">
        <f t="array" ref="P24">IFERROR(INDEX(#REF!,MATCH(0,COUNTIF(VALID!$P$2:$P23,#REF!),0)),"")</f>
        <v/>
      </c>
      <c r="Q24" s="1" t="e">
        <f>IF(COUNTIFS(#REF!,VALID!$P24,#REF!,VALID!$N$2)=0,"",COUNTIFS(#REF!,VALID!$P24,#REF!,VALID!$N$2))</f>
        <v>#REF!</v>
      </c>
      <c r="R24" s="1" t="str">
        <f>IFERROR(VLOOKUP(P24,#REF!,2,FALSE),"")</f>
        <v/>
      </c>
      <c r="T24" s="1" t="s">
        <v>27</v>
      </c>
      <c r="AH24" s="19"/>
      <c r="AI24" s="20"/>
      <c r="AJ24" s="19"/>
      <c r="AK24" s="20"/>
      <c r="AL24" s="20"/>
      <c r="AM24" s="21"/>
      <c r="AN24" s="21"/>
      <c r="AO24" s="20"/>
      <c r="AP24" s="20"/>
      <c r="AQ24" s="21" t="e">
        <f>VLOOKUP(AT24,'GESTÃO DE PAGAMENTOS'!$A$10:$J$5000,9,FALSE)</f>
        <v>#N/A</v>
      </c>
      <c r="AR24" s="47" t="e">
        <f>VLOOKUP($AT24,'GESTÃO DE PAGAMENTOS'!$A$10:$J$5000,4,FALSE)</f>
        <v>#N/A</v>
      </c>
      <c r="AS24" s="48" t="e">
        <f>VLOOKUP($AT24,'GESTÃO DE PAGAMENTOS'!$A$10:$J$5000,6,FALSE)</f>
        <v>#N/A</v>
      </c>
      <c r="AT24" s="20" t="b">
        <f>IF('GESTÃO DE PAGAMENTOS'!$C$10:$C$5000=VALID!$AF$3,LARGE('GESTÃO DE PAGAMENTOS'!$E$10:$E$5000,9))</f>
        <v>0</v>
      </c>
      <c r="AW24" s="1">
        <f t="shared" si="0"/>
        <v>0</v>
      </c>
      <c r="AX24" s="78" t="e">
        <f ca="1">IF(VLOOKUP(AW24,'--GESTÃO DE CONTRATOS--'!$E$15:$N$465,10,FALSE)-NOW()&lt;0,"0",VLOOKUP(AW24,'--GESTÃO DE CONTRATOS--'!$E$15:$N$465,10,FALSE)-NOW())</f>
        <v>#N/A</v>
      </c>
      <c r="AZ24" s="1">
        <f t="shared" si="1"/>
        <v>0</v>
      </c>
      <c r="BA24" s="13" t="e">
        <f>VLOOKUP(AZ24,'--GESTÃO DE CONTRATOS--'!$E$15:$J$465,6,FALSE)</f>
        <v>#N/A</v>
      </c>
      <c r="BB24" s="13">
        <f>SUMIF('GESTÃO DE PAGAMENTOS'!$C$10:$C$5000,VALID!AZ24,'GESTÃO DE PAGAMENTOS'!$I$10:$I$5000)</f>
        <v>0</v>
      </c>
    </row>
    <row r="25" spans="2:54">
      <c r="I25" s="1">
        <v>14</v>
      </c>
      <c r="J25" s="1" t="str">
        <f t="array" ref="J25">IFERROR(INDEX(#REF!,MATCH(0,COUNTIF(VALID!$J$11:$J24,#REF!),0)),"")</f>
        <v/>
      </c>
      <c r="K25" s="1">
        <f>IF(J25="",0,COUNTIF(#REF!,VALID!J25))</f>
        <v>0</v>
      </c>
      <c r="P25" s="1" t="str">
        <f t="array" ref="P25">IFERROR(INDEX(#REF!,MATCH(0,COUNTIF(VALID!$P$2:$P24,#REF!),0)),"")</f>
        <v/>
      </c>
      <c r="Q25" s="1" t="e">
        <f>IF(COUNTIFS(#REF!,VALID!$P25,#REF!,VALID!$N$2)=0,"",COUNTIFS(#REF!,VALID!$P25,#REF!,VALID!$N$2))</f>
        <v>#REF!</v>
      </c>
      <c r="R25" s="1" t="str">
        <f>IFERROR(VLOOKUP(P25,#REF!,2,FALSE),"")</f>
        <v/>
      </c>
      <c r="T25" s="1" t="s">
        <v>50</v>
      </c>
      <c r="AH25" s="19"/>
      <c r="AI25" s="20"/>
      <c r="AJ25" s="19"/>
      <c r="AK25" s="20"/>
      <c r="AL25" s="20"/>
      <c r="AM25" s="21"/>
      <c r="AN25" s="21"/>
      <c r="AO25" s="20"/>
      <c r="AP25" s="20"/>
      <c r="AQ25" s="21" t="e">
        <f>VLOOKUP(AT25,'GESTÃO DE PAGAMENTOS'!$A$10:$J$5000,9,FALSE)</f>
        <v>#N/A</v>
      </c>
      <c r="AR25" s="47" t="e">
        <f>VLOOKUP($AT25,'GESTÃO DE PAGAMENTOS'!$A$10:$J$5000,4,FALSE)</f>
        <v>#N/A</v>
      </c>
      <c r="AS25" s="48" t="e">
        <f>VLOOKUP($AT25,'GESTÃO DE PAGAMENTOS'!$A$10:$J$5000,6,FALSE)</f>
        <v>#N/A</v>
      </c>
      <c r="AT25" s="20" t="b">
        <f>IF('GESTÃO DE PAGAMENTOS'!$C$10:$C$5000=VALID!$AF$3,LARGE('GESTÃO DE PAGAMENTOS'!$E$10:$E$5000,10))</f>
        <v>0</v>
      </c>
      <c r="AW25" s="1">
        <f t="shared" si="0"/>
        <v>0</v>
      </c>
      <c r="AX25" s="78" t="e">
        <f ca="1">IF(VLOOKUP(AW25,'--GESTÃO DE CONTRATOS--'!$E$15:$N$465,10,FALSE)-NOW()&lt;0,"0",VLOOKUP(AW25,'--GESTÃO DE CONTRATOS--'!$E$15:$N$465,10,FALSE)-NOW())</f>
        <v>#N/A</v>
      </c>
      <c r="AZ25" s="1">
        <f t="shared" si="1"/>
        <v>0</v>
      </c>
      <c r="BA25" s="13" t="e">
        <f>VLOOKUP(AZ25,'--GESTÃO DE CONTRATOS--'!$E$15:$J$465,6,FALSE)</f>
        <v>#N/A</v>
      </c>
      <c r="BB25" s="13">
        <f>SUMIF('GESTÃO DE PAGAMENTOS'!$C$10:$C$5000,VALID!AZ25,'GESTÃO DE PAGAMENTOS'!$I$10:$I$5000)</f>
        <v>0</v>
      </c>
    </row>
    <row r="26" spans="2:54">
      <c r="P26" s="1" t="str">
        <f t="array" ref="P26">IFERROR(INDEX(#REF!,MATCH(0,COUNTIF(VALID!$P$2:$P25,#REF!),0)),"")</f>
        <v/>
      </c>
      <c r="Q26" s="1" t="e">
        <f>IF(COUNTIFS(#REF!,VALID!$P26,#REF!,VALID!$N$2)=0,"",COUNTIFS(#REF!,VALID!$P26,#REF!,VALID!$N$2))</f>
        <v>#REF!</v>
      </c>
      <c r="R26" s="1" t="str">
        <f>IFERROR(VLOOKUP(P26,#REF!,2,FALSE),"")</f>
        <v/>
      </c>
      <c r="T26" s="1" t="s">
        <v>51</v>
      </c>
      <c r="AH26" s="19"/>
      <c r="AI26" s="19"/>
      <c r="AJ26" s="19"/>
      <c r="AK26" s="20"/>
      <c r="AL26" s="20"/>
      <c r="AM26" s="21"/>
      <c r="AN26" s="21"/>
      <c r="AO26" s="20"/>
      <c r="AP26" s="20"/>
      <c r="AQ26" s="21" t="e">
        <f>VLOOKUP(AT26,'GESTÃO DE PAGAMENTOS'!$A$10:$J$5000,9,FALSE)</f>
        <v>#N/A</v>
      </c>
      <c r="AR26" s="47" t="e">
        <f>VLOOKUP($AT26,'GESTÃO DE PAGAMENTOS'!$A$10:$J$5000,4,FALSE)</f>
        <v>#N/A</v>
      </c>
      <c r="AS26" s="48" t="e">
        <f>VLOOKUP($AT26,'GESTÃO DE PAGAMENTOS'!$A$10:$J$5000,6,FALSE)</f>
        <v>#N/A</v>
      </c>
      <c r="AT26" s="20" t="b">
        <f>IF('GESTÃO DE PAGAMENTOS'!$C$10:$C$5000=VALID!$AF$3,LARGE('GESTÃO DE PAGAMENTOS'!$E$10:$E$5000,11))</f>
        <v>0</v>
      </c>
      <c r="AW26" s="1">
        <f t="shared" si="0"/>
        <v>0</v>
      </c>
      <c r="AX26" s="78" t="e">
        <f ca="1">IF(VLOOKUP(AW26,'--GESTÃO DE CONTRATOS--'!$E$15:$N$465,10,FALSE)-NOW()&lt;0,"0",VLOOKUP(AW26,'--GESTÃO DE CONTRATOS--'!$E$15:$N$465,10,FALSE)-NOW())</f>
        <v>#N/A</v>
      </c>
      <c r="AZ26" s="1">
        <f t="shared" si="1"/>
        <v>0</v>
      </c>
      <c r="BA26" s="13" t="e">
        <f>VLOOKUP(AZ26,'--GESTÃO DE CONTRATOS--'!$E$15:$J$465,6,FALSE)</f>
        <v>#N/A</v>
      </c>
      <c r="BB26" s="13">
        <f>SUMIF('GESTÃO DE PAGAMENTOS'!$C$10:$C$5000,VALID!AZ26,'GESTÃO DE PAGAMENTOS'!$I$10:$I$5000)</f>
        <v>0</v>
      </c>
    </row>
    <row r="27" spans="2:54">
      <c r="P27" s="1" t="str">
        <f t="array" ref="P27">IFERROR(INDEX(#REF!,MATCH(0,COUNTIF(VALID!$P$2:$P26,#REF!),0)),"")</f>
        <v/>
      </c>
      <c r="Q27" s="1" t="e">
        <f>IF(COUNTIFS(#REF!,VALID!$P27,#REF!,VALID!$N$2)=0,"",COUNTIFS(#REF!,VALID!$P27,#REF!,VALID!$N$2))</f>
        <v>#REF!</v>
      </c>
      <c r="R27" s="1" t="str">
        <f>IFERROR(VLOOKUP(P27,#REF!,2,FALSE),"")</f>
        <v/>
      </c>
      <c r="T27" s="1" t="s">
        <v>52</v>
      </c>
      <c r="AH27" s="19"/>
      <c r="AI27" s="19"/>
      <c r="AJ27" s="19"/>
      <c r="AK27" s="20"/>
      <c r="AL27" s="20"/>
      <c r="AM27" s="21"/>
      <c r="AN27" s="21"/>
      <c r="AO27" s="20"/>
      <c r="AP27" s="20"/>
      <c r="AQ27" s="21" t="e">
        <f>VLOOKUP(AT27,'GESTÃO DE PAGAMENTOS'!$A$10:$J$5000,9,FALSE)</f>
        <v>#N/A</v>
      </c>
      <c r="AR27" s="47" t="e">
        <f>VLOOKUP($AT27,'GESTÃO DE PAGAMENTOS'!$A$10:$J$5000,4,FALSE)</f>
        <v>#N/A</v>
      </c>
      <c r="AS27" s="48" t="e">
        <f>VLOOKUP($AT27,'GESTÃO DE PAGAMENTOS'!$A$10:$J$5000,6,FALSE)</f>
        <v>#N/A</v>
      </c>
      <c r="AT27" s="20" t="b">
        <f>IF('GESTÃO DE PAGAMENTOS'!$C$10:$C$5000=VALID!$AF$3,LARGE('GESTÃO DE PAGAMENTOS'!$E$10:$E$5000,12))</f>
        <v>0</v>
      </c>
      <c r="AW27" s="1">
        <f t="shared" si="0"/>
        <v>0</v>
      </c>
      <c r="AX27" s="78" t="e">
        <f ca="1">IF(VLOOKUP(AW27,'--GESTÃO DE CONTRATOS--'!$E$15:$N$465,10,FALSE)-NOW()&lt;0,"0",VLOOKUP(AW27,'--GESTÃO DE CONTRATOS--'!$E$15:$N$465,10,FALSE)-NOW())</f>
        <v>#N/A</v>
      </c>
      <c r="AZ27" s="1">
        <f t="shared" si="1"/>
        <v>0</v>
      </c>
      <c r="BA27" s="13" t="e">
        <f>VLOOKUP(AZ27,'--GESTÃO DE CONTRATOS--'!$E$15:$J$465,6,FALSE)</f>
        <v>#N/A</v>
      </c>
      <c r="BB27" s="13">
        <f>SUMIF('GESTÃO DE PAGAMENTOS'!$C$10:$C$5000,VALID!AZ27,'GESTÃO DE PAGAMENTOS'!$I$10:$I$5000)</f>
        <v>0</v>
      </c>
    </row>
    <row r="28" spans="2:54">
      <c r="M28" t="s">
        <v>23</v>
      </c>
      <c r="P28" s="1" t="str">
        <f t="array" ref="P28">IFERROR(INDEX(#REF!,MATCH(0,COUNTIF(VALID!$P$2:$P27,#REF!),0)),"")</f>
        <v/>
      </c>
      <c r="Q28" s="1" t="e">
        <f>IF(COUNTIFS(#REF!,VALID!$P28,#REF!,VALID!$N$2)=0,"",COUNTIFS(#REF!,VALID!$P28,#REF!,VALID!$N$2))</f>
        <v>#REF!</v>
      </c>
      <c r="R28" s="1" t="str">
        <f>IFERROR(VLOOKUP(#REF!,#REF!,2,FALSE),"")</f>
        <v/>
      </c>
      <c r="T28" s="1" t="s">
        <v>53</v>
      </c>
      <c r="W28" t="s">
        <v>7</v>
      </c>
      <c r="X28" t="s">
        <v>21</v>
      </c>
      <c r="Y28" s="1" t="s">
        <v>0</v>
      </c>
      <c r="Z28" s="1" t="s">
        <v>7</v>
      </c>
      <c r="AA28" t="s">
        <v>25</v>
      </c>
      <c r="AH28" s="19"/>
      <c r="AI28" s="19"/>
      <c r="AJ28" s="19"/>
      <c r="AK28" s="20"/>
      <c r="AL28" s="20"/>
      <c r="AM28" s="21"/>
      <c r="AN28" s="21"/>
      <c r="AO28" s="20"/>
      <c r="AP28" s="20"/>
      <c r="AQ28" s="21" t="e">
        <f>VLOOKUP(AT28,'GESTÃO DE PAGAMENTOS'!$A$10:$J$5000,9,FALSE)</f>
        <v>#N/A</v>
      </c>
      <c r="AR28" s="47" t="e">
        <f>VLOOKUP($AT28,'GESTÃO DE PAGAMENTOS'!$A$10:$J$5000,4,FALSE)</f>
        <v>#N/A</v>
      </c>
      <c r="AS28" s="48" t="e">
        <f>VLOOKUP($AT28,'GESTÃO DE PAGAMENTOS'!$A$10:$J$5000,6,FALSE)</f>
        <v>#N/A</v>
      </c>
      <c r="AT28" s="20" t="b">
        <f>IF('GESTÃO DE PAGAMENTOS'!$C$10:$C$5000=VALID!$AF$3,LARGE('GESTÃO DE PAGAMENTOS'!$E$10:$E$5000,13))</f>
        <v>0</v>
      </c>
      <c r="AW28" s="1">
        <f t="shared" si="0"/>
        <v>0</v>
      </c>
      <c r="AX28" s="78" t="e">
        <f ca="1">IF(VLOOKUP(AW28,'--GESTÃO DE CONTRATOS--'!$E$15:$N$465,10,FALSE)-NOW()&lt;0,"0",VLOOKUP(AW28,'--GESTÃO DE CONTRATOS--'!$E$15:$N$465,10,FALSE)-NOW())</f>
        <v>#N/A</v>
      </c>
      <c r="AZ28" s="1">
        <f t="shared" si="1"/>
        <v>0</v>
      </c>
      <c r="BA28" s="13" t="e">
        <f>VLOOKUP(AZ28,'--GESTÃO DE CONTRATOS--'!$E$15:$J$465,6,FALSE)</f>
        <v>#N/A</v>
      </c>
      <c r="BB28" s="13">
        <f>SUMIF('GESTÃO DE PAGAMENTOS'!$C$10:$C$5000,VALID!AZ28,'GESTÃO DE PAGAMENTOS'!$I$10:$I$5000)</f>
        <v>0</v>
      </c>
    </row>
    <row r="29" spans="2:54">
      <c r="M29" t="s">
        <v>24</v>
      </c>
      <c r="N29" t="s">
        <v>0</v>
      </c>
      <c r="P29" s="1" t="str">
        <f t="array" ref="P29">IFERROR(INDEX(#REF!,MATCH(0,COUNTIF(VALID!$P$2:$P28,#REF!),0)),"")</f>
        <v/>
      </c>
      <c r="Q29" s="1" t="e">
        <f>IF(COUNTIFS(#REF!,VALID!$P29,#REF!,VALID!$N$2)=0,"",COUNTIFS(#REF!,VALID!$P29,#REF!,VALID!$N$2))</f>
        <v>#REF!</v>
      </c>
      <c r="R29" s="1"/>
      <c r="T29" s="1" t="s">
        <v>54</v>
      </c>
      <c r="X29" s="5" t="e">
        <f>LARGE(#REF!,1)</f>
        <v>#REF!</v>
      </c>
      <c r="Y29" s="1" t="e">
        <f>LOOKUP(X29,#REF!,#REF!)</f>
        <v>#REF!</v>
      </c>
      <c r="Z29" s="1" t="e">
        <f>VLOOKUP(Y29,#REF!,2,FALSE)</f>
        <v>#REF!</v>
      </c>
      <c r="AA29" s="1" t="e">
        <f>LOOKUP(X29,#REF!,#REF!)</f>
        <v>#REF!</v>
      </c>
      <c r="AH29" s="19"/>
      <c r="AI29" s="19"/>
      <c r="AJ29" s="19"/>
      <c r="AK29" s="20"/>
      <c r="AL29" s="20"/>
      <c r="AM29" s="21"/>
      <c r="AN29" s="21"/>
      <c r="AO29" s="20"/>
      <c r="AP29" s="20"/>
      <c r="AQ29" s="21" t="e">
        <f>VLOOKUP(AT29,'GESTÃO DE PAGAMENTOS'!$A$10:$J$5000,9,FALSE)</f>
        <v>#N/A</v>
      </c>
      <c r="AR29" s="47" t="e">
        <f>VLOOKUP($AT29,'GESTÃO DE PAGAMENTOS'!$A$10:$J$5000,4,FALSE)</f>
        <v>#N/A</v>
      </c>
      <c r="AS29" s="48" t="e">
        <f>VLOOKUP($AT29,'GESTÃO DE PAGAMENTOS'!$A$10:$J$5000,6,FALSE)</f>
        <v>#N/A</v>
      </c>
      <c r="AT29" s="20" t="b">
        <f>IF('GESTÃO DE PAGAMENTOS'!$C$10:$C$5000=VALID!$AF$3,LARGE('GESTÃO DE PAGAMENTOS'!$E$10:$E$5000,14))</f>
        <v>0</v>
      </c>
      <c r="AW29" s="1">
        <f t="shared" si="0"/>
        <v>0</v>
      </c>
      <c r="AX29" s="78" t="e">
        <f ca="1">IF(VLOOKUP(AW29,'--GESTÃO DE CONTRATOS--'!$E$15:$N$465,10,FALSE)-NOW()&lt;0,"0",VLOOKUP(AW29,'--GESTÃO DE CONTRATOS--'!$E$15:$N$465,10,FALSE)-NOW())</f>
        <v>#N/A</v>
      </c>
      <c r="AZ29" s="1">
        <f t="shared" si="1"/>
        <v>0</v>
      </c>
      <c r="BA29" s="13" t="e">
        <f>VLOOKUP(AZ29,'--GESTÃO DE CONTRATOS--'!$E$15:$J$465,6,FALSE)</f>
        <v>#N/A</v>
      </c>
      <c r="BB29" s="13">
        <f>SUMIF('GESTÃO DE PAGAMENTOS'!$C$10:$C$5000,VALID!AZ29,'GESTÃO DE PAGAMENTOS'!$I$10:$I$5000)</f>
        <v>0</v>
      </c>
    </row>
    <row r="30" spans="2:54">
      <c r="N30" s="7"/>
      <c r="P30" s="1" t="str">
        <f t="array" ref="P30">IFERROR(INDEX(#REF!,MATCH(0,COUNTIF(VALID!$P$2:$P29,#REF!),0)),"")</f>
        <v/>
      </c>
      <c r="Q30" s="1" t="e">
        <f>IF(COUNTIFS(#REF!,VALID!$P30,#REF!,VALID!$N$2)=0,"",COUNTIFS(#REF!,VALID!$P30,#REF!,VALID!$N$2))</f>
        <v>#REF!</v>
      </c>
      <c r="R30" s="1"/>
      <c r="T30" s="1" t="s">
        <v>55</v>
      </c>
      <c r="X30" s="5" t="e">
        <f>LARGE(#REF!,2)</f>
        <v>#REF!</v>
      </c>
      <c r="Y30" s="1" t="e">
        <f>LOOKUP(X30,#REF!,#REF!)</f>
        <v>#REF!</v>
      </c>
      <c r="Z30" s="1" t="e">
        <f>VLOOKUP(Y30,#REF!,2,FALSE)</f>
        <v>#REF!</v>
      </c>
      <c r="AA30" s="1" t="e">
        <f>LOOKUP(X30,#REF!,#REF!)</f>
        <v>#REF!</v>
      </c>
      <c r="AH30" s="19"/>
      <c r="AI30" s="19"/>
      <c r="AJ30" s="19"/>
      <c r="AK30" s="20"/>
      <c r="AL30" s="20"/>
      <c r="AM30" s="21"/>
      <c r="AN30" s="21"/>
      <c r="AO30" s="20"/>
      <c r="AP30" s="20"/>
      <c r="AQ30" s="21" t="e">
        <f>VLOOKUP(AT30,'GESTÃO DE PAGAMENTOS'!$A$10:$J$5000,9,FALSE)</f>
        <v>#N/A</v>
      </c>
      <c r="AR30" s="47" t="e">
        <f>VLOOKUP($AT30,'GESTÃO DE PAGAMENTOS'!$A$10:$J$5000,4,FALSE)</f>
        <v>#N/A</v>
      </c>
      <c r="AS30" s="48" t="e">
        <f>VLOOKUP($AT30,'GESTÃO DE PAGAMENTOS'!$A$10:$J$5000,6,FALSE)</f>
        <v>#N/A</v>
      </c>
      <c r="AT30" s="20" t="b">
        <f>IF('GESTÃO DE PAGAMENTOS'!$C$10:$C$5000=VALID!$AF$3,LARGE('GESTÃO DE PAGAMENTOS'!$E$10:$E$5000,15))</f>
        <v>0</v>
      </c>
      <c r="AZ30" s="1"/>
      <c r="BA30" s="13"/>
      <c r="BB30" s="13"/>
    </row>
    <row r="31" spans="2:54">
      <c r="E31" s="150" t="s">
        <v>142</v>
      </c>
      <c r="F31" s="150"/>
      <c r="G31" s="150"/>
      <c r="H31" s="150"/>
      <c r="I31" s="150"/>
      <c r="P31" s="1" t="str">
        <f t="array" ref="P31">IFERROR(INDEX(#REF!,MATCH(0,COUNTIF(VALID!$P$2:$P30,#REF!),0)),"")</f>
        <v/>
      </c>
      <c r="Q31" s="1" t="e">
        <f>IF(COUNTIFS(#REF!,VALID!$P31,#REF!,VALID!$N$2)=0,"",COUNTIFS(#REF!,VALID!$P31,#REF!,VALID!$N$2))</f>
        <v>#REF!</v>
      </c>
      <c r="R31" s="1"/>
      <c r="T31" s="1" t="s">
        <v>56</v>
      </c>
      <c r="X31" s="5" t="e">
        <f>LARGE(#REF!,3)</f>
        <v>#REF!</v>
      </c>
      <c r="Y31" s="1" t="e">
        <f>LOOKUP(X31,#REF!,#REF!)</f>
        <v>#REF!</v>
      </c>
      <c r="Z31" s="1" t="e">
        <f>VLOOKUP(Y31,#REF!,2,FALSE)</f>
        <v>#REF!</v>
      </c>
      <c r="AA31" s="1" t="e">
        <f>LOOKUP(X31,#REF!,#REF!)</f>
        <v>#REF!</v>
      </c>
      <c r="AH31" s="19"/>
      <c r="AI31" s="19"/>
      <c r="AJ31" s="19"/>
      <c r="AK31" s="20"/>
      <c r="AL31" s="20"/>
      <c r="AM31" s="21"/>
      <c r="AN31" s="21"/>
      <c r="AO31" s="20"/>
      <c r="AP31" s="20"/>
      <c r="AQ31" s="21" t="e">
        <f>VLOOKUP(AT31,'GESTÃO DE PAGAMENTOS'!$A$10:$J$5000,9,FALSE)</f>
        <v>#N/A</v>
      </c>
      <c r="AR31" s="47" t="e">
        <f>VLOOKUP($AT31,'GESTÃO DE PAGAMENTOS'!$A$10:$J$5000,4,FALSE)</f>
        <v>#N/A</v>
      </c>
      <c r="AS31" s="48" t="e">
        <f>VLOOKUP($AT31,'GESTÃO DE PAGAMENTOS'!$A$10:$J$5000,6,FALSE)</f>
        <v>#N/A</v>
      </c>
      <c r="AT31" s="20" t="b">
        <f>IF('GESTÃO DE PAGAMENTOS'!$C$10:$C$5000=VALID!$AF$3,LARGE('GESTÃO DE PAGAMENTOS'!$E$10:$E$5000,16))</f>
        <v>0</v>
      </c>
      <c r="AZ31" s="1"/>
      <c r="BA31" s="13"/>
      <c r="BB31" s="13"/>
    </row>
    <row r="32" spans="2:54">
      <c r="E32" t="s">
        <v>0</v>
      </c>
      <c r="F32" t="s">
        <v>144</v>
      </c>
      <c r="G32" t="s">
        <v>143</v>
      </c>
      <c r="H32" t="e">
        <f>VLOOKUP(F32,E33:F37,1,FALSE)</f>
        <v>#N/A</v>
      </c>
      <c r="P32" s="1" t="str">
        <f t="array" ref="P32">IFERROR(INDEX(#REF!,MATCH(0,COUNTIF(VALID!$P$2:$P31,#REF!),0)),"")</f>
        <v/>
      </c>
      <c r="Q32" s="1" t="e">
        <f>IF(COUNTIFS(#REF!,VALID!$P32,#REF!,VALID!$N$2)=0,"",COUNTIFS(#REF!,VALID!$P32,#REF!,VALID!$N$2))</f>
        <v>#REF!</v>
      </c>
      <c r="R32" s="1"/>
      <c r="T32" s="1" t="s">
        <v>57</v>
      </c>
      <c r="X32" s="5" t="e">
        <f>LARGE(#REF!,4)</f>
        <v>#REF!</v>
      </c>
      <c r="Y32" s="1" t="e">
        <f>LOOKUP(X32,#REF!,#REF!)</f>
        <v>#REF!</v>
      </c>
      <c r="Z32" s="1" t="e">
        <f>VLOOKUP(Y32,#REF!,2,FALSE)</f>
        <v>#REF!</v>
      </c>
      <c r="AA32" s="1" t="e">
        <f>LOOKUP(X32,#REF!,#REF!)</f>
        <v>#REF!</v>
      </c>
      <c r="AH32" s="19"/>
      <c r="AI32" s="19"/>
      <c r="AJ32" s="19"/>
      <c r="AK32" s="20"/>
      <c r="AL32" s="20"/>
      <c r="AM32" s="21"/>
      <c r="AN32" s="21"/>
      <c r="AO32" s="20"/>
      <c r="AP32" s="20"/>
      <c r="AQ32" s="21" t="e">
        <f>VLOOKUP(AT32,'GESTÃO DE PAGAMENTOS'!$A$10:$J$5000,9,FALSE)</f>
        <v>#N/A</v>
      </c>
      <c r="AR32" s="47" t="e">
        <f>VLOOKUP($AT32,'GESTÃO DE PAGAMENTOS'!$A$10:$J$5000,4,FALSE)</f>
        <v>#N/A</v>
      </c>
      <c r="AS32" s="48" t="e">
        <f>VLOOKUP($AT32,'GESTÃO DE PAGAMENTOS'!$A$10:$J$5000,6,FALSE)</f>
        <v>#N/A</v>
      </c>
      <c r="AT32" s="20" t="b">
        <f>IF('GESTÃO DE PAGAMENTOS'!$C$10:$C$5000=VALID!$AF$3,LARGE('GESTÃO DE PAGAMENTOS'!$E$10:$E$5000,17))</f>
        <v>0</v>
      </c>
      <c r="AZ32" s="1"/>
      <c r="BA32" s="13"/>
      <c r="BB32" s="13"/>
    </row>
    <row r="33" spans="5:54">
      <c r="E33" s="4" t="e">
        <f>#REF!</f>
        <v>#REF!</v>
      </c>
      <c r="F33" t="e">
        <f>VLOOKUP(E33,#REF!,2,FALSE)</f>
        <v>#REF!</v>
      </c>
      <c r="G33" s="5" t="e">
        <f>VLOOKUP(E33,#REF!,5,FALSE)</f>
        <v>#REF!</v>
      </c>
      <c r="H33" t="s">
        <v>21</v>
      </c>
      <c r="I33" s="5" t="e">
        <f>LOOKUP(F32,F33:F1000,G33:G1000)</f>
        <v>#N/A</v>
      </c>
      <c r="P33" s="1" t="str">
        <f t="array" ref="P33">IFERROR(INDEX(#REF!,MATCH(0,COUNTIF(VALID!$P$2:$P32,#REF!),0)),"")</f>
        <v/>
      </c>
      <c r="Q33" s="1" t="e">
        <f>IF(COUNTIFS(#REF!,VALID!$P33,#REF!,VALID!$N$2)=0,"",COUNTIFS(#REF!,VALID!$P33,#REF!,VALID!$N$2))</f>
        <v>#REF!</v>
      </c>
      <c r="R33" s="1"/>
      <c r="T33" s="1" t="s">
        <v>58</v>
      </c>
      <c r="X33" s="5" t="e">
        <f>LARGE(#REF!,5)</f>
        <v>#REF!</v>
      </c>
      <c r="Y33" s="1" t="e">
        <f>LOOKUP(X33,#REF!,#REF!)</f>
        <v>#REF!</v>
      </c>
      <c r="Z33" s="1" t="e">
        <f>VLOOKUP(Y33,#REF!,2,FALSE)</f>
        <v>#REF!</v>
      </c>
      <c r="AA33" s="1" t="e">
        <f>LOOKUP(X33,#REF!,#REF!)</f>
        <v>#REF!</v>
      </c>
      <c r="AH33" s="19"/>
      <c r="AI33" s="19"/>
      <c r="AJ33" s="19"/>
      <c r="AK33" s="20"/>
      <c r="AL33" s="20"/>
      <c r="AM33" s="21"/>
      <c r="AN33" s="21"/>
      <c r="AO33" s="20"/>
      <c r="AP33" s="20"/>
      <c r="AQ33" s="21"/>
      <c r="AR33" s="47"/>
      <c r="AS33" s="48"/>
      <c r="AT33" s="20"/>
      <c r="AZ33" s="1"/>
      <c r="BA33" s="13"/>
      <c r="BB33" s="13"/>
    </row>
    <row r="34" spans="5:54">
      <c r="E34" s="4" t="e">
        <f>#REF!</f>
        <v>#REF!</v>
      </c>
      <c r="F34" s="1" t="e">
        <f>VLOOKUP(E34,#REF!,2,FALSE)</f>
        <v>#REF!</v>
      </c>
      <c r="G34" s="5" t="e">
        <f>VLOOKUP(E34,#REF!,5,FALSE)</f>
        <v>#REF!</v>
      </c>
      <c r="P34" s="1" t="str">
        <f t="array" ref="P34">IFERROR(INDEX(#REF!,MATCH(0,COUNTIF(VALID!$P$2:$P33,#REF!),0)),"")</f>
        <v/>
      </c>
      <c r="Q34" s="1" t="e">
        <f>IF(COUNTIFS(#REF!,VALID!$P34,#REF!,VALID!$N$2)=0,"",COUNTIFS(#REF!,VALID!$P34,#REF!,VALID!$N$2))</f>
        <v>#REF!</v>
      </c>
      <c r="R34" s="1"/>
      <c r="T34" s="1" t="s">
        <v>59</v>
      </c>
      <c r="X34" s="5" t="e">
        <f>LARGE(#REF!,6)</f>
        <v>#REF!</v>
      </c>
      <c r="Y34" s="1" t="e">
        <f>LOOKUP(X34,#REF!,#REF!)</f>
        <v>#REF!</v>
      </c>
      <c r="Z34" s="1" t="e">
        <f>VLOOKUP(Y34,#REF!,2,FALSE)</f>
        <v>#REF!</v>
      </c>
      <c r="AA34" s="1" t="e">
        <f>LOOKUP(X34,#REF!,#REF!)</f>
        <v>#REF!</v>
      </c>
      <c r="AH34" s="19"/>
      <c r="AI34" s="19"/>
      <c r="AJ34" s="19"/>
      <c r="AK34" s="20"/>
      <c r="AL34" s="20"/>
      <c r="AM34" s="21"/>
      <c r="AN34" s="21"/>
      <c r="AO34" s="20"/>
      <c r="AP34" s="20"/>
      <c r="AQ34" s="21"/>
      <c r="AR34" s="47"/>
      <c r="AS34" s="48"/>
      <c r="AT34" s="20"/>
      <c r="BA34" s="13"/>
      <c r="BB34" s="13"/>
    </row>
    <row r="35" spans="5:54">
      <c r="E35" s="4" t="e">
        <f>#REF!</f>
        <v>#REF!</v>
      </c>
      <c r="F35" s="1" t="e">
        <f>VLOOKUP(E35,#REF!,2,FALSE)</f>
        <v>#REF!</v>
      </c>
      <c r="G35" s="5" t="e">
        <f>VLOOKUP(E35,#REF!,5,FALSE)</f>
        <v>#REF!</v>
      </c>
      <c r="P35" s="1" t="str">
        <f t="array" ref="P35">IFERROR(INDEX(#REF!,MATCH(0,COUNTIF(VALID!$P$2:$P34,#REF!),0)),"")</f>
        <v/>
      </c>
      <c r="Q35" s="1" t="e">
        <f>IF(COUNTIFS(#REF!,VALID!$P35,#REF!,VALID!$N$2)=0,"",COUNTIFS(#REF!,VALID!$P35,#REF!,VALID!$N$2))</f>
        <v>#REF!</v>
      </c>
      <c r="R35" s="1"/>
      <c r="T35" s="1" t="s">
        <v>60</v>
      </c>
      <c r="X35" s="5" t="e">
        <f>LARGE(#REF!,7)</f>
        <v>#REF!</v>
      </c>
      <c r="Y35" s="1" t="e">
        <f>LOOKUP(X35,#REF!,#REF!)</f>
        <v>#REF!</v>
      </c>
      <c r="Z35" s="1" t="e">
        <f>VLOOKUP(Y35,#REF!,2,FALSE)</f>
        <v>#REF!</v>
      </c>
      <c r="AA35" s="1" t="e">
        <f>LOOKUP(X35,#REF!,#REF!)</f>
        <v>#REF!</v>
      </c>
      <c r="AH35" s="19"/>
      <c r="AI35" s="19"/>
      <c r="AJ35" s="19"/>
      <c r="AK35" s="20"/>
      <c r="AL35" s="20"/>
      <c r="AM35" s="21"/>
      <c r="AN35" s="21"/>
      <c r="AO35" s="20"/>
      <c r="AP35" s="20"/>
      <c r="AQ35" s="21"/>
      <c r="AR35" s="47"/>
      <c r="AS35" s="48"/>
      <c r="AT35" s="20"/>
    </row>
    <row r="36" spans="5:54">
      <c r="E36" s="4" t="e">
        <f>#REF!</f>
        <v>#REF!</v>
      </c>
      <c r="F36" s="1" t="e">
        <f>VLOOKUP(E36,#REF!,2,FALSE)</f>
        <v>#REF!</v>
      </c>
      <c r="G36" s="5" t="e">
        <f>VLOOKUP(E36,#REF!,5,FALSE)</f>
        <v>#REF!</v>
      </c>
      <c r="P36" s="1" t="str">
        <f t="array" ref="P36">IFERROR(INDEX(#REF!,MATCH(0,COUNTIF(VALID!$P$2:$P35,#REF!),0)),"")</f>
        <v/>
      </c>
      <c r="Q36" s="1" t="e">
        <f>IF(COUNTIFS(#REF!,VALID!$P36,#REF!,VALID!$N$2)=0,"",COUNTIFS(#REF!,VALID!$P36,#REF!,VALID!$N$2))</f>
        <v>#REF!</v>
      </c>
      <c r="R36" s="1"/>
      <c r="T36" s="1" t="s">
        <v>61</v>
      </c>
      <c r="X36" s="5" t="e">
        <f>LARGE(#REF!,8)</f>
        <v>#REF!</v>
      </c>
      <c r="Y36" s="1" t="e">
        <f>LOOKUP(X36,#REF!,#REF!)</f>
        <v>#REF!</v>
      </c>
      <c r="Z36" s="1" t="e">
        <f>VLOOKUP(Y36,#REF!,2,FALSE)</f>
        <v>#REF!</v>
      </c>
      <c r="AA36" s="1" t="e">
        <f>LOOKUP(X36,#REF!,#REF!)</f>
        <v>#REF!</v>
      </c>
      <c r="AH36" s="19"/>
      <c r="AI36" s="19"/>
      <c r="AJ36" s="19"/>
      <c r="AK36" s="20"/>
      <c r="AL36" s="20"/>
      <c r="AM36" s="21"/>
      <c r="AN36" s="21"/>
      <c r="AO36" s="20"/>
      <c r="AP36" s="20"/>
      <c r="AQ36" s="21"/>
      <c r="AR36" s="47"/>
      <c r="AS36" s="48"/>
      <c r="AT36" s="20"/>
    </row>
    <row r="37" spans="5:54">
      <c r="E37" s="4" t="e">
        <f>#REF!</f>
        <v>#REF!</v>
      </c>
      <c r="F37" s="1" t="e">
        <f>VLOOKUP(E37,#REF!,2,FALSE)</f>
        <v>#REF!</v>
      </c>
      <c r="G37" s="5" t="e">
        <f>VLOOKUP(E37,#REF!,5,FALSE)</f>
        <v>#REF!</v>
      </c>
      <c r="P37" s="1" t="str">
        <f t="array" ref="P37">IFERROR(INDEX(#REF!,MATCH(0,COUNTIF(VALID!$P$2:$P36,#REF!),0)),"")</f>
        <v/>
      </c>
      <c r="Q37" s="1" t="e">
        <f>IF(COUNTIFS(#REF!,VALID!$P37,#REF!,VALID!$N$2)=0,"",COUNTIFS(#REF!,VALID!$P37,#REF!,VALID!$N$2))</f>
        <v>#REF!</v>
      </c>
      <c r="R37" s="1"/>
      <c r="T37" t="s">
        <v>26</v>
      </c>
      <c r="X37" s="5" t="e">
        <f>LARGE(#REF!,9)</f>
        <v>#REF!</v>
      </c>
      <c r="Y37" s="1" t="e">
        <f>LOOKUP(X37,#REF!,#REF!)</f>
        <v>#REF!</v>
      </c>
      <c r="Z37" s="1" t="e">
        <f>VLOOKUP(Y37,#REF!,2,FALSE)</f>
        <v>#REF!</v>
      </c>
      <c r="AA37" s="1" t="e">
        <f>LOOKUP(X37,#REF!,#REF!)</f>
        <v>#REF!</v>
      </c>
      <c r="AH37" s="19"/>
      <c r="AI37" s="19"/>
      <c r="AJ37" s="19"/>
      <c r="AK37" s="20"/>
      <c r="AL37" s="20"/>
      <c r="AM37" s="21"/>
      <c r="AN37" s="21"/>
      <c r="AO37" s="20"/>
      <c r="AP37" s="20"/>
      <c r="AQ37" s="21"/>
      <c r="AR37" s="47"/>
      <c r="AS37" s="48"/>
      <c r="AT37" s="20"/>
    </row>
    <row r="38" spans="5:54" ht="24">
      <c r="E38" s="4" t="e">
        <f>#REF!</f>
        <v>#REF!</v>
      </c>
      <c r="F38" s="1" t="e">
        <f>VLOOKUP(E38,#REF!,2,FALSE)</f>
        <v>#REF!</v>
      </c>
      <c r="G38" s="5" t="e">
        <f>VLOOKUP(E38,#REF!,5,FALSE)</f>
        <v>#REF!</v>
      </c>
      <c r="P38" s="1" t="str">
        <f t="array" ref="P38">IFERROR(INDEX(#REF!,MATCH(0,COUNTIF(VALID!$P$2:$P37,#REF!),0)),"")</f>
        <v/>
      </c>
      <c r="Q38" s="1" t="e">
        <f>IF(COUNTIFS(#REF!,VALID!$P38,#REF!,VALID!$N$2)=0,"",COUNTIFS(#REF!,VALID!$P38,#REF!,VALID!$N$2))</f>
        <v>#REF!</v>
      </c>
      <c r="R38" s="1"/>
      <c r="T38" s="8" t="s">
        <v>98</v>
      </c>
      <c r="X38" s="5" t="e">
        <f>LARGE(#REF!,10)</f>
        <v>#REF!</v>
      </c>
      <c r="Y38" s="1" t="e">
        <f>LOOKUP(X38,#REF!,#REF!)</f>
        <v>#REF!</v>
      </c>
      <c r="Z38" s="1" t="e">
        <f>VLOOKUP(Y38,#REF!,2,FALSE)</f>
        <v>#REF!</v>
      </c>
      <c r="AA38" s="1" t="e">
        <f>LOOKUP(X38,#REF!,#REF!)</f>
        <v>#REF!</v>
      </c>
      <c r="AH38" s="19"/>
      <c r="AI38" s="19"/>
      <c r="AJ38" s="19"/>
      <c r="AK38" s="20"/>
      <c r="AL38" s="20"/>
      <c r="AM38" s="21"/>
      <c r="AN38" s="21"/>
      <c r="AO38" s="20"/>
      <c r="AP38" s="20"/>
      <c r="AQ38" s="21"/>
      <c r="AR38" s="47"/>
      <c r="AS38" s="48"/>
      <c r="AT38" s="20"/>
    </row>
    <row r="39" spans="5:54">
      <c r="E39" s="4" t="e">
        <f>#REF!</f>
        <v>#REF!</v>
      </c>
      <c r="F39" s="1" t="e">
        <f>VLOOKUP(E39,#REF!,2,FALSE)</f>
        <v>#REF!</v>
      </c>
      <c r="G39" s="5" t="e">
        <f>VLOOKUP(E39,#REF!,5,FALSE)</f>
        <v>#REF!</v>
      </c>
      <c r="P39" s="1" t="str">
        <f t="array" ref="P39">IFERROR(INDEX(#REF!,MATCH(0,COUNTIF(VALID!$P$2:$P38,#REF!),0)),"")</f>
        <v/>
      </c>
      <c r="Q39" s="1" t="e">
        <f>IF(COUNTIFS(#REF!,VALID!$P39,#REF!,VALID!$N$2)=0,"",COUNTIFS(#REF!,VALID!$P39,#REF!,VALID!$N$2))</f>
        <v>#REF!</v>
      </c>
      <c r="R39" s="1"/>
      <c r="T39" s="8" t="s">
        <v>70</v>
      </c>
      <c r="X39" s="5" t="e">
        <f>LARGE(#REF!,11)</f>
        <v>#REF!</v>
      </c>
      <c r="Y39" s="1" t="e">
        <f>LOOKUP(X39,#REF!,#REF!)</f>
        <v>#REF!</v>
      </c>
      <c r="Z39" s="1" t="e">
        <f>VLOOKUP(Y39,#REF!,2,FALSE)</f>
        <v>#REF!</v>
      </c>
      <c r="AA39" s="1" t="e">
        <f>LOOKUP(X39,#REF!,#REF!)</f>
        <v>#REF!</v>
      </c>
      <c r="AH39" s="19"/>
      <c r="AI39" s="19"/>
      <c r="AJ39" s="19"/>
      <c r="AK39" s="20"/>
      <c r="AL39" s="20"/>
      <c r="AM39" s="21"/>
      <c r="AN39" s="21"/>
      <c r="AO39" s="20"/>
      <c r="AP39" s="20"/>
      <c r="AQ39" s="21"/>
      <c r="AR39" s="47"/>
      <c r="AS39" s="48"/>
      <c r="AT39" s="20"/>
    </row>
    <row r="40" spans="5:54">
      <c r="E40" s="4" t="e">
        <f>#REF!</f>
        <v>#REF!</v>
      </c>
      <c r="F40" s="1" t="e">
        <f>VLOOKUP(E40,#REF!,2,FALSE)</f>
        <v>#REF!</v>
      </c>
      <c r="G40" s="5" t="e">
        <f>VLOOKUP(E40,#REF!,5,FALSE)</f>
        <v>#REF!</v>
      </c>
      <c r="P40" s="1" t="str">
        <f t="array" ref="P40">IFERROR(INDEX(#REF!,MATCH(0,COUNTIF(VALID!$P$2:$P39,#REF!),0)),"")</f>
        <v/>
      </c>
      <c r="Q40" s="1" t="e">
        <f>IF(COUNTIFS(#REF!,VALID!$P40,#REF!,VALID!$N$2)=0,"",COUNTIFS(#REF!,VALID!$P40,#REF!,VALID!$N$2))</f>
        <v>#REF!</v>
      </c>
      <c r="R40" s="1"/>
      <c r="T40" s="8" t="s">
        <v>71</v>
      </c>
      <c r="AH40" s="19"/>
      <c r="AI40" s="19"/>
      <c r="AJ40" s="19"/>
      <c r="AK40" s="20"/>
      <c r="AL40" s="20"/>
      <c r="AM40" s="21"/>
      <c r="AN40" s="21"/>
      <c r="AO40" s="20"/>
      <c r="AP40" s="20"/>
      <c r="AQ40" s="21"/>
      <c r="AR40" s="47"/>
      <c r="AS40" s="48"/>
      <c r="AT40" s="20"/>
    </row>
    <row r="41" spans="5:54" ht="36">
      <c r="E41" s="4" t="e">
        <f>#REF!</f>
        <v>#REF!</v>
      </c>
      <c r="F41" s="1" t="e">
        <f>VLOOKUP(E41,#REF!,2,FALSE)</f>
        <v>#REF!</v>
      </c>
      <c r="G41" s="5" t="e">
        <f>VLOOKUP(E41,#REF!,5,FALSE)</f>
        <v>#REF!</v>
      </c>
      <c r="I41" s="5"/>
      <c r="P41" s="1" t="str">
        <f t="array" ref="P41">IFERROR(INDEX(#REF!,MATCH(0,COUNTIF(VALID!$P$2:$P40,#REF!),0)),"")</f>
        <v/>
      </c>
      <c r="Q41" s="1" t="e">
        <f>IF(COUNTIFS(#REF!,VALID!$P41,#REF!,VALID!$N$2)=0,"",COUNTIFS(#REF!,VALID!$P41,#REF!,VALID!$N$2))</f>
        <v>#REF!</v>
      </c>
      <c r="R41" s="1" t="str">
        <f>IFERROR(VLOOKUP(P41,#REF!,2,FALSE),"")</f>
        <v/>
      </c>
      <c r="S41" s="1"/>
      <c r="T41" s="8" t="s">
        <v>72</v>
      </c>
      <c r="AH41" s="19"/>
      <c r="AI41" s="19"/>
      <c r="AJ41" s="19"/>
      <c r="AK41" s="20"/>
      <c r="AL41" s="20"/>
      <c r="AM41" s="21"/>
      <c r="AN41" s="21"/>
      <c r="AO41" s="20"/>
      <c r="AP41" s="20"/>
      <c r="AQ41" s="20"/>
      <c r="AR41" s="20"/>
      <c r="AS41" s="20"/>
      <c r="AT41" s="20"/>
    </row>
    <row r="42" spans="5:54" ht="36">
      <c r="E42" s="4" t="e">
        <f>#REF!</f>
        <v>#REF!</v>
      </c>
      <c r="F42" s="1" t="e">
        <f>VLOOKUP(E42,#REF!,2,FALSE)</f>
        <v>#REF!</v>
      </c>
      <c r="G42" s="5" t="e">
        <f>VLOOKUP(E42,#REF!,5,FALSE)</f>
        <v>#REF!</v>
      </c>
      <c r="P42" s="1" t="str">
        <f t="array" ref="P42">IFERROR(INDEX(#REF!,MATCH(0,COUNTIF(VALID!$P$2:$P41,#REF!),0)),"")</f>
        <v/>
      </c>
      <c r="Q42" s="1" t="e">
        <f>IF(COUNTIFS(#REF!,VALID!$P42,#REF!,VALID!$N$2)=0,"",COUNTIFS(#REF!,VALID!$P42,#REF!,VALID!$N$2))</f>
        <v>#REF!</v>
      </c>
      <c r="R42" s="1" t="str">
        <f>IFERROR(VLOOKUP(P42,#REF!,2,FALSE),"")</f>
        <v/>
      </c>
      <c r="T42" s="8" t="s">
        <v>73</v>
      </c>
    </row>
    <row r="43" spans="5:54" ht="48">
      <c r="E43" s="4" t="e">
        <f>#REF!</f>
        <v>#REF!</v>
      </c>
      <c r="F43" s="1" t="e">
        <f>VLOOKUP(E43,#REF!,2,FALSE)</f>
        <v>#REF!</v>
      </c>
      <c r="G43" s="5" t="e">
        <f>VLOOKUP(E43,#REF!,5,FALSE)</f>
        <v>#REF!</v>
      </c>
      <c r="P43" s="1" t="str">
        <f t="array" ref="P43">IFERROR(INDEX(#REF!,MATCH(0,COUNTIF(VALID!$P$2:$P42,#REF!),0)),"")</f>
        <v/>
      </c>
      <c r="Q43" s="1" t="e">
        <f>IF(COUNTIFS(#REF!,VALID!$P43,#REF!,VALID!$N$2)=0,"",COUNTIFS(#REF!,VALID!$P43,#REF!,VALID!$N$2))</f>
        <v>#REF!</v>
      </c>
      <c r="R43" s="1" t="str">
        <f>IFERROR(VLOOKUP(P43,#REF!,2,FALSE),"")</f>
        <v/>
      </c>
      <c r="T43" s="8" t="s">
        <v>140</v>
      </c>
    </row>
    <row r="44" spans="5:54" ht="24">
      <c r="E44" s="4" t="e">
        <f>#REF!</f>
        <v>#REF!</v>
      </c>
      <c r="F44" s="1" t="e">
        <f>VLOOKUP(E44,#REF!,2,FALSE)</f>
        <v>#REF!</v>
      </c>
      <c r="G44" s="5" t="e">
        <f>VLOOKUP(E44,#REF!,5,FALSE)</f>
        <v>#REF!</v>
      </c>
      <c r="P44" s="1" t="str">
        <f t="array" ref="P44">IFERROR(INDEX(#REF!,MATCH(0,COUNTIF(VALID!$P$2:$P43,#REF!),0)),"")</f>
        <v/>
      </c>
      <c r="Q44" s="1" t="e">
        <f>IF(COUNTIFS(#REF!,VALID!$P44,#REF!,VALID!$N$2)=0,"",COUNTIFS(#REF!,VALID!$P44,#REF!,VALID!$N$2))</f>
        <v>#REF!</v>
      </c>
      <c r="R44" s="1" t="str">
        <f>IFERROR(VLOOKUP(P44,#REF!,2,FALSE),"")</f>
        <v/>
      </c>
      <c r="T44" s="8" t="s">
        <v>74</v>
      </c>
    </row>
    <row r="45" spans="5:54">
      <c r="E45" s="4" t="e">
        <f>#REF!</f>
        <v>#REF!</v>
      </c>
      <c r="F45" s="1" t="e">
        <f>VLOOKUP(E45,#REF!,2,FALSE)</f>
        <v>#REF!</v>
      </c>
      <c r="G45" s="5" t="e">
        <f>VLOOKUP(E45,#REF!,5,FALSE)</f>
        <v>#REF!</v>
      </c>
      <c r="P45" s="1" t="str">
        <f t="array" ref="P45">IFERROR(INDEX(#REF!,MATCH(0,COUNTIF(VALID!$P$2:$P44,#REF!),0)),"")</f>
        <v/>
      </c>
      <c r="Q45" s="1" t="e">
        <f>IF(COUNTIFS(#REF!,VALID!$P45,#REF!,VALID!$N$2)=0,"",COUNTIFS(#REF!,VALID!$P45,#REF!,VALID!$N$2))</f>
        <v>#REF!</v>
      </c>
      <c r="R45" s="1" t="str">
        <f>IFERROR(VLOOKUP(P45,#REF!,2,FALSE),"")</f>
        <v/>
      </c>
      <c r="T45" s="8" t="s">
        <v>66</v>
      </c>
    </row>
    <row r="46" spans="5:54">
      <c r="E46" s="4" t="e">
        <f>#REF!</f>
        <v>#REF!</v>
      </c>
      <c r="F46" s="1" t="e">
        <f>VLOOKUP(E46,#REF!,2,FALSE)</f>
        <v>#REF!</v>
      </c>
      <c r="G46" s="5" t="e">
        <f>VLOOKUP(E46,#REF!,5,FALSE)</f>
        <v>#REF!</v>
      </c>
      <c r="P46" s="1" t="str">
        <f t="array" ref="P46">IFERROR(INDEX(#REF!,MATCH(0,COUNTIF(VALID!$P$2:$P45,#REF!),0)),"")</f>
        <v/>
      </c>
      <c r="Q46" s="1" t="e">
        <f>IF(COUNTIFS(#REF!,VALID!$P46,#REF!,VALID!$N$2)=0,"",COUNTIFS(#REF!,VALID!$P46,#REF!,VALID!$N$2))</f>
        <v>#REF!</v>
      </c>
      <c r="R46" s="1" t="str">
        <f>IFERROR(VLOOKUP(P46,#REF!,2,FALSE),"")</f>
        <v/>
      </c>
      <c r="T46" s="8" t="s">
        <v>62</v>
      </c>
    </row>
    <row r="47" spans="5:54" ht="24">
      <c r="E47" s="4" t="e">
        <f>#REF!</f>
        <v>#REF!</v>
      </c>
      <c r="F47" s="1" t="e">
        <f>VLOOKUP(E47,#REF!,2,FALSE)</f>
        <v>#REF!</v>
      </c>
      <c r="G47" s="5" t="e">
        <f>VLOOKUP(E47,#REF!,5,FALSE)</f>
        <v>#REF!</v>
      </c>
      <c r="P47" s="1" t="str">
        <f t="array" ref="P47">IFERROR(INDEX(#REF!,MATCH(0,COUNTIF(VALID!$P$2:$P46,#REF!),0)),"")</f>
        <v/>
      </c>
      <c r="Q47" s="1" t="e">
        <f>IF(COUNTIFS(#REF!,VALID!$P47,#REF!,VALID!$N$2)=0,"",COUNTIFS(#REF!,VALID!$P47,#REF!,VALID!$N$2))</f>
        <v>#REF!</v>
      </c>
      <c r="R47" s="1" t="str">
        <f>IFERROR(VLOOKUP(P47,#REF!,2,FALSE),"")</f>
        <v/>
      </c>
      <c r="T47" s="8" t="s">
        <v>99</v>
      </c>
    </row>
    <row r="48" spans="5:54">
      <c r="E48" s="4" t="e">
        <f>#REF!</f>
        <v>#REF!</v>
      </c>
      <c r="F48" s="1" t="e">
        <f>VLOOKUP(E48,#REF!,2,FALSE)</f>
        <v>#REF!</v>
      </c>
      <c r="G48" s="5" t="e">
        <f>VLOOKUP(E48,#REF!,5,FALSE)</f>
        <v>#REF!</v>
      </c>
      <c r="P48" s="1" t="str">
        <f t="array" ref="P48">IFERROR(INDEX(#REF!,MATCH(0,COUNTIF(VALID!$P$2:$P47,#REF!),0)),"")</f>
        <v/>
      </c>
      <c r="Q48" s="1" t="e">
        <f>IF(COUNTIFS(#REF!,VALID!$P48,#REF!,VALID!$N$2)=0,"",COUNTIFS(#REF!,VALID!$P48,#REF!,VALID!$N$2))</f>
        <v>#REF!</v>
      </c>
      <c r="R48" s="1" t="str">
        <f>IFERROR(VLOOKUP(P48,#REF!,2,FALSE),"")</f>
        <v/>
      </c>
      <c r="T48" s="8" t="s">
        <v>100</v>
      </c>
    </row>
    <row r="49" spans="5:20" ht="24">
      <c r="E49" s="4" t="e">
        <f>#REF!</f>
        <v>#REF!</v>
      </c>
      <c r="F49" s="1" t="e">
        <f>VLOOKUP(E49,#REF!,2,FALSE)</f>
        <v>#REF!</v>
      </c>
      <c r="G49" s="5" t="e">
        <f>VLOOKUP(E49,#REF!,5,FALSE)</f>
        <v>#REF!</v>
      </c>
      <c r="P49" s="1" t="str">
        <f t="array" ref="P49">IFERROR(INDEX(#REF!,MATCH(0,COUNTIF(VALID!$P$2:$P48,#REF!),0)),"")</f>
        <v/>
      </c>
      <c r="Q49" s="1" t="e">
        <f>IF(COUNTIFS(#REF!,VALID!$P49,#REF!,VALID!$N$2)=0,"",COUNTIFS(#REF!,VALID!$P49,#REF!,VALID!$N$2))</f>
        <v>#REF!</v>
      </c>
      <c r="R49" s="1" t="str">
        <f>IFERROR(VLOOKUP(P49,#REF!,2,FALSE),"")</f>
        <v/>
      </c>
      <c r="T49" s="8" t="s">
        <v>101</v>
      </c>
    </row>
    <row r="50" spans="5:20" ht="36">
      <c r="E50" s="4" t="e">
        <f>#REF!</f>
        <v>#REF!</v>
      </c>
      <c r="F50" s="1" t="e">
        <f>VLOOKUP(E50,#REF!,2,FALSE)</f>
        <v>#REF!</v>
      </c>
      <c r="G50" s="5" t="e">
        <f>VLOOKUP(E50,#REF!,5,FALSE)</f>
        <v>#REF!</v>
      </c>
      <c r="P50" s="1" t="str">
        <f t="array" ref="P50">IFERROR(INDEX(#REF!,MATCH(0,COUNTIF(VALID!$P$2:$P49,#REF!),0)),"")</f>
        <v/>
      </c>
      <c r="Q50" s="1" t="e">
        <f>IF(COUNTIFS(#REF!,VALID!$P50,#REF!,VALID!$N$2)=0,"",COUNTIFS(#REF!,VALID!$P50,#REF!,VALID!$N$2))</f>
        <v>#REF!</v>
      </c>
      <c r="R50" s="1" t="str">
        <f>IFERROR(VLOOKUP(P50,#REF!,2,FALSE),"")</f>
        <v/>
      </c>
      <c r="T50" s="8" t="s">
        <v>102</v>
      </c>
    </row>
    <row r="51" spans="5:20" ht="24">
      <c r="E51" s="4" t="e">
        <f>#REF!</f>
        <v>#REF!</v>
      </c>
      <c r="F51" s="1" t="e">
        <f>VLOOKUP(E51,#REF!,2,FALSE)</f>
        <v>#REF!</v>
      </c>
      <c r="G51" s="5" t="e">
        <f>VLOOKUP(E51,#REF!,5,FALSE)</f>
        <v>#REF!</v>
      </c>
      <c r="P51" s="1" t="str">
        <f t="array" ref="P51">IFERROR(INDEX(#REF!,MATCH(0,COUNTIF(VALID!$P$2:$P50,#REF!),0)),"")</f>
        <v/>
      </c>
      <c r="Q51" s="1" t="e">
        <f>IF(COUNTIFS(#REF!,VALID!$P51,#REF!,VALID!$N$2)=0,"",COUNTIFS(#REF!,VALID!$P51,#REF!,VALID!$N$2))</f>
        <v>#REF!</v>
      </c>
      <c r="R51" s="1" t="str">
        <f>IFERROR(VLOOKUP(P51,#REF!,2,FALSE),"")</f>
        <v/>
      </c>
      <c r="T51" s="8" t="s">
        <v>103</v>
      </c>
    </row>
    <row r="52" spans="5:20" ht="24">
      <c r="E52" s="4" t="e">
        <f>#REF!</f>
        <v>#REF!</v>
      </c>
      <c r="F52" s="1" t="e">
        <f>VLOOKUP(E52,#REF!,2,FALSE)</f>
        <v>#REF!</v>
      </c>
      <c r="G52" s="5" t="e">
        <f>VLOOKUP(E52,#REF!,5,FALSE)</f>
        <v>#REF!</v>
      </c>
      <c r="P52" s="1" t="str">
        <f t="array" ref="P52">IFERROR(INDEX(#REF!,MATCH(0,COUNTIF(VALID!$P$2:$P51,#REF!),0)),"")</f>
        <v/>
      </c>
      <c r="Q52" s="1" t="e">
        <f>IF(COUNTIFS(#REF!,VALID!$P52,#REF!,VALID!$N$2)=0,"",COUNTIFS(#REF!,VALID!$P52,#REF!,VALID!$N$2))</f>
        <v>#REF!</v>
      </c>
      <c r="R52" s="1" t="str">
        <f>IFERROR(VLOOKUP(P52,#REF!,2,FALSE),"")</f>
        <v/>
      </c>
      <c r="T52" s="8" t="s">
        <v>104</v>
      </c>
    </row>
    <row r="53" spans="5:20">
      <c r="E53" s="4" t="e">
        <f>#REF!</f>
        <v>#REF!</v>
      </c>
      <c r="F53" s="1" t="e">
        <f>VLOOKUP(E53,#REF!,2,FALSE)</f>
        <v>#REF!</v>
      </c>
      <c r="G53" s="5" t="e">
        <f>VLOOKUP(E53,#REF!,5,FALSE)</f>
        <v>#REF!</v>
      </c>
      <c r="P53" s="1" t="str">
        <f t="array" ref="P53">IFERROR(INDEX(#REF!,MATCH(0,COUNTIF(VALID!$P$2:$P52,#REF!),0)),"")</f>
        <v/>
      </c>
      <c r="Q53" s="1" t="e">
        <f>IF(COUNTIFS(#REF!,VALID!$P53,#REF!,VALID!$N$2)=0,"",COUNTIFS(#REF!,VALID!$P53,#REF!,VALID!$N$2))</f>
        <v>#REF!</v>
      </c>
      <c r="R53" s="1" t="str">
        <f>IFERROR(VLOOKUP(P53,#REF!,2,FALSE),"")</f>
        <v/>
      </c>
      <c r="T53" s="8" t="s">
        <v>105</v>
      </c>
    </row>
    <row r="54" spans="5:20" ht="36">
      <c r="E54" s="4" t="e">
        <f>#REF!</f>
        <v>#REF!</v>
      </c>
      <c r="F54" s="1" t="e">
        <f>VLOOKUP(E54,#REF!,2,FALSE)</f>
        <v>#REF!</v>
      </c>
      <c r="G54" s="5" t="e">
        <f>VLOOKUP(E54,#REF!,5,FALSE)</f>
        <v>#REF!</v>
      </c>
      <c r="P54" s="1" t="str">
        <f t="array" ref="P54">IFERROR(INDEX(#REF!,MATCH(0,COUNTIF(VALID!$P$2:$P53,#REF!),0)),"")</f>
        <v/>
      </c>
      <c r="Q54" s="1" t="e">
        <f>IF(COUNTIFS(#REF!,VALID!$P54,#REF!,VALID!$N$2)=0,"",COUNTIFS(#REF!,VALID!$P54,#REF!,VALID!$N$2))</f>
        <v>#REF!</v>
      </c>
      <c r="R54" s="1" t="str">
        <f>IFERROR(VLOOKUP(P54,#REF!,2,FALSE),"")</f>
        <v/>
      </c>
      <c r="T54" s="8" t="s">
        <v>106</v>
      </c>
    </row>
    <row r="55" spans="5:20" ht="24">
      <c r="E55" s="4" t="e">
        <f>#REF!</f>
        <v>#REF!</v>
      </c>
      <c r="F55" s="1" t="e">
        <f>VLOOKUP(E55,#REF!,2,FALSE)</f>
        <v>#REF!</v>
      </c>
      <c r="G55" s="5" t="e">
        <f>VLOOKUP(E55,#REF!,5,FALSE)</f>
        <v>#REF!</v>
      </c>
      <c r="P55" s="1" t="str">
        <f t="array" ref="P55">IFERROR(INDEX(#REF!,MATCH(0,COUNTIF(VALID!$P$2:$P54,#REF!),0)),"")</f>
        <v/>
      </c>
      <c r="Q55" s="1" t="e">
        <f>IF(COUNTIFS(#REF!,VALID!$P55,#REF!,VALID!$N$2)=0,"",COUNTIFS(#REF!,VALID!$P55,#REF!,VALID!$N$2))</f>
        <v>#REF!</v>
      </c>
      <c r="R55" s="1" t="str">
        <f>IFERROR(VLOOKUP(P55,#REF!,2,FALSE),"")</f>
        <v/>
      </c>
      <c r="T55" s="8" t="s">
        <v>107</v>
      </c>
    </row>
    <row r="56" spans="5:20" ht="24">
      <c r="E56" s="4" t="e">
        <f>#REF!</f>
        <v>#REF!</v>
      </c>
      <c r="F56" s="1" t="e">
        <f>VLOOKUP(E56,#REF!,2,FALSE)</f>
        <v>#REF!</v>
      </c>
      <c r="G56" s="5" t="e">
        <f>VLOOKUP(E56,#REF!,5,FALSE)</f>
        <v>#REF!</v>
      </c>
      <c r="P56" s="1" t="str">
        <f t="array" ref="P56">IFERROR(INDEX(#REF!,MATCH(0,COUNTIF(VALID!$P$2:$P55,#REF!),0)),"")</f>
        <v/>
      </c>
      <c r="Q56" s="1" t="e">
        <f>IF(COUNTIFS(#REF!,VALID!$P56,#REF!,VALID!$N$2)=0,"",COUNTIFS(#REF!,VALID!$P56,#REF!,VALID!$N$2))</f>
        <v>#REF!</v>
      </c>
      <c r="R56" s="1" t="str">
        <f>IFERROR(VLOOKUP(P56,#REF!,2,FALSE),"")</f>
        <v/>
      </c>
      <c r="T56" s="8" t="s">
        <v>108</v>
      </c>
    </row>
    <row r="57" spans="5:20" ht="24">
      <c r="E57" s="4" t="e">
        <f>#REF!</f>
        <v>#REF!</v>
      </c>
      <c r="F57" s="1" t="e">
        <f>VLOOKUP(E57,#REF!,2,FALSE)</f>
        <v>#REF!</v>
      </c>
      <c r="G57" s="5" t="e">
        <f>VLOOKUP(E57,#REF!,5,FALSE)</f>
        <v>#REF!</v>
      </c>
      <c r="P57" s="1" t="str">
        <f t="array" ref="P57">IFERROR(INDEX(#REF!,MATCH(0,COUNTIF(VALID!$P$2:$P56,#REF!),0)),"")</f>
        <v/>
      </c>
      <c r="Q57" s="1" t="e">
        <f>IF(COUNTIFS(#REF!,VALID!$P57,#REF!,VALID!$N$2)=0,"",COUNTIFS(#REF!,VALID!$P57,#REF!,VALID!$N$2))</f>
        <v>#REF!</v>
      </c>
      <c r="R57" s="1" t="str">
        <f>IFERROR(VLOOKUP(P57,#REF!,2,FALSE),"")</f>
        <v/>
      </c>
      <c r="T57" s="8" t="s">
        <v>109</v>
      </c>
    </row>
    <row r="58" spans="5:20" ht="36">
      <c r="E58" s="4" t="e">
        <f>#REF!</f>
        <v>#REF!</v>
      </c>
      <c r="F58" s="1" t="e">
        <f>VLOOKUP(E58,#REF!,2,FALSE)</f>
        <v>#REF!</v>
      </c>
      <c r="G58" s="5" t="e">
        <f>VLOOKUP(E58,#REF!,5,FALSE)</f>
        <v>#REF!</v>
      </c>
      <c r="P58" s="1" t="str">
        <f t="array" ref="P58">IFERROR(INDEX(#REF!,MATCH(0,COUNTIF(VALID!$P$2:$P57,#REF!),0)),"")</f>
        <v/>
      </c>
      <c r="Q58" s="1" t="e">
        <f>IF(COUNTIFS(#REF!,VALID!$P58,#REF!,VALID!$N$2)=0,"",COUNTIFS(#REF!,VALID!$P58,#REF!,VALID!$N$2))</f>
        <v>#REF!</v>
      </c>
      <c r="R58" s="1" t="str">
        <f>IFERROR(VLOOKUP(P58,#REF!,2,FALSE),"")</f>
        <v/>
      </c>
      <c r="T58" s="8" t="s">
        <v>132</v>
      </c>
    </row>
    <row r="59" spans="5:20" ht="24">
      <c r="E59" s="4" t="e">
        <f>#REF!</f>
        <v>#REF!</v>
      </c>
      <c r="F59" s="1" t="e">
        <f>VLOOKUP(E59,#REF!,2,FALSE)</f>
        <v>#REF!</v>
      </c>
      <c r="G59" s="5" t="e">
        <f>VLOOKUP(E59,#REF!,5,FALSE)</f>
        <v>#REF!</v>
      </c>
      <c r="P59" s="1" t="str">
        <f t="array" ref="P59">IFERROR(INDEX(#REF!,MATCH(0,COUNTIF(VALID!$P$2:$P58,#REF!),0)),"")</f>
        <v/>
      </c>
      <c r="Q59" s="1" t="e">
        <f>IF(COUNTIFS(#REF!,VALID!$P59,#REF!,VALID!$N$2)=0,"",COUNTIFS(#REF!,VALID!$P59,#REF!,VALID!$N$2))</f>
        <v>#REF!</v>
      </c>
      <c r="R59" s="1" t="str">
        <f>IFERROR(VLOOKUP(P59,#REF!,2,FALSE),"")</f>
        <v/>
      </c>
      <c r="T59" s="8" t="s">
        <v>110</v>
      </c>
    </row>
    <row r="60" spans="5:20" ht="24">
      <c r="E60" s="4" t="e">
        <f>#REF!</f>
        <v>#REF!</v>
      </c>
      <c r="F60" s="1" t="e">
        <f>VLOOKUP(E60,#REF!,2,FALSE)</f>
        <v>#REF!</v>
      </c>
      <c r="G60" s="5" t="e">
        <f>VLOOKUP(E60,#REF!,5,FALSE)</f>
        <v>#REF!</v>
      </c>
      <c r="P60" s="1" t="str">
        <f t="array" ref="P60">IFERROR(INDEX(#REF!,MATCH(0,COUNTIF(VALID!$P$2:$P59,#REF!),0)),"")</f>
        <v/>
      </c>
      <c r="Q60" s="1" t="e">
        <f>IF(COUNTIFS(#REF!,VALID!$P60,#REF!,VALID!$N$2)=0,"",COUNTIFS(#REF!,VALID!$P60,#REF!,VALID!$N$2))</f>
        <v>#REF!</v>
      </c>
      <c r="R60" s="1" t="str">
        <f>IFERROR(VLOOKUP(P60,#REF!,2,FALSE),"")</f>
        <v/>
      </c>
      <c r="T60" s="8" t="s">
        <v>111</v>
      </c>
    </row>
    <row r="61" spans="5:20" ht="24">
      <c r="E61" s="4" t="e">
        <f>#REF!</f>
        <v>#REF!</v>
      </c>
      <c r="F61" s="1" t="e">
        <f>VLOOKUP(E61,#REF!,2,FALSE)</f>
        <v>#REF!</v>
      </c>
      <c r="G61" s="5" t="e">
        <f>VLOOKUP(E61,#REF!,5,FALSE)</f>
        <v>#REF!</v>
      </c>
      <c r="P61" s="1" t="str">
        <f t="array" ref="P61">IFERROR(INDEX(#REF!,MATCH(0,COUNTIF(VALID!$P$2:$P60,#REF!),0)),"")</f>
        <v/>
      </c>
      <c r="Q61" s="1" t="e">
        <f>IF(COUNTIFS(#REF!,VALID!$P61,#REF!,VALID!$N$2)=0,"",COUNTIFS(#REF!,VALID!$P61,#REF!,VALID!$N$2))</f>
        <v>#REF!</v>
      </c>
      <c r="R61" s="1" t="str">
        <f>IFERROR(VLOOKUP(P61,#REF!,2,FALSE),"")</f>
        <v/>
      </c>
      <c r="T61" s="8" t="s">
        <v>112</v>
      </c>
    </row>
    <row r="62" spans="5:20" ht="24">
      <c r="E62" s="4" t="e">
        <f>#REF!</f>
        <v>#REF!</v>
      </c>
      <c r="F62" s="1" t="e">
        <f>VLOOKUP(E62,#REF!,2,FALSE)</f>
        <v>#REF!</v>
      </c>
      <c r="G62" s="5" t="e">
        <f>VLOOKUP(E62,#REF!,5,FALSE)</f>
        <v>#REF!</v>
      </c>
      <c r="P62" s="1" t="str">
        <f t="array" ref="P62">IFERROR(INDEX(#REF!,MATCH(0,COUNTIF(VALID!$P$2:$P61,#REF!),0)),"")</f>
        <v/>
      </c>
      <c r="Q62" s="1" t="e">
        <f>IF(COUNTIFS(#REF!,VALID!$P62,#REF!,VALID!$N$2)=0,"",COUNTIFS(#REF!,VALID!$P62,#REF!,VALID!$N$2))</f>
        <v>#REF!</v>
      </c>
      <c r="R62" s="1" t="str">
        <f>IFERROR(VLOOKUP(P62,#REF!,2,FALSE),"")</f>
        <v/>
      </c>
      <c r="T62" s="8" t="s">
        <v>113</v>
      </c>
    </row>
    <row r="63" spans="5:20" ht="36">
      <c r="E63" s="4" t="e">
        <f>#REF!</f>
        <v>#REF!</v>
      </c>
      <c r="F63" s="1" t="e">
        <f>VLOOKUP(E63,#REF!,2,FALSE)</f>
        <v>#REF!</v>
      </c>
      <c r="G63" s="5" t="e">
        <f>VLOOKUP(E63,#REF!,5,FALSE)</f>
        <v>#REF!</v>
      </c>
      <c r="P63" s="1" t="str">
        <f t="array" ref="P63">IFERROR(INDEX(#REF!,MATCH(0,COUNTIF(VALID!$P$2:$P62,#REF!),0)),"")</f>
        <v/>
      </c>
      <c r="Q63" s="1" t="e">
        <f>IF(COUNTIFS(#REF!,VALID!$P63,#REF!,VALID!$N$2)=0,"",COUNTIFS(#REF!,VALID!$P63,#REF!,VALID!$N$2))</f>
        <v>#REF!</v>
      </c>
      <c r="R63" s="1" t="str">
        <f>IFERROR(VLOOKUP(P63,#REF!,2,FALSE),"")</f>
        <v/>
      </c>
      <c r="T63" s="8" t="s">
        <v>114</v>
      </c>
    </row>
    <row r="64" spans="5:20" ht="48">
      <c r="E64" s="4" t="e">
        <f>#REF!</f>
        <v>#REF!</v>
      </c>
      <c r="F64" s="1" t="e">
        <f>VLOOKUP(E64,#REF!,2,FALSE)</f>
        <v>#REF!</v>
      </c>
      <c r="G64" s="5" t="e">
        <f>VLOOKUP(E64,#REF!,5,FALSE)</f>
        <v>#REF!</v>
      </c>
      <c r="P64" s="1" t="str">
        <f t="array" ref="P64">IFERROR(INDEX(#REF!,MATCH(0,COUNTIF(VALID!$P$2:$P63,#REF!),0)),"")</f>
        <v/>
      </c>
      <c r="Q64" s="1" t="e">
        <f>IF(COUNTIFS(#REF!,VALID!$P64,#REF!,VALID!$N$2)=0,"",COUNTIFS(#REF!,VALID!$P64,#REF!,VALID!$N$2))</f>
        <v>#REF!</v>
      </c>
      <c r="R64" s="1" t="str">
        <f>IFERROR(VLOOKUP(P64,#REF!,2,FALSE),"")</f>
        <v/>
      </c>
      <c r="T64" s="8" t="s">
        <v>115</v>
      </c>
    </row>
    <row r="65" spans="5:20" ht="36">
      <c r="E65" s="4" t="e">
        <f>#REF!</f>
        <v>#REF!</v>
      </c>
      <c r="F65" s="1" t="e">
        <f>VLOOKUP(E65,#REF!,2,FALSE)</f>
        <v>#REF!</v>
      </c>
      <c r="G65" s="5" t="e">
        <f>VLOOKUP(E65,#REF!,5,FALSE)</f>
        <v>#REF!</v>
      </c>
      <c r="P65" s="1" t="str">
        <f t="array" ref="P65">IFERROR(INDEX(#REF!,MATCH(0,COUNTIF(VALID!$P$2:$P64,#REF!),0)),"")</f>
        <v/>
      </c>
      <c r="Q65" s="1" t="e">
        <f>IF(COUNTIFS(#REF!,VALID!$P65,#REF!,VALID!$N$2)=0,"",COUNTIFS(#REF!,VALID!$P65,#REF!,VALID!$N$2))</f>
        <v>#REF!</v>
      </c>
      <c r="R65" s="1" t="str">
        <f>IFERROR(VLOOKUP(P65,#REF!,2,FALSE),"")</f>
        <v/>
      </c>
      <c r="T65" s="8" t="s">
        <v>116</v>
      </c>
    </row>
    <row r="66" spans="5:20" ht="48">
      <c r="E66" s="4" t="e">
        <f>#REF!</f>
        <v>#REF!</v>
      </c>
      <c r="F66" s="1" t="e">
        <f>VLOOKUP(E66,#REF!,2,FALSE)</f>
        <v>#REF!</v>
      </c>
      <c r="G66" s="5" t="e">
        <f>VLOOKUP(E66,#REF!,5,FALSE)</f>
        <v>#REF!</v>
      </c>
      <c r="P66" s="1" t="str">
        <f t="array" ref="P66">IFERROR(INDEX(#REF!,MATCH(0,COUNTIF(VALID!$P$2:$P65,#REF!),0)),"")</f>
        <v/>
      </c>
      <c r="Q66" s="1" t="e">
        <f>IF(COUNTIFS(#REF!,VALID!$P66,#REF!,VALID!$N$2)=0,"",COUNTIFS(#REF!,VALID!$P66,#REF!,VALID!$N$2))</f>
        <v>#REF!</v>
      </c>
      <c r="R66" s="1" t="str">
        <f>IFERROR(VLOOKUP(P66,#REF!,2,FALSE),"")</f>
        <v/>
      </c>
      <c r="T66" s="8" t="s">
        <v>117</v>
      </c>
    </row>
    <row r="67" spans="5:20" ht="48">
      <c r="E67" s="4" t="e">
        <f>#REF!</f>
        <v>#REF!</v>
      </c>
      <c r="F67" s="1" t="e">
        <f>VLOOKUP(E67,#REF!,2,FALSE)</f>
        <v>#REF!</v>
      </c>
      <c r="G67" s="5" t="e">
        <f>VLOOKUP(E67,#REF!,5,FALSE)</f>
        <v>#REF!</v>
      </c>
      <c r="P67" s="1" t="str">
        <f t="array" ref="P67">IFERROR(INDEX(#REF!,MATCH(0,COUNTIF(VALID!$P$2:$P66,#REF!),0)),"")</f>
        <v/>
      </c>
      <c r="Q67" s="1" t="e">
        <f>IF(COUNTIFS(#REF!,VALID!$P67,#REF!,VALID!$N$2)=0,"",COUNTIFS(#REF!,VALID!$P67,#REF!,VALID!$N$2))</f>
        <v>#REF!</v>
      </c>
      <c r="R67" s="1" t="str">
        <f>IFERROR(VLOOKUP(P67,#REF!,2,FALSE),"")</f>
        <v/>
      </c>
      <c r="T67" s="8" t="s">
        <v>118</v>
      </c>
    </row>
    <row r="68" spans="5:20">
      <c r="E68" s="4" t="e">
        <f>#REF!</f>
        <v>#REF!</v>
      </c>
      <c r="F68" s="1" t="e">
        <f>VLOOKUP(E68,#REF!,2,FALSE)</f>
        <v>#REF!</v>
      </c>
      <c r="G68" s="5" t="e">
        <f>VLOOKUP(E68,#REF!,5,FALSE)</f>
        <v>#REF!</v>
      </c>
      <c r="P68" s="1" t="str">
        <f t="array" ref="P68">IFERROR(INDEX(#REF!,MATCH(0,COUNTIF(VALID!$P$2:$P67,#REF!),0)),"")</f>
        <v/>
      </c>
      <c r="Q68" s="1" t="e">
        <f>IF(COUNTIFS(#REF!,VALID!$P68,#REF!,VALID!$N$2)=0,"",COUNTIFS(#REF!,VALID!$P68,#REF!,VALID!$N$2))</f>
        <v>#REF!</v>
      </c>
      <c r="R68" s="1" t="str">
        <f>IFERROR(VLOOKUP(P68,#REF!,2,FALSE),"")</f>
        <v/>
      </c>
      <c r="T68" s="8" t="s">
        <v>119</v>
      </c>
    </row>
    <row r="69" spans="5:20">
      <c r="E69" s="4" t="e">
        <f>#REF!</f>
        <v>#REF!</v>
      </c>
      <c r="F69" s="1" t="e">
        <f>VLOOKUP(E69,#REF!,2,FALSE)</f>
        <v>#REF!</v>
      </c>
      <c r="G69" s="5" t="e">
        <f>VLOOKUP(E69,#REF!,5,FALSE)</f>
        <v>#REF!</v>
      </c>
      <c r="P69" s="1" t="str">
        <f t="array" ref="P69">IFERROR(INDEX(#REF!,MATCH(0,COUNTIF(VALID!$P$2:$P68,#REF!),0)),"")</f>
        <v/>
      </c>
      <c r="Q69" s="1" t="e">
        <f>IF(COUNTIFS(#REF!,VALID!$P69,#REF!,VALID!$N$2)=0,"",COUNTIFS(#REF!,VALID!$P69,#REF!,VALID!$N$2))</f>
        <v>#REF!</v>
      </c>
      <c r="R69" s="1" t="str">
        <f>IFERROR(VLOOKUP(P69,#REF!,2,FALSE),"")</f>
        <v/>
      </c>
      <c r="T69" s="8" t="s">
        <v>75</v>
      </c>
    </row>
    <row r="70" spans="5:20" ht="36">
      <c r="E70" s="4" t="e">
        <f>#REF!</f>
        <v>#REF!</v>
      </c>
      <c r="F70" s="1" t="e">
        <f>VLOOKUP(E70,#REF!,2,FALSE)</f>
        <v>#REF!</v>
      </c>
      <c r="G70" s="5" t="e">
        <f>VLOOKUP(E70,#REF!,5,FALSE)</f>
        <v>#REF!</v>
      </c>
      <c r="P70" s="1" t="str">
        <f t="array" ref="P70">IFERROR(INDEX(#REF!,MATCH(0,COUNTIF(VALID!$P$2:$P69,#REF!),0)),"")</f>
        <v/>
      </c>
      <c r="Q70" s="1" t="e">
        <f>IF(COUNTIFS(#REF!,VALID!$P70,#REF!,VALID!$N$2)=0,"",COUNTIFS(#REF!,VALID!$P70,#REF!,VALID!$N$2))</f>
        <v>#REF!</v>
      </c>
      <c r="R70" s="1" t="str">
        <f>IFERROR(VLOOKUP(P70,#REF!,2,FALSE),"")</f>
        <v/>
      </c>
      <c r="T70" s="8" t="s">
        <v>76</v>
      </c>
    </row>
    <row r="71" spans="5:20" ht="24">
      <c r="E71" s="4" t="e">
        <f>#REF!</f>
        <v>#REF!</v>
      </c>
      <c r="F71" s="1" t="e">
        <f>VLOOKUP(E71,#REF!,2,FALSE)</f>
        <v>#REF!</v>
      </c>
      <c r="G71" s="5" t="e">
        <f>VLOOKUP(E71,#REF!,5,FALSE)</f>
        <v>#REF!</v>
      </c>
      <c r="P71" s="1" t="str">
        <f t="array" ref="P71">IFERROR(INDEX(#REF!,MATCH(0,COUNTIF(VALID!$P$2:$P70,#REF!),0)),"")</f>
        <v/>
      </c>
      <c r="Q71" s="1" t="e">
        <f>IF(COUNTIFS(#REF!,VALID!$P71,#REF!,VALID!$N$2)=0,"",COUNTIFS(#REF!,VALID!$P71,#REF!,VALID!$N$2))</f>
        <v>#REF!</v>
      </c>
      <c r="R71" s="1" t="str">
        <f>IFERROR(VLOOKUP(P71,#REF!,2,FALSE),"")</f>
        <v/>
      </c>
      <c r="T71" s="8" t="s">
        <v>133</v>
      </c>
    </row>
    <row r="72" spans="5:20" ht="24">
      <c r="E72" s="4" t="e">
        <f>#REF!</f>
        <v>#REF!</v>
      </c>
      <c r="F72" s="1" t="e">
        <f>VLOOKUP(E72,#REF!,2,FALSE)</f>
        <v>#REF!</v>
      </c>
      <c r="G72" s="5" t="e">
        <f>VLOOKUP(E72,#REF!,5,FALSE)</f>
        <v>#REF!</v>
      </c>
      <c r="P72" s="1" t="str">
        <f t="array" ref="P72">IFERROR(INDEX(#REF!,MATCH(0,COUNTIF(VALID!$P$2:$P71,#REF!),0)),"")</f>
        <v/>
      </c>
      <c r="Q72" s="1" t="e">
        <f>IF(COUNTIFS(#REF!,VALID!$P72,#REF!,VALID!$N$2)=0,"",COUNTIFS(#REF!,VALID!$P72,#REF!,VALID!$N$2))</f>
        <v>#REF!</v>
      </c>
      <c r="R72" s="1" t="str">
        <f>IFERROR(VLOOKUP(P72,#REF!,2,FALSE),"")</f>
        <v/>
      </c>
      <c r="T72" s="8" t="s">
        <v>67</v>
      </c>
    </row>
    <row r="73" spans="5:20">
      <c r="E73" s="4" t="e">
        <f>#REF!</f>
        <v>#REF!</v>
      </c>
      <c r="F73" s="1" t="e">
        <f>VLOOKUP(E73,#REF!,2,FALSE)</f>
        <v>#REF!</v>
      </c>
      <c r="G73" s="5" t="e">
        <f>VLOOKUP(E73,#REF!,5,FALSE)</f>
        <v>#REF!</v>
      </c>
      <c r="P73" s="1" t="str">
        <f t="array" ref="P73">IFERROR(INDEX(#REF!,MATCH(0,COUNTIF(VALID!$P$2:$P72,#REF!),0)),"")</f>
        <v/>
      </c>
      <c r="Q73" s="1" t="e">
        <f>IF(COUNTIFS(#REF!,VALID!$P73,#REF!,VALID!$N$2)=0,"",COUNTIFS(#REF!,VALID!$P73,#REF!,VALID!$N$2))</f>
        <v>#REF!</v>
      </c>
      <c r="R73" s="1" t="str">
        <f>IFERROR(VLOOKUP(P73,#REF!,2,FALSE),"")</f>
        <v/>
      </c>
      <c r="T73" s="8" t="s">
        <v>68</v>
      </c>
    </row>
    <row r="74" spans="5:20" ht="24">
      <c r="E74" s="4" t="e">
        <f>#REF!</f>
        <v>#REF!</v>
      </c>
      <c r="F74" s="1" t="e">
        <f>VLOOKUP(E74,#REF!,2,FALSE)</f>
        <v>#REF!</v>
      </c>
      <c r="G74" s="5" t="e">
        <f>VLOOKUP(E74,#REF!,5,FALSE)</f>
        <v>#REF!</v>
      </c>
      <c r="P74" s="1" t="str">
        <f t="array" ref="P74">IFERROR(INDEX(#REF!,MATCH(0,COUNTIF(VALID!$P$2:$P73,#REF!),0)),"")</f>
        <v/>
      </c>
      <c r="Q74" s="1" t="e">
        <f>IF(COUNTIFS(#REF!,VALID!$P74,#REF!,VALID!$N$2)=0,"",COUNTIFS(#REF!,VALID!$P74,#REF!,VALID!$N$2))</f>
        <v>#REF!</v>
      </c>
      <c r="R74" s="1" t="str">
        <f>IFERROR(VLOOKUP(P74,#REF!,2,FALSE),"")</f>
        <v/>
      </c>
      <c r="T74" s="8" t="s">
        <v>77</v>
      </c>
    </row>
    <row r="75" spans="5:20">
      <c r="E75" s="4" t="e">
        <f>#REF!</f>
        <v>#REF!</v>
      </c>
      <c r="F75" s="1" t="e">
        <f>VLOOKUP(E75,#REF!,2,FALSE)</f>
        <v>#REF!</v>
      </c>
      <c r="G75" s="5" t="e">
        <f>VLOOKUP(E75,#REF!,5,FALSE)</f>
        <v>#REF!</v>
      </c>
      <c r="P75" s="1" t="str">
        <f t="array" ref="P75">IFERROR(INDEX(#REF!,MATCH(0,COUNTIF(VALID!$P$2:$P74,#REF!),0)),"")</f>
        <v/>
      </c>
      <c r="Q75" s="1" t="e">
        <f>IF(COUNTIFS(#REF!,VALID!$P75,#REF!,VALID!$N$2)=0,"",COUNTIFS(#REF!,VALID!$P75,#REF!,VALID!$N$2))</f>
        <v>#REF!</v>
      </c>
      <c r="R75" s="1" t="str">
        <f>IFERROR(VLOOKUP(P75,#REF!,2,FALSE),"")</f>
        <v/>
      </c>
      <c r="T75" s="8" t="s">
        <v>63</v>
      </c>
    </row>
    <row r="76" spans="5:20" ht="48">
      <c r="E76" s="4" t="e">
        <f>#REF!</f>
        <v>#REF!</v>
      </c>
      <c r="F76" s="1" t="e">
        <f>VLOOKUP(E76,#REF!,2,FALSE)</f>
        <v>#REF!</v>
      </c>
      <c r="G76" s="5" t="e">
        <f>VLOOKUP(E76,#REF!,5,FALSE)</f>
        <v>#REF!</v>
      </c>
      <c r="P76" s="1" t="str">
        <f t="array" ref="P76">IFERROR(INDEX(#REF!,MATCH(0,COUNTIF(VALID!$P$2:$P75,#REF!),0)),"")</f>
        <v/>
      </c>
      <c r="Q76" s="1" t="e">
        <f>IF(COUNTIFS(#REF!,VALID!$P76,#REF!,VALID!$N$2)=0,"",COUNTIFS(#REF!,VALID!$P76,#REF!,VALID!$N$2))</f>
        <v>#REF!</v>
      </c>
      <c r="R76" s="1" t="str">
        <f>IFERROR(VLOOKUP(P76,#REF!,2,FALSE),"")</f>
        <v/>
      </c>
      <c r="T76" s="8" t="s">
        <v>120</v>
      </c>
    </row>
    <row r="77" spans="5:20">
      <c r="E77" s="4" t="e">
        <f>#REF!</f>
        <v>#REF!</v>
      </c>
      <c r="F77" s="1" t="e">
        <f>VLOOKUP(E77,#REF!,2,FALSE)</f>
        <v>#REF!</v>
      </c>
      <c r="G77" s="5" t="e">
        <f>VLOOKUP(E77,#REF!,5,FALSE)</f>
        <v>#REF!</v>
      </c>
      <c r="Q77" s="1" t="e">
        <f>IF(COUNTIFS(#REF!,VALID!$P77,#REF!,VALID!$N$2)=0,"",COUNTIFS(#REF!,VALID!$P77,#REF!,VALID!$N$2))</f>
        <v>#REF!</v>
      </c>
      <c r="R77" s="1" t="str">
        <f>IFERROR(VLOOKUP(P77,#REF!,2,FALSE),"")</f>
        <v/>
      </c>
      <c r="T77" s="8" t="s">
        <v>69</v>
      </c>
    </row>
    <row r="78" spans="5:20" ht="48">
      <c r="E78" s="4" t="e">
        <f>#REF!</f>
        <v>#REF!</v>
      </c>
      <c r="F78" s="1" t="e">
        <f>VLOOKUP(E78,#REF!,2,FALSE)</f>
        <v>#REF!</v>
      </c>
      <c r="G78" s="5" t="e">
        <f>VLOOKUP(E78,#REF!,5,FALSE)</f>
        <v>#REF!</v>
      </c>
      <c r="Q78" s="1" t="e">
        <f>IF(COUNTIFS(#REF!,VALID!$P78,#REF!,VALID!$N$2)=0,"",COUNTIFS(#REF!,VALID!$P78,#REF!,VALID!$N$2))</f>
        <v>#REF!</v>
      </c>
      <c r="R78" s="1" t="str">
        <f>IFERROR(VLOOKUP(P78,#REF!,2,FALSE),"")</f>
        <v/>
      </c>
      <c r="T78" s="8" t="s">
        <v>78</v>
      </c>
    </row>
    <row r="79" spans="5:20" ht="24">
      <c r="E79" s="4" t="e">
        <f>#REF!</f>
        <v>#REF!</v>
      </c>
      <c r="F79" s="1" t="e">
        <f>VLOOKUP(E79,#REF!,2,FALSE)</f>
        <v>#REF!</v>
      </c>
      <c r="G79" s="5" t="e">
        <f>VLOOKUP(E79,#REF!,5,FALSE)</f>
        <v>#REF!</v>
      </c>
      <c r="Q79" s="1" t="e">
        <f>IF(COUNTIFS(#REF!,VALID!$P79,#REF!,VALID!$N$2)=0,"",COUNTIFS(#REF!,VALID!$P79,#REF!,VALID!$N$2))</f>
        <v>#REF!</v>
      </c>
      <c r="R79" s="1" t="str">
        <f>IFERROR(VLOOKUP(P79,#REF!,2,FALSE),"")</f>
        <v/>
      </c>
      <c r="T79" s="8" t="s">
        <v>64</v>
      </c>
    </row>
    <row r="80" spans="5:20">
      <c r="E80" s="4" t="e">
        <f>#REF!</f>
        <v>#REF!</v>
      </c>
      <c r="F80" s="1" t="e">
        <f>VLOOKUP(E80,#REF!,2,FALSE)</f>
        <v>#REF!</v>
      </c>
      <c r="G80" s="5" t="e">
        <f>VLOOKUP(E80,#REF!,5,FALSE)</f>
        <v>#REF!</v>
      </c>
      <c r="Q80" s="1" t="e">
        <f>IF(COUNTIFS(#REF!,VALID!$P80,#REF!,VALID!$N$2)=0,"",COUNTIFS(#REF!,VALID!$P80,#REF!,VALID!$N$2))</f>
        <v>#REF!</v>
      </c>
      <c r="R80" s="1" t="str">
        <f>IFERROR(VLOOKUP(P80,#REF!,2,FALSE),"")</f>
        <v/>
      </c>
      <c r="T80" s="8" t="s">
        <v>121</v>
      </c>
    </row>
    <row r="81" spans="5:20">
      <c r="E81" s="4" t="e">
        <f>#REF!</f>
        <v>#REF!</v>
      </c>
      <c r="F81" s="1" t="e">
        <f>VLOOKUP(E81,#REF!,2,FALSE)</f>
        <v>#REF!</v>
      </c>
      <c r="G81" s="5" t="e">
        <f>VLOOKUP(E81,#REF!,5,FALSE)</f>
        <v>#REF!</v>
      </c>
      <c r="Q81" s="1" t="e">
        <f>IF(COUNTIFS(#REF!,VALID!$P81,#REF!,VALID!$N$2)=0,"",COUNTIFS(#REF!,VALID!$P81,#REF!,VALID!$N$2))</f>
        <v>#REF!</v>
      </c>
      <c r="R81" s="1" t="str">
        <f>IFERROR(VLOOKUP(P81,#REF!,2,FALSE),"")</f>
        <v/>
      </c>
      <c r="T81" s="8" t="s">
        <v>122</v>
      </c>
    </row>
    <row r="82" spans="5:20" ht="24">
      <c r="E82" s="4" t="e">
        <f>#REF!</f>
        <v>#REF!</v>
      </c>
      <c r="F82" s="1" t="e">
        <f>VLOOKUP(E82,#REF!,2,FALSE)</f>
        <v>#REF!</v>
      </c>
      <c r="G82" s="5" t="e">
        <f>VLOOKUP(E82,#REF!,5,FALSE)</f>
        <v>#REF!</v>
      </c>
      <c r="Q82" s="1" t="e">
        <f>IF(COUNTIFS(#REF!,VALID!$P82,#REF!,VALID!$N$2)=0,"",COUNTIFS(#REF!,VALID!$P82,#REF!,VALID!$N$2))</f>
        <v>#REF!</v>
      </c>
      <c r="R82" s="1" t="str">
        <f>IFERROR(VLOOKUP(P82,#REF!,2,FALSE),"")</f>
        <v/>
      </c>
      <c r="T82" s="8" t="s">
        <v>79</v>
      </c>
    </row>
    <row r="83" spans="5:20" ht="36">
      <c r="E83" s="4" t="e">
        <f>#REF!</f>
        <v>#REF!</v>
      </c>
      <c r="F83" s="1" t="e">
        <f>VLOOKUP(E83,#REF!,2,FALSE)</f>
        <v>#REF!</v>
      </c>
      <c r="G83" s="5" t="e">
        <f>VLOOKUP(E83,#REF!,5,FALSE)</f>
        <v>#REF!</v>
      </c>
      <c r="Q83" s="1" t="e">
        <f>IF(COUNTIFS(#REF!,VALID!$P83,#REF!,VALID!$N$2)=0,"",COUNTIFS(#REF!,VALID!$P83,#REF!,VALID!$N$2))</f>
        <v>#REF!</v>
      </c>
      <c r="R83" s="1" t="str">
        <f>IFERROR(VLOOKUP(P83,#REF!,2,FALSE),"")</f>
        <v/>
      </c>
      <c r="T83" s="8" t="s">
        <v>134</v>
      </c>
    </row>
    <row r="84" spans="5:20" ht="36">
      <c r="E84" s="4" t="e">
        <f>#REF!</f>
        <v>#REF!</v>
      </c>
      <c r="F84" s="1" t="e">
        <f>VLOOKUP(E84,#REF!,2,FALSE)</f>
        <v>#REF!</v>
      </c>
      <c r="G84" s="5" t="e">
        <f>VLOOKUP(E84,#REF!,5,FALSE)</f>
        <v>#REF!</v>
      </c>
      <c r="Q84" s="1" t="e">
        <f>IF(COUNTIFS(#REF!,VALID!$P84,#REF!,VALID!$N$2)=0,"",COUNTIFS(#REF!,VALID!$P84,#REF!,VALID!$N$2))</f>
        <v>#REF!</v>
      </c>
      <c r="R84" s="1" t="str">
        <f>IFERROR(VLOOKUP(P84,#REF!,2,FALSE),"")</f>
        <v/>
      </c>
      <c r="T84" s="8" t="s">
        <v>135</v>
      </c>
    </row>
    <row r="85" spans="5:20" ht="24">
      <c r="E85" s="4" t="e">
        <f>#REF!</f>
        <v>#REF!</v>
      </c>
      <c r="F85" s="1" t="e">
        <f>VLOOKUP(E85,#REF!,2,FALSE)</f>
        <v>#REF!</v>
      </c>
      <c r="G85" s="5" t="e">
        <f>VLOOKUP(E85,#REF!,5,FALSE)</f>
        <v>#REF!</v>
      </c>
      <c r="Q85" s="1" t="e">
        <f>IF(COUNTIFS(#REF!,VALID!$P85,#REF!,VALID!$N$2)=0,"",COUNTIFS(#REF!,VALID!$P85,#REF!,VALID!$N$2))</f>
        <v>#REF!</v>
      </c>
      <c r="R85" s="1" t="str">
        <f>IFERROR(VLOOKUP(P85,#REF!,2,FALSE),"")</f>
        <v/>
      </c>
      <c r="T85" s="8" t="s">
        <v>123</v>
      </c>
    </row>
    <row r="86" spans="5:20" ht="24">
      <c r="E86" s="4" t="e">
        <f>#REF!</f>
        <v>#REF!</v>
      </c>
      <c r="F86" s="1" t="e">
        <f>VLOOKUP(E86,#REF!,2,FALSE)</f>
        <v>#REF!</v>
      </c>
      <c r="G86" s="5" t="e">
        <f>VLOOKUP(E86,#REF!,5,FALSE)</f>
        <v>#REF!</v>
      </c>
      <c r="Q86" s="1" t="e">
        <f>IF(COUNTIFS(#REF!,VALID!$P86,#REF!,VALID!$N$2)=0,"",COUNTIFS(#REF!,VALID!$P86,#REF!,VALID!$N$2))</f>
        <v>#REF!</v>
      </c>
      <c r="R86" s="1" t="str">
        <f>IFERROR(VLOOKUP(P86,#REF!,2,FALSE),"")</f>
        <v/>
      </c>
      <c r="T86" s="8" t="s">
        <v>80</v>
      </c>
    </row>
    <row r="87" spans="5:20" ht="24">
      <c r="E87" s="4" t="e">
        <f>#REF!</f>
        <v>#REF!</v>
      </c>
      <c r="F87" s="1" t="e">
        <f>VLOOKUP(E87,#REF!,2,FALSE)</f>
        <v>#REF!</v>
      </c>
      <c r="G87" s="5" t="e">
        <f>VLOOKUP(E87,#REF!,5,FALSE)</f>
        <v>#REF!</v>
      </c>
      <c r="Q87" s="1" t="e">
        <f>IF(COUNTIFS(#REF!,VALID!$P87,#REF!,VALID!$N$2)=0,"",COUNTIFS(#REF!,VALID!$P87,#REF!,VALID!$N$2))</f>
        <v>#REF!</v>
      </c>
      <c r="R87" s="1" t="str">
        <f>IFERROR(VLOOKUP(P87,#REF!,2,FALSE),"")</f>
        <v/>
      </c>
      <c r="T87" s="8" t="s">
        <v>65</v>
      </c>
    </row>
    <row r="88" spans="5:20" ht="36">
      <c r="E88" s="4" t="e">
        <f>#REF!</f>
        <v>#REF!</v>
      </c>
      <c r="F88" s="1" t="e">
        <f>VLOOKUP(E88,#REF!,2,FALSE)</f>
        <v>#REF!</v>
      </c>
      <c r="G88" s="5" t="e">
        <f>VLOOKUP(E88,#REF!,5,FALSE)</f>
        <v>#REF!</v>
      </c>
      <c r="Q88" s="1" t="e">
        <f>IF(COUNTIFS(#REF!,VALID!$P88,#REF!,VALID!$N$2)=0,"",COUNTIFS(#REF!,VALID!$P88,#REF!,VALID!$N$2))</f>
        <v>#REF!</v>
      </c>
      <c r="R88" s="1" t="str">
        <f>IFERROR(VLOOKUP(P88,#REF!,2,FALSE),"")</f>
        <v/>
      </c>
      <c r="T88" s="8" t="s">
        <v>81</v>
      </c>
    </row>
    <row r="89" spans="5:20" ht="48">
      <c r="E89" s="4" t="e">
        <f>#REF!</f>
        <v>#REF!</v>
      </c>
      <c r="F89" s="1" t="e">
        <f>VLOOKUP(E89,#REF!,2,FALSE)</f>
        <v>#REF!</v>
      </c>
      <c r="G89" s="5" t="e">
        <f>VLOOKUP(E89,#REF!,5,FALSE)</f>
        <v>#REF!</v>
      </c>
      <c r="Q89" s="1" t="e">
        <f>IF(COUNTIFS(#REF!,VALID!$P89,#REF!,VALID!$N$2)=0,"",COUNTIFS(#REF!,VALID!$P89,#REF!,VALID!$N$2))</f>
        <v>#REF!</v>
      </c>
      <c r="R89" s="1" t="str">
        <f>IFERROR(VLOOKUP(P89,#REF!,2,FALSE),"")</f>
        <v/>
      </c>
      <c r="T89" s="8" t="s">
        <v>82</v>
      </c>
    </row>
    <row r="90" spans="5:20" ht="24">
      <c r="E90" s="4" t="e">
        <f>#REF!</f>
        <v>#REF!</v>
      </c>
      <c r="F90" s="1" t="e">
        <f>VLOOKUP(E90,#REF!,2,FALSE)</f>
        <v>#REF!</v>
      </c>
      <c r="G90" s="5" t="e">
        <f>VLOOKUP(E90,#REF!,5,FALSE)</f>
        <v>#REF!</v>
      </c>
      <c r="Q90" s="1" t="e">
        <f>IF(COUNTIFS(#REF!,VALID!$P90,#REF!,VALID!$N$2)=0,"",COUNTIFS(#REF!,VALID!$P90,#REF!,VALID!$N$2))</f>
        <v>#REF!</v>
      </c>
      <c r="R90" s="1" t="str">
        <f>IFERROR(VLOOKUP(P90,#REF!,2,FALSE),"")</f>
        <v/>
      </c>
      <c r="T90" s="8" t="s">
        <v>136</v>
      </c>
    </row>
    <row r="91" spans="5:20" ht="24">
      <c r="E91" s="4" t="e">
        <f>#REF!</f>
        <v>#REF!</v>
      </c>
      <c r="F91" s="1" t="e">
        <f>VLOOKUP(E91,#REF!,2,FALSE)</f>
        <v>#REF!</v>
      </c>
      <c r="G91" s="5" t="e">
        <f>VLOOKUP(E91,#REF!,5,FALSE)</f>
        <v>#REF!</v>
      </c>
      <c r="Q91" s="1" t="e">
        <f>IF(COUNTIFS(#REF!,VALID!$P91,#REF!,VALID!$N$2)=0,"",COUNTIFS(#REF!,VALID!$P91,#REF!,VALID!$N$2))</f>
        <v>#REF!</v>
      </c>
      <c r="R91" s="1" t="str">
        <f>IFERROR(VLOOKUP(P91,#REF!,2,FALSE),"")</f>
        <v/>
      </c>
      <c r="T91" s="8" t="s">
        <v>137</v>
      </c>
    </row>
    <row r="92" spans="5:20" ht="36">
      <c r="E92" s="4" t="e">
        <f>#REF!</f>
        <v>#REF!</v>
      </c>
      <c r="F92" s="1" t="e">
        <f>VLOOKUP(E92,#REF!,2,FALSE)</f>
        <v>#REF!</v>
      </c>
      <c r="G92" s="5" t="e">
        <f>VLOOKUP(E92,#REF!,5,FALSE)</f>
        <v>#REF!</v>
      </c>
      <c r="Q92" s="1" t="e">
        <f>IF(COUNTIFS(#REF!,VALID!$P92,#REF!,VALID!$N$2)=0,"",COUNTIFS(#REF!,VALID!$P92,#REF!,VALID!$N$2))</f>
        <v>#REF!</v>
      </c>
      <c r="R92" s="1" t="str">
        <f>IFERROR(VLOOKUP(P92,#REF!,2,FALSE),"")</f>
        <v/>
      </c>
      <c r="T92" s="8" t="s">
        <v>138</v>
      </c>
    </row>
    <row r="93" spans="5:20" ht="24">
      <c r="E93" s="4" t="e">
        <f>#REF!</f>
        <v>#REF!</v>
      </c>
      <c r="F93" s="1" t="e">
        <f>VLOOKUP(E93,#REF!,2,FALSE)</f>
        <v>#REF!</v>
      </c>
      <c r="G93" s="5" t="e">
        <f>VLOOKUP(E93,#REF!,5,FALSE)</f>
        <v>#REF!</v>
      </c>
      <c r="Q93" s="1" t="e">
        <f>IF(COUNTIFS(#REF!,VALID!$P93,#REF!,VALID!$N$2)=0,"",COUNTIFS(#REF!,VALID!$P93,#REF!,VALID!$N$2))</f>
        <v>#REF!</v>
      </c>
      <c r="R93" s="1" t="str">
        <f>IFERROR(VLOOKUP(P93,#REF!,2,FALSE),"")</f>
        <v/>
      </c>
      <c r="T93" s="8" t="s">
        <v>83</v>
      </c>
    </row>
    <row r="94" spans="5:20" ht="24">
      <c r="E94" s="4" t="e">
        <f>#REF!</f>
        <v>#REF!</v>
      </c>
      <c r="F94" s="1" t="e">
        <f>VLOOKUP(E94,#REF!,2,FALSE)</f>
        <v>#REF!</v>
      </c>
      <c r="G94" s="5" t="e">
        <f>VLOOKUP(E94,#REF!,5,FALSE)</f>
        <v>#REF!</v>
      </c>
      <c r="Q94" s="1" t="e">
        <f>IF(COUNTIFS(#REF!,VALID!$P94,#REF!,VALID!$N$2)=0,"",COUNTIFS(#REF!,VALID!$P94,#REF!,VALID!$N$2))</f>
        <v>#REF!</v>
      </c>
      <c r="R94" s="1" t="str">
        <f>IFERROR(VLOOKUP(P94,#REF!,2,FALSE),"")</f>
        <v/>
      </c>
      <c r="T94" s="8" t="s">
        <v>84</v>
      </c>
    </row>
    <row r="95" spans="5:20" ht="36">
      <c r="E95" s="4" t="e">
        <f>#REF!</f>
        <v>#REF!</v>
      </c>
      <c r="F95" s="1" t="e">
        <f>VLOOKUP(E95,#REF!,2,FALSE)</f>
        <v>#REF!</v>
      </c>
      <c r="G95" s="5" t="e">
        <f>VLOOKUP(E95,#REF!,5,FALSE)</f>
        <v>#REF!</v>
      </c>
      <c r="Q95" s="1" t="e">
        <f>IF(COUNTIFS(#REF!,VALID!$P95,#REF!,VALID!$N$2)=0,"",COUNTIFS(#REF!,VALID!$P95,#REF!,VALID!$N$2))</f>
        <v>#REF!</v>
      </c>
      <c r="R95" s="1" t="str">
        <f>IFERROR(VLOOKUP(P95,#REF!,2,FALSE),"")</f>
        <v/>
      </c>
      <c r="T95" s="8" t="s">
        <v>124</v>
      </c>
    </row>
    <row r="96" spans="5:20" ht="24">
      <c r="E96" s="4" t="e">
        <f>#REF!</f>
        <v>#REF!</v>
      </c>
      <c r="F96" s="1" t="e">
        <f>VLOOKUP(E96,#REF!,2,FALSE)</f>
        <v>#REF!</v>
      </c>
      <c r="G96" s="5" t="e">
        <f>VLOOKUP(E96,#REF!,5,FALSE)</f>
        <v>#REF!</v>
      </c>
      <c r="Q96" s="1" t="e">
        <f>IF(COUNTIFS(#REF!,VALID!$P96,#REF!,VALID!$N$2)=0,"",COUNTIFS(#REF!,VALID!$P96,#REF!,VALID!$N$2))</f>
        <v>#REF!</v>
      </c>
      <c r="R96" s="1" t="str">
        <f>IFERROR(VLOOKUP(P96,#REF!,2,FALSE),"")</f>
        <v/>
      </c>
      <c r="T96" s="8" t="s">
        <v>85</v>
      </c>
    </row>
    <row r="97" spans="5:20" ht="24">
      <c r="E97" s="4" t="e">
        <f>#REF!</f>
        <v>#REF!</v>
      </c>
      <c r="F97" s="1" t="e">
        <f>VLOOKUP(E97,#REF!,2,FALSE)</f>
        <v>#REF!</v>
      </c>
      <c r="G97" s="5" t="e">
        <f>VLOOKUP(E97,#REF!,5,FALSE)</f>
        <v>#REF!</v>
      </c>
      <c r="Q97" s="1" t="e">
        <f>IF(COUNTIFS(#REF!,VALID!$P97,#REF!,VALID!$N$2)=0,"",COUNTIFS(#REF!,VALID!$P97,#REF!,VALID!$N$2))</f>
        <v>#REF!</v>
      </c>
      <c r="R97" s="1" t="str">
        <f>IFERROR(VLOOKUP(P97,#REF!,2,FALSE),"")</f>
        <v/>
      </c>
      <c r="T97" s="8" t="s">
        <v>139</v>
      </c>
    </row>
    <row r="98" spans="5:20">
      <c r="E98" s="4" t="e">
        <f>#REF!</f>
        <v>#REF!</v>
      </c>
      <c r="F98" s="1" t="e">
        <f>VLOOKUP(E98,#REF!,2,FALSE)</f>
        <v>#REF!</v>
      </c>
      <c r="G98" s="5" t="e">
        <f>VLOOKUP(E98,#REF!,5,FALSE)</f>
        <v>#REF!</v>
      </c>
      <c r="Q98" s="1" t="e">
        <f>IF(COUNTIFS(#REF!,VALID!$P98,#REF!,VALID!$N$2)=0,"",COUNTIFS(#REF!,VALID!$P98,#REF!,VALID!$N$2))</f>
        <v>#REF!</v>
      </c>
      <c r="R98" s="1" t="str">
        <f>IFERROR(VLOOKUP(P98,#REF!,2,FALSE),"")</f>
        <v/>
      </c>
      <c r="T98" s="8" t="s">
        <v>125</v>
      </c>
    </row>
    <row r="99" spans="5:20" ht="24">
      <c r="E99" s="4" t="e">
        <f>#REF!</f>
        <v>#REF!</v>
      </c>
      <c r="F99" s="1" t="e">
        <f>VLOOKUP(E99,#REF!,2,FALSE)</f>
        <v>#REF!</v>
      </c>
      <c r="G99" s="5" t="e">
        <f>VLOOKUP(E99,#REF!,5,FALSE)</f>
        <v>#REF!</v>
      </c>
      <c r="Q99" s="1" t="e">
        <f>IF(COUNTIFS(#REF!,VALID!$P99,#REF!,VALID!$N$2)=0,"",COUNTIFS(#REF!,VALID!$P99,#REF!,VALID!$N$2))</f>
        <v>#REF!</v>
      </c>
      <c r="R99" s="1" t="str">
        <f>IFERROR(VLOOKUP(P99,#REF!,2,FALSE),"")</f>
        <v/>
      </c>
      <c r="T99" s="8" t="s">
        <v>86</v>
      </c>
    </row>
    <row r="100" spans="5:20" ht="24">
      <c r="E100" s="4" t="e">
        <f>#REF!</f>
        <v>#REF!</v>
      </c>
      <c r="F100" s="1" t="e">
        <f>VLOOKUP(E100,#REF!,2,FALSE)</f>
        <v>#REF!</v>
      </c>
      <c r="G100" s="5" t="e">
        <f>VLOOKUP(E100,#REF!,5,FALSE)</f>
        <v>#REF!</v>
      </c>
      <c r="Q100" s="1" t="e">
        <f>IF(COUNTIFS(#REF!,VALID!$P100,#REF!,VALID!$N$2)=0,"",COUNTIFS(#REF!,VALID!$P100,#REF!,VALID!$N$2))</f>
        <v>#REF!</v>
      </c>
      <c r="R100" s="1" t="str">
        <f>IFERROR(VLOOKUP(P100,#REF!,2,FALSE),"")</f>
        <v/>
      </c>
      <c r="T100" s="8" t="s">
        <v>87</v>
      </c>
    </row>
    <row r="101" spans="5:20">
      <c r="E101" s="4" t="e">
        <f>#REF!</f>
        <v>#REF!</v>
      </c>
      <c r="F101" s="1" t="e">
        <f>VLOOKUP(E101,#REF!,2,FALSE)</f>
        <v>#REF!</v>
      </c>
      <c r="G101" s="5" t="e">
        <f>VLOOKUP(E101,#REF!,5,FALSE)</f>
        <v>#REF!</v>
      </c>
      <c r="Q101" s="1" t="e">
        <f>IF(COUNTIFS(#REF!,VALID!$P101,#REF!,VALID!$N$2)=0,"",COUNTIFS(#REF!,VALID!$P101,#REF!,VALID!$N$2))</f>
        <v>#REF!</v>
      </c>
      <c r="R101" s="1" t="str">
        <f>IFERROR(VLOOKUP(P101,#REF!,2,FALSE),"")</f>
        <v/>
      </c>
      <c r="T101" s="8" t="s">
        <v>88</v>
      </c>
    </row>
    <row r="102" spans="5:20" ht="24">
      <c r="E102" s="4" t="e">
        <f>#REF!</f>
        <v>#REF!</v>
      </c>
      <c r="F102" s="1" t="e">
        <f>VLOOKUP(E102,#REF!,2,FALSE)</f>
        <v>#REF!</v>
      </c>
      <c r="G102" s="5" t="e">
        <f>VLOOKUP(E102,#REF!,5,FALSE)</f>
        <v>#REF!</v>
      </c>
      <c r="Q102" s="1" t="e">
        <f>IF(COUNTIFS(#REF!,VALID!$P102,#REF!,VALID!$N$2)=0,"",COUNTIFS(#REF!,VALID!$P102,#REF!,VALID!$N$2))</f>
        <v>#REF!</v>
      </c>
      <c r="R102" s="1" t="str">
        <f>IFERROR(VLOOKUP(P102,#REF!,2,FALSE),"")</f>
        <v/>
      </c>
      <c r="T102" s="8" t="s">
        <v>89</v>
      </c>
    </row>
    <row r="103" spans="5:20" ht="24">
      <c r="E103" s="4" t="e">
        <f>#REF!</f>
        <v>#REF!</v>
      </c>
      <c r="F103" s="1" t="e">
        <f>VLOOKUP(E103,#REF!,2,FALSE)</f>
        <v>#REF!</v>
      </c>
      <c r="G103" s="5" t="e">
        <f>VLOOKUP(E103,#REF!,5,FALSE)</f>
        <v>#REF!</v>
      </c>
      <c r="Q103" s="1" t="e">
        <f>IF(COUNTIFS(#REF!,VALID!$P103,#REF!,VALID!$N$2)=0,"",COUNTIFS(#REF!,VALID!$P103,#REF!,VALID!$N$2))</f>
        <v>#REF!</v>
      </c>
      <c r="R103" s="1" t="str">
        <f>IFERROR(VLOOKUP(P103,#REF!,2,FALSE),"")</f>
        <v/>
      </c>
      <c r="T103" s="8" t="s">
        <v>126</v>
      </c>
    </row>
    <row r="104" spans="5:20" ht="36">
      <c r="E104" s="4" t="e">
        <f>#REF!</f>
        <v>#REF!</v>
      </c>
      <c r="F104" s="1" t="e">
        <f>VLOOKUP(E104,#REF!,2,FALSE)</f>
        <v>#REF!</v>
      </c>
      <c r="G104" s="5" t="e">
        <f>VLOOKUP(E104,#REF!,5,FALSE)</f>
        <v>#REF!</v>
      </c>
      <c r="Q104" s="1" t="e">
        <f>IF(COUNTIFS(#REF!,VALID!$P104,#REF!,VALID!$N$2)=0,"",COUNTIFS(#REF!,VALID!$P104,#REF!,VALID!$N$2))</f>
        <v>#REF!</v>
      </c>
      <c r="R104" s="1" t="str">
        <f>IFERROR(VLOOKUP(P104,#REF!,2,FALSE),"")</f>
        <v/>
      </c>
      <c r="T104" s="8" t="s">
        <v>90</v>
      </c>
    </row>
    <row r="105" spans="5:20" ht="24">
      <c r="E105" s="4" t="e">
        <f>#REF!</f>
        <v>#REF!</v>
      </c>
      <c r="F105" s="1" t="e">
        <f>VLOOKUP(E105,#REF!,2,FALSE)</f>
        <v>#REF!</v>
      </c>
      <c r="G105" s="5" t="e">
        <f>VLOOKUP(E105,#REF!,5,FALSE)</f>
        <v>#REF!</v>
      </c>
      <c r="Q105" s="1" t="e">
        <f>IF(COUNTIFS(#REF!,VALID!$P105,#REF!,VALID!$N$2)=0,"",COUNTIFS(#REF!,VALID!$P105,#REF!,VALID!$N$2))</f>
        <v>#REF!</v>
      </c>
      <c r="R105" s="1" t="str">
        <f>IFERROR(VLOOKUP(P105,#REF!,2,FALSE),"")</f>
        <v/>
      </c>
      <c r="T105" s="8" t="s">
        <v>127</v>
      </c>
    </row>
    <row r="106" spans="5:20" ht="24">
      <c r="E106" s="4" t="e">
        <f>#REF!</f>
        <v>#REF!</v>
      </c>
      <c r="F106" s="1" t="e">
        <f>VLOOKUP(E106,#REF!,2,FALSE)</f>
        <v>#REF!</v>
      </c>
      <c r="G106" s="5" t="e">
        <f>VLOOKUP(E106,#REF!,5,FALSE)</f>
        <v>#REF!</v>
      </c>
      <c r="Q106" s="1" t="e">
        <f>IF(COUNTIFS(#REF!,VALID!$P106,#REF!,VALID!$N$2)=0,"",COUNTIFS(#REF!,VALID!$P106,#REF!,VALID!$N$2))</f>
        <v>#REF!</v>
      </c>
      <c r="R106" s="1" t="str">
        <f>IFERROR(VLOOKUP(P106,#REF!,2,FALSE),"")</f>
        <v/>
      </c>
      <c r="T106" s="8" t="s">
        <v>91</v>
      </c>
    </row>
    <row r="107" spans="5:20" ht="24">
      <c r="E107" s="4" t="e">
        <f>#REF!</f>
        <v>#REF!</v>
      </c>
      <c r="F107" s="1" t="e">
        <f>VLOOKUP(E107,#REF!,2,FALSE)</f>
        <v>#REF!</v>
      </c>
      <c r="G107" s="5" t="e">
        <f>VLOOKUP(E107,#REF!,5,FALSE)</f>
        <v>#REF!</v>
      </c>
      <c r="Q107" s="1" t="e">
        <f>IF(COUNTIFS(#REF!,VALID!$P107,#REF!,VALID!$N$2)=0,"",COUNTIFS(#REF!,VALID!$P107,#REF!,VALID!$N$2))</f>
        <v>#REF!</v>
      </c>
      <c r="R107" s="1" t="str">
        <f>IFERROR(VLOOKUP(P107,#REF!,2,FALSE),"")</f>
        <v/>
      </c>
      <c r="T107" s="8" t="s">
        <v>92</v>
      </c>
    </row>
    <row r="108" spans="5:20">
      <c r="E108" s="4" t="e">
        <f>#REF!</f>
        <v>#REF!</v>
      </c>
      <c r="F108" s="1" t="e">
        <f>VLOOKUP(E108,#REF!,2,FALSE)</f>
        <v>#REF!</v>
      </c>
      <c r="G108" s="5" t="e">
        <f>VLOOKUP(E108,#REF!,5,FALSE)</f>
        <v>#REF!</v>
      </c>
      <c r="Q108" s="1" t="e">
        <f>IF(COUNTIFS(#REF!,VALID!$P108,#REF!,VALID!$N$2)=0,"",COUNTIFS(#REF!,VALID!$P108,#REF!,VALID!$N$2))</f>
        <v>#REF!</v>
      </c>
      <c r="R108" s="1" t="str">
        <f>IFERROR(VLOOKUP(P108,#REF!,2,FALSE),"")</f>
        <v/>
      </c>
      <c r="T108" s="8" t="s">
        <v>93</v>
      </c>
    </row>
    <row r="109" spans="5:20" ht="36">
      <c r="E109" s="4" t="e">
        <f>#REF!</f>
        <v>#REF!</v>
      </c>
      <c r="F109" s="1" t="e">
        <f>VLOOKUP(E109,#REF!,2,FALSE)</f>
        <v>#REF!</v>
      </c>
      <c r="G109" s="5" t="e">
        <f>VLOOKUP(E109,#REF!,5,FALSE)</f>
        <v>#REF!</v>
      </c>
      <c r="Q109" s="1" t="e">
        <f>IF(COUNTIFS(#REF!,VALID!$P109,#REF!,VALID!$N$2)=0,"",COUNTIFS(#REF!,VALID!$P109,#REF!,VALID!$N$2))</f>
        <v>#REF!</v>
      </c>
      <c r="R109" s="1" t="str">
        <f>IFERROR(VLOOKUP(P109,#REF!,2,FALSE),"")</f>
        <v/>
      </c>
      <c r="T109" s="8" t="s">
        <v>128</v>
      </c>
    </row>
    <row r="110" spans="5:20" ht="36">
      <c r="E110" s="4" t="e">
        <f>#REF!</f>
        <v>#REF!</v>
      </c>
      <c r="F110" s="1" t="e">
        <f>VLOOKUP(E110,#REF!,2,FALSE)</f>
        <v>#REF!</v>
      </c>
      <c r="G110" s="5" t="e">
        <f>VLOOKUP(E110,#REF!,5,FALSE)</f>
        <v>#REF!</v>
      </c>
      <c r="R110" s="1" t="str">
        <f>IFERROR(VLOOKUP(P110,#REF!,2,FALSE),"")</f>
        <v/>
      </c>
      <c r="T110" s="8" t="s">
        <v>129</v>
      </c>
    </row>
    <row r="111" spans="5:20" ht="24">
      <c r="E111" s="4" t="e">
        <f>#REF!</f>
        <v>#REF!</v>
      </c>
      <c r="F111" s="1" t="e">
        <f>VLOOKUP(E111,#REF!,2,FALSE)</f>
        <v>#REF!</v>
      </c>
      <c r="G111" s="5" t="e">
        <f>VLOOKUP(E111,#REF!,5,FALSE)</f>
        <v>#REF!</v>
      </c>
      <c r="R111" s="1" t="str">
        <f>IFERROR(VLOOKUP(P111,#REF!,2,FALSE),"")</f>
        <v/>
      </c>
      <c r="T111" s="8" t="s">
        <v>94</v>
      </c>
    </row>
    <row r="112" spans="5:20" ht="24">
      <c r="E112" s="4" t="e">
        <f>#REF!</f>
        <v>#REF!</v>
      </c>
      <c r="F112" s="1" t="e">
        <f>VLOOKUP(E112,#REF!,2,FALSE)</f>
        <v>#REF!</v>
      </c>
      <c r="G112" s="5" t="e">
        <f>VLOOKUP(E112,#REF!,5,FALSE)</f>
        <v>#REF!</v>
      </c>
      <c r="R112" s="1" t="str">
        <f>IFERROR(VLOOKUP(P112,#REF!,2,FALSE),"")</f>
        <v/>
      </c>
      <c r="T112" s="8" t="s">
        <v>130</v>
      </c>
    </row>
    <row r="113" spans="5:20">
      <c r="E113" s="4" t="e">
        <f>#REF!</f>
        <v>#REF!</v>
      </c>
      <c r="F113" s="1" t="e">
        <f>VLOOKUP(E113,#REF!,2,FALSE)</f>
        <v>#REF!</v>
      </c>
      <c r="G113" s="5" t="e">
        <f>VLOOKUP(E113,#REF!,5,FALSE)</f>
        <v>#REF!</v>
      </c>
      <c r="R113" s="1" t="str">
        <f>IFERROR(VLOOKUP(P113,#REF!,2,FALSE),"")</f>
        <v/>
      </c>
      <c r="T113" s="8" t="s">
        <v>131</v>
      </c>
    </row>
    <row r="114" spans="5:20" ht="36">
      <c r="E114" s="4" t="e">
        <f>#REF!</f>
        <v>#REF!</v>
      </c>
      <c r="F114" s="1" t="e">
        <f>VLOOKUP(E114,#REF!,2,FALSE)</f>
        <v>#REF!</v>
      </c>
      <c r="G114" s="5" t="e">
        <f>VLOOKUP(E114,#REF!,5,FALSE)</f>
        <v>#REF!</v>
      </c>
      <c r="R114" s="1" t="str">
        <f>IFERROR(VLOOKUP(P114,#REF!,2,FALSE),"")</f>
        <v/>
      </c>
      <c r="T114" s="8" t="s">
        <v>95</v>
      </c>
    </row>
    <row r="115" spans="5:20" ht="36">
      <c r="E115" s="4" t="e">
        <f>#REF!</f>
        <v>#REF!</v>
      </c>
      <c r="F115" s="1" t="e">
        <f>VLOOKUP(E115,#REF!,2,FALSE)</f>
        <v>#REF!</v>
      </c>
      <c r="G115" s="5" t="e">
        <f>VLOOKUP(E115,#REF!,5,FALSE)</f>
        <v>#REF!</v>
      </c>
      <c r="R115" s="1" t="str">
        <f>IFERROR(VLOOKUP(P115,#REF!,2,FALSE),"")</f>
        <v/>
      </c>
      <c r="T115" s="8" t="s">
        <v>96</v>
      </c>
    </row>
    <row r="116" spans="5:20" ht="24">
      <c r="E116" s="4" t="e">
        <f>#REF!</f>
        <v>#REF!</v>
      </c>
      <c r="F116" s="1" t="e">
        <f>VLOOKUP(E116,#REF!,2,FALSE)</f>
        <v>#REF!</v>
      </c>
      <c r="G116" s="5" t="e">
        <f>VLOOKUP(E116,#REF!,5,FALSE)</f>
        <v>#REF!</v>
      </c>
      <c r="R116" s="1" t="str">
        <f>IFERROR(VLOOKUP(P116,#REF!,2,FALSE),"")</f>
        <v/>
      </c>
      <c r="T116" s="8" t="s">
        <v>97</v>
      </c>
    </row>
    <row r="117" spans="5:20">
      <c r="E117" s="4" t="e">
        <f>#REF!</f>
        <v>#REF!</v>
      </c>
      <c r="F117" s="1" t="e">
        <f>VLOOKUP(E117,#REF!,2,FALSE)</f>
        <v>#REF!</v>
      </c>
      <c r="G117" s="5" t="e">
        <f>VLOOKUP(E117,#REF!,5,FALSE)</f>
        <v>#REF!</v>
      </c>
    </row>
    <row r="118" spans="5:20">
      <c r="E118" s="4" t="e">
        <f>#REF!</f>
        <v>#REF!</v>
      </c>
      <c r="F118" s="1" t="e">
        <f>VLOOKUP(E118,#REF!,2,FALSE)</f>
        <v>#REF!</v>
      </c>
      <c r="G118" s="5" t="e">
        <f>VLOOKUP(E118,#REF!,5,FALSE)</f>
        <v>#REF!</v>
      </c>
    </row>
    <row r="119" spans="5:20">
      <c r="E119" s="4" t="e">
        <f>#REF!</f>
        <v>#REF!</v>
      </c>
      <c r="F119" s="1" t="e">
        <f>VLOOKUP(E119,#REF!,2,FALSE)</f>
        <v>#REF!</v>
      </c>
      <c r="G119" s="5" t="e">
        <f>VLOOKUP(E119,#REF!,5,FALSE)</f>
        <v>#REF!</v>
      </c>
    </row>
    <row r="120" spans="5:20">
      <c r="E120" s="4" t="e">
        <f>#REF!</f>
        <v>#REF!</v>
      </c>
      <c r="F120" s="1" t="e">
        <f>VLOOKUP(E120,#REF!,2,FALSE)</f>
        <v>#REF!</v>
      </c>
      <c r="G120" s="5" t="e">
        <f>VLOOKUP(E120,#REF!,5,FALSE)</f>
        <v>#REF!</v>
      </c>
    </row>
    <row r="121" spans="5:20">
      <c r="E121" s="4" t="e">
        <f>#REF!</f>
        <v>#REF!</v>
      </c>
      <c r="F121" s="1" t="e">
        <f>VLOOKUP(E121,#REF!,2,FALSE)</f>
        <v>#REF!</v>
      </c>
      <c r="G121" s="5" t="e">
        <f>VLOOKUP(E121,#REF!,5,FALSE)</f>
        <v>#REF!</v>
      </c>
    </row>
    <row r="122" spans="5:20">
      <c r="E122" s="4" t="e">
        <f>#REF!</f>
        <v>#REF!</v>
      </c>
      <c r="F122" s="1" t="e">
        <f>VLOOKUP(E122,#REF!,2,FALSE)</f>
        <v>#REF!</v>
      </c>
      <c r="G122" s="5" t="e">
        <f>VLOOKUP(E122,#REF!,5,FALSE)</f>
        <v>#REF!</v>
      </c>
    </row>
    <row r="123" spans="5:20">
      <c r="E123" s="4" t="e">
        <f>#REF!</f>
        <v>#REF!</v>
      </c>
      <c r="F123" s="1" t="e">
        <f>VLOOKUP(E123,#REF!,2,FALSE)</f>
        <v>#REF!</v>
      </c>
      <c r="G123" s="5" t="e">
        <f>VLOOKUP(E123,#REF!,5,FALSE)</f>
        <v>#REF!</v>
      </c>
    </row>
    <row r="124" spans="5:20">
      <c r="E124" s="4" t="e">
        <f>#REF!</f>
        <v>#REF!</v>
      </c>
      <c r="F124" s="1" t="e">
        <f>VLOOKUP(E124,#REF!,2,FALSE)</f>
        <v>#REF!</v>
      </c>
      <c r="G124" s="5" t="e">
        <f>VLOOKUP(E124,#REF!,5,FALSE)</f>
        <v>#REF!</v>
      </c>
    </row>
    <row r="125" spans="5:20">
      <c r="E125" s="4" t="e">
        <f>#REF!</f>
        <v>#REF!</v>
      </c>
      <c r="F125" s="1" t="e">
        <f>VLOOKUP(E125,#REF!,2,FALSE)</f>
        <v>#REF!</v>
      </c>
      <c r="G125" s="5" t="e">
        <f>VLOOKUP(E125,#REF!,5,FALSE)</f>
        <v>#REF!</v>
      </c>
    </row>
    <row r="126" spans="5:20">
      <c r="E126" s="4" t="e">
        <f>#REF!</f>
        <v>#REF!</v>
      </c>
      <c r="F126" s="1" t="e">
        <f>VLOOKUP(E126,#REF!,2,FALSE)</f>
        <v>#REF!</v>
      </c>
      <c r="G126" s="5" t="e">
        <f>VLOOKUP(E126,#REF!,5,FALSE)</f>
        <v>#REF!</v>
      </c>
    </row>
    <row r="127" spans="5:20">
      <c r="E127" s="4" t="e">
        <f>#REF!</f>
        <v>#REF!</v>
      </c>
      <c r="F127" s="1" t="e">
        <f>VLOOKUP(E127,#REF!,2,FALSE)</f>
        <v>#REF!</v>
      </c>
      <c r="G127" s="5" t="e">
        <f>VLOOKUP(E127,#REF!,5,FALSE)</f>
        <v>#REF!</v>
      </c>
    </row>
    <row r="128" spans="5:20">
      <c r="E128" s="4" t="e">
        <f>#REF!</f>
        <v>#REF!</v>
      </c>
      <c r="F128" s="1" t="e">
        <f>VLOOKUP(E128,#REF!,2,FALSE)</f>
        <v>#REF!</v>
      </c>
      <c r="G128" s="5" t="e">
        <f>VLOOKUP(E128,#REF!,5,FALSE)</f>
        <v>#REF!</v>
      </c>
    </row>
    <row r="129" spans="5:7">
      <c r="E129" s="4" t="e">
        <f>#REF!</f>
        <v>#REF!</v>
      </c>
      <c r="F129" s="1" t="e">
        <f>VLOOKUP(E129,#REF!,2,FALSE)</f>
        <v>#REF!</v>
      </c>
      <c r="G129" s="5" t="e">
        <f>VLOOKUP(E129,#REF!,5,FALSE)</f>
        <v>#REF!</v>
      </c>
    </row>
    <row r="130" spans="5:7">
      <c r="E130" s="4" t="e">
        <f>#REF!</f>
        <v>#REF!</v>
      </c>
      <c r="F130" s="1" t="e">
        <f>VLOOKUP(E130,#REF!,2,FALSE)</f>
        <v>#REF!</v>
      </c>
      <c r="G130" s="5" t="e">
        <f>VLOOKUP(E130,#REF!,5,FALSE)</f>
        <v>#REF!</v>
      </c>
    </row>
    <row r="131" spans="5:7">
      <c r="E131" s="4" t="e">
        <f>#REF!</f>
        <v>#REF!</v>
      </c>
      <c r="F131" s="1" t="e">
        <f>VLOOKUP(E131,#REF!,2,FALSE)</f>
        <v>#REF!</v>
      </c>
      <c r="G131" s="5" t="e">
        <f>VLOOKUP(E131,#REF!,5,FALSE)</f>
        <v>#REF!</v>
      </c>
    </row>
    <row r="132" spans="5:7">
      <c r="E132" s="4" t="e">
        <f>#REF!</f>
        <v>#REF!</v>
      </c>
      <c r="F132" s="1" t="e">
        <f>VLOOKUP(E132,#REF!,2,FALSE)</f>
        <v>#REF!</v>
      </c>
      <c r="G132" s="5" t="e">
        <f>VLOOKUP(E132,#REF!,5,FALSE)</f>
        <v>#REF!</v>
      </c>
    </row>
    <row r="133" spans="5:7">
      <c r="E133" s="4" t="e">
        <f>#REF!</f>
        <v>#REF!</v>
      </c>
      <c r="F133" s="1" t="e">
        <f>VLOOKUP(E133,#REF!,2,FALSE)</f>
        <v>#REF!</v>
      </c>
      <c r="G133" s="5" t="e">
        <f>VLOOKUP(E133,#REF!,5,FALSE)</f>
        <v>#REF!</v>
      </c>
    </row>
    <row r="134" spans="5:7">
      <c r="E134" s="4" t="e">
        <f>#REF!</f>
        <v>#REF!</v>
      </c>
      <c r="F134" s="1" t="e">
        <f>VLOOKUP(E134,#REF!,2,FALSE)</f>
        <v>#REF!</v>
      </c>
      <c r="G134" s="5" t="e">
        <f>VLOOKUP(E134,#REF!,5,FALSE)</f>
        <v>#REF!</v>
      </c>
    </row>
    <row r="135" spans="5:7">
      <c r="E135" s="4" t="e">
        <f>#REF!</f>
        <v>#REF!</v>
      </c>
      <c r="F135" s="1" t="e">
        <f>VLOOKUP(E135,#REF!,2,FALSE)</f>
        <v>#REF!</v>
      </c>
      <c r="G135" s="5" t="e">
        <f>VLOOKUP(E135,#REF!,5,FALSE)</f>
        <v>#REF!</v>
      </c>
    </row>
    <row r="136" spans="5:7">
      <c r="E136" s="4" t="e">
        <f>#REF!</f>
        <v>#REF!</v>
      </c>
      <c r="F136" s="1" t="e">
        <f>VLOOKUP(E136,#REF!,2,FALSE)</f>
        <v>#REF!</v>
      </c>
      <c r="G136" s="5" t="e">
        <f>VLOOKUP(E136,#REF!,5,FALSE)</f>
        <v>#REF!</v>
      </c>
    </row>
    <row r="137" spans="5:7">
      <c r="E137" s="4" t="e">
        <f>#REF!</f>
        <v>#REF!</v>
      </c>
      <c r="F137" s="1" t="e">
        <f>VLOOKUP(E137,#REF!,2,FALSE)</f>
        <v>#REF!</v>
      </c>
      <c r="G137" s="5" t="e">
        <f>VLOOKUP(E137,#REF!,5,FALSE)</f>
        <v>#REF!</v>
      </c>
    </row>
  </sheetData>
  <mergeCells count="10">
    <mergeCell ref="AH1:AT1"/>
    <mergeCell ref="X12:Z12"/>
    <mergeCell ref="E31:I31"/>
    <mergeCell ref="E1:F1"/>
    <mergeCell ref="H1:J1"/>
    <mergeCell ref="I11:K11"/>
    <mergeCell ref="E8:F8"/>
    <mergeCell ref="X11:Z11"/>
    <mergeCell ref="S1:X1"/>
    <mergeCell ref="AH13:AM1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0000"/>
    <pageSetUpPr fitToPage="1"/>
  </sheetPr>
  <dimension ref="A1:Q1074"/>
  <sheetViews>
    <sheetView showGridLines="0" zoomScale="70" zoomScaleNormal="70" zoomScaleSheetLayoutView="70" workbookViewId="0">
      <selection activeCell="D10" sqref="D10"/>
    </sheetView>
  </sheetViews>
  <sheetFormatPr defaultRowHeight="15"/>
  <cols>
    <col min="1" max="1" width="3.7109375" style="53" customWidth="1"/>
    <col min="2" max="2" width="20.7109375" bestFit="1" customWidth="1"/>
    <col min="3" max="3" width="18.5703125" style="1" bestFit="1" customWidth="1"/>
    <col min="4" max="4" width="23.140625" style="1" bestFit="1" customWidth="1"/>
    <col min="5" max="5" width="80" customWidth="1"/>
    <col min="6" max="6" width="40.5703125" customWidth="1"/>
    <col min="7" max="7" width="45.7109375" style="1" customWidth="1"/>
    <col min="8" max="8" width="53.42578125" style="1" customWidth="1"/>
    <col min="9" max="9" width="40.5703125" style="1" customWidth="1"/>
    <col min="10" max="10" width="27.28515625" customWidth="1"/>
    <col min="11" max="11" width="22.42578125" customWidth="1"/>
    <col min="12" max="12" width="12.5703125" bestFit="1" customWidth="1"/>
    <col min="13" max="13" width="40.7109375" customWidth="1"/>
    <col min="14" max="14" width="44.28515625" customWidth="1"/>
    <col min="15" max="15" width="18.28515625" customWidth="1"/>
    <col min="16" max="16" width="18.28515625" style="51" hidden="1" customWidth="1"/>
    <col min="17" max="17" width="7.5703125" style="15" customWidth="1"/>
  </cols>
  <sheetData>
    <row r="1" spans="1:17" s="1" customFormat="1">
      <c r="A1" s="51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51"/>
      <c r="Q1" s="14"/>
    </row>
    <row r="2" spans="1:17" s="1" customFormat="1" ht="15" customHeight="1">
      <c r="A2" s="51"/>
      <c r="B2" s="153" t="s">
        <v>176</v>
      </c>
      <c r="C2" s="153"/>
      <c r="D2" s="153"/>
      <c r="E2" s="153"/>
      <c r="F2" s="153"/>
      <c r="G2" s="153"/>
      <c r="H2" s="44"/>
      <c r="I2" s="44"/>
      <c r="J2" s="44"/>
      <c r="K2" s="17"/>
      <c r="L2" s="17"/>
      <c r="M2" s="17"/>
      <c r="N2" s="17"/>
      <c r="O2" s="17"/>
      <c r="P2" s="59"/>
      <c r="Q2" s="17"/>
    </row>
    <row r="3" spans="1:17" s="1" customFormat="1" ht="15" customHeight="1">
      <c r="A3" s="51"/>
      <c r="B3" s="153"/>
      <c r="C3" s="153"/>
      <c r="D3" s="153"/>
      <c r="E3" s="153"/>
      <c r="F3" s="153"/>
      <c r="G3" s="153"/>
      <c r="H3" s="44"/>
      <c r="I3" s="44"/>
      <c r="J3" s="44"/>
      <c r="K3" s="17"/>
      <c r="L3" s="17"/>
      <c r="M3" s="17"/>
      <c r="N3" s="17"/>
      <c r="O3" s="17"/>
      <c r="P3" s="59"/>
      <c r="Q3" s="17"/>
    </row>
    <row r="4" spans="1:17" s="1" customFormat="1" ht="15" customHeight="1">
      <c r="A4" s="51"/>
      <c r="B4" s="153"/>
      <c r="C4" s="153"/>
      <c r="D4" s="153"/>
      <c r="E4" s="153"/>
      <c r="F4" s="153"/>
      <c r="G4" s="153"/>
      <c r="H4" s="44"/>
      <c r="I4" s="44"/>
      <c r="J4" s="44"/>
      <c r="K4" s="17"/>
      <c r="L4" s="17"/>
      <c r="M4" s="17"/>
      <c r="N4" s="17"/>
      <c r="O4" s="17"/>
      <c r="P4" s="59"/>
      <c r="Q4" s="17"/>
    </row>
    <row r="5" spans="1:17" s="1" customFormat="1" ht="15" customHeight="1">
      <c r="A5" s="51"/>
      <c r="B5" s="153"/>
      <c r="C5" s="153"/>
      <c r="D5" s="153"/>
      <c r="E5" s="153"/>
      <c r="F5" s="153"/>
      <c r="G5" s="153"/>
      <c r="H5" s="44"/>
      <c r="I5" s="44"/>
      <c r="J5" s="44"/>
      <c r="K5" s="17"/>
      <c r="L5" s="17"/>
      <c r="M5" s="17"/>
      <c r="N5" s="17"/>
      <c r="O5" s="17"/>
      <c r="P5" s="59"/>
      <c r="Q5" s="17"/>
    </row>
    <row r="6" spans="1:17" s="1" customFormat="1" ht="15" customHeight="1">
      <c r="A6" s="51"/>
      <c r="B6" s="153"/>
      <c r="C6" s="153"/>
      <c r="D6" s="153"/>
      <c r="E6" s="153"/>
      <c r="F6" s="153"/>
      <c r="G6" s="153"/>
      <c r="H6" s="44"/>
      <c r="I6" s="44"/>
      <c r="J6" s="44"/>
      <c r="K6" s="17"/>
      <c r="L6" s="17"/>
      <c r="M6" s="17"/>
      <c r="N6" s="17"/>
      <c r="O6" s="17"/>
      <c r="P6" s="59"/>
      <c r="Q6" s="17"/>
    </row>
    <row r="7" spans="1:17" s="1" customFormat="1" ht="15" customHeight="1">
      <c r="A7" s="51"/>
      <c r="B7" s="153"/>
      <c r="C7" s="153"/>
      <c r="D7" s="153"/>
      <c r="E7" s="153"/>
      <c r="F7" s="153"/>
      <c r="G7" s="153"/>
      <c r="H7" s="44"/>
      <c r="I7" s="44"/>
      <c r="J7" s="44"/>
      <c r="K7" s="18"/>
      <c r="L7" s="18"/>
      <c r="M7" s="18"/>
      <c r="N7" s="18"/>
      <c r="O7" s="16"/>
      <c r="P7" s="60"/>
      <c r="Q7" s="16"/>
    </row>
    <row r="8" spans="1:17" s="1" customFormat="1" ht="34.5" customHeight="1">
      <c r="A8" s="51"/>
      <c r="B8" s="153"/>
      <c r="C8" s="153"/>
      <c r="D8" s="153"/>
      <c r="E8" s="153"/>
      <c r="F8" s="153"/>
      <c r="G8" s="153"/>
      <c r="H8" s="44"/>
      <c r="I8" s="44"/>
      <c r="J8" s="44"/>
      <c r="K8" s="18"/>
      <c r="L8" s="18"/>
      <c r="M8" s="18"/>
      <c r="N8" s="18"/>
      <c r="O8" s="16"/>
      <c r="P8" s="60"/>
      <c r="Q8" s="16"/>
    </row>
    <row r="9" spans="1:17" s="1" customFormat="1" ht="15" customHeight="1">
      <c r="A9" s="51"/>
      <c r="B9" s="44"/>
      <c r="C9" s="44"/>
      <c r="D9" s="44"/>
      <c r="E9" s="44"/>
      <c r="F9" s="44"/>
      <c r="G9" s="44"/>
      <c r="H9" s="44"/>
      <c r="I9" s="44"/>
      <c r="J9" s="44"/>
      <c r="K9" s="18"/>
      <c r="L9" s="18"/>
      <c r="M9" s="18"/>
      <c r="N9" s="18"/>
      <c r="O9" s="16"/>
      <c r="P9" s="60"/>
      <c r="Q9" s="16"/>
    </row>
    <row r="10" spans="1:17" ht="15" customHeight="1">
      <c r="A10" s="51"/>
      <c r="B10" s="44"/>
      <c r="C10" s="44"/>
      <c r="D10" s="44"/>
      <c r="E10" s="44"/>
      <c r="F10" s="44"/>
      <c r="G10" s="44"/>
      <c r="H10" s="44"/>
      <c r="I10" s="44"/>
      <c r="J10" s="44"/>
      <c r="K10" s="18"/>
      <c r="L10" s="18"/>
      <c r="M10" s="18"/>
      <c r="N10" s="18"/>
      <c r="O10" s="16"/>
      <c r="P10" s="60"/>
      <c r="Q10" s="16"/>
    </row>
    <row r="11" spans="1:17" ht="15" customHeight="1">
      <c r="A11" s="51"/>
      <c r="B11" s="44"/>
      <c r="C11" s="44"/>
      <c r="D11" s="44"/>
      <c r="E11" s="44"/>
      <c r="F11" s="44"/>
      <c r="G11" s="44"/>
      <c r="H11" s="44"/>
      <c r="I11" s="44"/>
      <c r="J11" s="44"/>
      <c r="K11" s="18"/>
      <c r="L11" s="18"/>
      <c r="M11" s="18"/>
      <c r="N11" s="18"/>
      <c r="O11" s="16"/>
      <c r="P11" s="60"/>
      <c r="Q11" s="16"/>
    </row>
    <row r="12" spans="1:17" ht="21.75" customHeight="1">
      <c r="A12" s="5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Q12" s="14"/>
    </row>
    <row r="13" spans="1:17" hidden="1">
      <c r="A13" s="51"/>
      <c r="B13" s="80"/>
      <c r="C13" s="80"/>
      <c r="D13" s="81"/>
      <c r="E13" s="82"/>
      <c r="F13" s="82"/>
      <c r="G13" s="82"/>
      <c r="H13" s="82"/>
      <c r="I13" s="82"/>
      <c r="J13" s="82"/>
      <c r="K13" s="83"/>
      <c r="L13" s="84"/>
      <c r="M13" s="85"/>
      <c r="N13" s="85"/>
      <c r="O13" s="86"/>
      <c r="P13" s="61"/>
      <c r="Q13" s="28" t="e">
        <f>#REF!</f>
        <v>#REF!</v>
      </c>
    </row>
    <row r="14" spans="1:17" s="1" customFormat="1" ht="21">
      <c r="A14" s="51"/>
      <c r="B14" s="87" t="s">
        <v>192</v>
      </c>
      <c r="C14" s="87" t="s">
        <v>193</v>
      </c>
      <c r="D14" s="87" t="s">
        <v>175</v>
      </c>
      <c r="E14" s="87" t="s">
        <v>148</v>
      </c>
      <c r="F14" s="87" t="s">
        <v>149</v>
      </c>
      <c r="G14" s="87" t="s">
        <v>183</v>
      </c>
      <c r="H14" s="87" t="s">
        <v>181</v>
      </c>
      <c r="I14" s="87" t="s">
        <v>182</v>
      </c>
      <c r="J14" s="87" t="s">
        <v>150</v>
      </c>
      <c r="K14" s="88" t="s">
        <v>151</v>
      </c>
      <c r="L14" s="89" t="s">
        <v>152</v>
      </c>
      <c r="M14" s="90" t="s">
        <v>153</v>
      </c>
      <c r="N14" s="90" t="s">
        <v>154</v>
      </c>
      <c r="O14" s="91" t="s">
        <v>155</v>
      </c>
      <c r="P14" s="61"/>
      <c r="Q14" s="28"/>
    </row>
    <row r="15" spans="1:17">
      <c r="A15" s="52" t="str">
        <f t="shared" ref="A15:A39" si="0">CONCATENATE(B15,"-",C15)</f>
        <v>3112201807-5</v>
      </c>
      <c r="B15" s="35" t="s">
        <v>216</v>
      </c>
      <c r="C15" s="35" t="s">
        <v>194</v>
      </c>
      <c r="D15" s="35" t="s">
        <v>205</v>
      </c>
      <c r="E15" s="39" t="s">
        <v>206</v>
      </c>
      <c r="F15" s="37"/>
      <c r="G15" s="43"/>
      <c r="H15" s="43" t="s">
        <v>209</v>
      </c>
      <c r="I15" s="43"/>
      <c r="J15" s="40">
        <v>142830</v>
      </c>
      <c r="K15" s="38" t="s">
        <v>156</v>
      </c>
      <c r="L15" s="36">
        <v>12</v>
      </c>
      <c r="M15" s="41">
        <v>43231</v>
      </c>
      <c r="N15" s="41">
        <f t="shared" ref="N15:N16" si="1">IF(L15="","",EDATE(M15,L15))</f>
        <v>43596</v>
      </c>
      <c r="O15" s="42">
        <v>43462</v>
      </c>
      <c r="P15" s="61" t="str">
        <f t="shared" ref="P15:P78" si="2">A15</f>
        <v>3112201807-5</v>
      </c>
      <c r="Q15" s="28" t="e">
        <f>#REF!</f>
        <v>#REF!</v>
      </c>
    </row>
    <row r="16" spans="1:17" ht="30">
      <c r="A16" s="52" t="str">
        <f t="shared" si="0"/>
        <v>3112201802-1</v>
      </c>
      <c r="B16" s="35" t="s">
        <v>215</v>
      </c>
      <c r="C16" s="35" t="s">
        <v>191</v>
      </c>
      <c r="D16" s="35" t="s">
        <v>203</v>
      </c>
      <c r="E16" s="39" t="s">
        <v>204</v>
      </c>
      <c r="F16" s="37"/>
      <c r="G16" s="43"/>
      <c r="H16" s="43" t="s">
        <v>208</v>
      </c>
      <c r="I16" s="43"/>
      <c r="J16" s="40">
        <v>498643.88</v>
      </c>
      <c r="K16" s="38" t="s">
        <v>160</v>
      </c>
      <c r="L16" s="36">
        <v>12</v>
      </c>
      <c r="M16" s="41">
        <v>42828</v>
      </c>
      <c r="N16" s="41">
        <f t="shared" si="1"/>
        <v>43193</v>
      </c>
      <c r="O16" s="42">
        <v>43462</v>
      </c>
      <c r="P16" s="61" t="str">
        <f t="shared" si="2"/>
        <v>3112201802-1</v>
      </c>
      <c r="Q16" s="28" t="e">
        <f>#REF!</f>
        <v>#REF!</v>
      </c>
    </row>
    <row r="17" spans="1:17">
      <c r="A17" s="52" t="str">
        <f t="shared" si="0"/>
        <v>3112201801-1</v>
      </c>
      <c r="B17" s="35" t="s">
        <v>214</v>
      </c>
      <c r="C17" s="35" t="s">
        <v>191</v>
      </c>
      <c r="D17" s="35" t="s">
        <v>202</v>
      </c>
      <c r="E17" s="39" t="s">
        <v>201</v>
      </c>
      <c r="F17" s="37"/>
      <c r="G17" s="43"/>
      <c r="H17" s="43" t="s">
        <v>207</v>
      </c>
      <c r="I17" s="43"/>
      <c r="J17" s="40">
        <v>173277.6</v>
      </c>
      <c r="K17" s="38" t="s">
        <v>160</v>
      </c>
      <c r="L17" s="36">
        <v>12</v>
      </c>
      <c r="M17" s="41">
        <v>43066</v>
      </c>
      <c r="N17" s="41">
        <v>43430</v>
      </c>
      <c r="O17" s="42">
        <v>43462</v>
      </c>
      <c r="P17" s="61" t="str">
        <f t="shared" si="2"/>
        <v>3112201801-1</v>
      </c>
      <c r="Q17" s="28" t="e">
        <f>#REF!</f>
        <v>#REF!</v>
      </c>
    </row>
    <row r="18" spans="1:17">
      <c r="A18" s="52" t="str">
        <f t="shared" si="0"/>
        <v>3012201810-1</v>
      </c>
      <c r="B18" s="35" t="s">
        <v>213</v>
      </c>
      <c r="C18" s="35" t="s">
        <v>191</v>
      </c>
      <c r="D18" s="35" t="s">
        <v>200</v>
      </c>
      <c r="E18" s="39" t="s">
        <v>201</v>
      </c>
      <c r="F18" s="37"/>
      <c r="G18" s="43"/>
      <c r="H18" s="43" t="s">
        <v>207</v>
      </c>
      <c r="I18" s="43"/>
      <c r="J18" s="40">
        <v>589143.84</v>
      </c>
      <c r="K18" s="38" t="s">
        <v>156</v>
      </c>
      <c r="L18" s="36">
        <v>12</v>
      </c>
      <c r="M18" s="41">
        <v>43298</v>
      </c>
      <c r="N18" s="41">
        <v>43662</v>
      </c>
      <c r="O18" s="42">
        <v>43462</v>
      </c>
      <c r="P18" s="61" t="str">
        <f t="shared" si="2"/>
        <v>3012201810-1</v>
      </c>
      <c r="Q18" s="28" t="e">
        <f>#REF!</f>
        <v>#REF!</v>
      </c>
    </row>
    <row r="19" spans="1:17">
      <c r="A19" s="52" t="str">
        <f t="shared" si="0"/>
        <v>2812201809-4</v>
      </c>
      <c r="B19" s="35" t="s">
        <v>212</v>
      </c>
      <c r="C19" s="35" t="s">
        <v>197</v>
      </c>
      <c r="D19" s="35" t="s">
        <v>219</v>
      </c>
      <c r="E19" s="39" t="s">
        <v>198</v>
      </c>
      <c r="F19" s="37"/>
      <c r="G19" s="43"/>
      <c r="H19" s="43" t="s">
        <v>199</v>
      </c>
      <c r="I19" s="43"/>
      <c r="J19" s="40">
        <v>200000</v>
      </c>
      <c r="K19" s="38" t="s">
        <v>160</v>
      </c>
      <c r="L19" s="36">
        <v>12</v>
      </c>
      <c r="M19" s="41">
        <v>43322</v>
      </c>
      <c r="N19" s="41">
        <v>43686</v>
      </c>
      <c r="O19" s="42">
        <v>43462</v>
      </c>
      <c r="P19" s="61" t="str">
        <f t="shared" si="2"/>
        <v>2812201809-4</v>
      </c>
      <c r="Q19" s="28" t="e">
        <f>#REF!</f>
        <v>#REF!</v>
      </c>
    </row>
    <row r="20" spans="1:17">
      <c r="A20" s="52" t="str">
        <f t="shared" si="0"/>
        <v>2812201808-3</v>
      </c>
      <c r="B20" s="35" t="s">
        <v>211</v>
      </c>
      <c r="C20" s="35" t="s">
        <v>187</v>
      </c>
      <c r="D20" s="35" t="s">
        <v>218</v>
      </c>
      <c r="E20" s="39" t="s">
        <v>195</v>
      </c>
      <c r="F20" s="37"/>
      <c r="G20" s="43"/>
      <c r="H20" s="43" t="s">
        <v>196</v>
      </c>
      <c r="I20" s="43"/>
      <c r="J20" s="40">
        <v>15382.68</v>
      </c>
      <c r="K20" s="38" t="s">
        <v>156</v>
      </c>
      <c r="L20" s="36">
        <v>12</v>
      </c>
      <c r="M20" s="41">
        <v>43019</v>
      </c>
      <c r="N20" s="41">
        <v>43383</v>
      </c>
      <c r="O20" s="42">
        <v>43462</v>
      </c>
      <c r="P20" s="61" t="str">
        <f t="shared" si="2"/>
        <v>2812201808-3</v>
      </c>
      <c r="Q20" s="28" t="e">
        <f>#REF!</f>
        <v>#REF!</v>
      </c>
    </row>
    <row r="21" spans="1:17" ht="15" customHeight="1">
      <c r="A21" s="52" t="str">
        <f t="shared" si="0"/>
        <v>0201201810-1</v>
      </c>
      <c r="B21" s="35" t="s">
        <v>217</v>
      </c>
      <c r="C21" s="35" t="s">
        <v>191</v>
      </c>
      <c r="D21" s="35"/>
      <c r="E21" s="39" t="s">
        <v>204</v>
      </c>
      <c r="F21" s="37"/>
      <c r="G21" s="43"/>
      <c r="H21" s="43" t="s">
        <v>210</v>
      </c>
      <c r="I21" s="43"/>
      <c r="J21" s="40">
        <v>26951.78</v>
      </c>
      <c r="K21" s="38" t="s">
        <v>156</v>
      </c>
      <c r="L21" s="36">
        <v>48</v>
      </c>
      <c r="M21" s="41">
        <v>43276</v>
      </c>
      <c r="N21" s="41">
        <f t="shared" ref="N21:N85" si="3">IF(L21&lt;&gt;"",EDATE(M21,L21),"")</f>
        <v>44737</v>
      </c>
      <c r="O21" s="42">
        <v>43482.467326388891</v>
      </c>
      <c r="P21" s="61" t="str">
        <f t="shared" si="2"/>
        <v>0201201810-1</v>
      </c>
      <c r="Q21" s="28" t="e">
        <f>#REF!</f>
        <v>#REF!</v>
      </c>
    </row>
    <row r="22" spans="1:17">
      <c r="A22" s="52" t="str">
        <f t="shared" si="0"/>
        <v>-</v>
      </c>
      <c r="B22" s="35"/>
      <c r="C22" s="35"/>
      <c r="D22" s="35"/>
      <c r="E22" s="39"/>
      <c r="F22" s="37"/>
      <c r="G22" s="43"/>
      <c r="H22" s="43"/>
      <c r="I22" s="43"/>
      <c r="J22" s="40"/>
      <c r="K22" s="38"/>
      <c r="L22" s="36"/>
      <c r="M22" s="41"/>
      <c r="N22" s="41" t="str">
        <f t="shared" si="3"/>
        <v/>
      </c>
      <c r="O22" s="42"/>
      <c r="P22" s="61" t="str">
        <f t="shared" si="2"/>
        <v>-</v>
      </c>
      <c r="Q22" s="28" t="e">
        <f>#REF!</f>
        <v>#REF!</v>
      </c>
    </row>
    <row r="23" spans="1:17">
      <c r="A23" s="52" t="str">
        <f t="shared" si="0"/>
        <v>-</v>
      </c>
      <c r="B23" s="35"/>
      <c r="C23" s="35"/>
      <c r="D23" s="35"/>
      <c r="E23" s="39"/>
      <c r="F23" s="37"/>
      <c r="G23" s="43"/>
      <c r="H23" s="43"/>
      <c r="I23" s="43"/>
      <c r="J23" s="40"/>
      <c r="K23" s="38"/>
      <c r="L23" s="36"/>
      <c r="M23" s="41"/>
      <c r="N23" s="41" t="str">
        <f t="shared" si="3"/>
        <v/>
      </c>
      <c r="O23" s="42"/>
      <c r="P23" s="61" t="str">
        <f t="shared" si="2"/>
        <v>-</v>
      </c>
      <c r="Q23" s="28" t="e">
        <f>#REF!</f>
        <v>#REF!</v>
      </c>
    </row>
    <row r="24" spans="1:17" ht="15" customHeight="1">
      <c r="A24" s="52" t="str">
        <f t="shared" si="0"/>
        <v>-</v>
      </c>
      <c r="B24" s="35"/>
      <c r="C24" s="35"/>
      <c r="D24" s="35"/>
      <c r="E24" s="39"/>
      <c r="F24" s="37"/>
      <c r="G24" s="43"/>
      <c r="H24" s="43"/>
      <c r="I24" s="43"/>
      <c r="J24" s="40"/>
      <c r="K24" s="38"/>
      <c r="L24" s="36"/>
      <c r="M24" s="41"/>
      <c r="N24" s="41" t="str">
        <f t="shared" si="3"/>
        <v/>
      </c>
      <c r="O24" s="42"/>
      <c r="P24" s="61" t="str">
        <f t="shared" si="2"/>
        <v>-</v>
      </c>
      <c r="Q24" s="28" t="e">
        <f>#REF!</f>
        <v>#REF!</v>
      </c>
    </row>
    <row r="25" spans="1:17" ht="15" customHeight="1">
      <c r="A25" s="52" t="str">
        <f t="shared" si="0"/>
        <v>-</v>
      </c>
      <c r="B25" s="35"/>
      <c r="C25" s="35"/>
      <c r="D25" s="35"/>
      <c r="E25" s="39"/>
      <c r="F25" s="37"/>
      <c r="G25" s="43"/>
      <c r="H25" s="43"/>
      <c r="I25" s="43"/>
      <c r="J25" s="40"/>
      <c r="K25" s="38"/>
      <c r="L25" s="36"/>
      <c r="M25" s="41"/>
      <c r="N25" s="41" t="str">
        <f t="shared" si="3"/>
        <v/>
      </c>
      <c r="O25" s="42"/>
      <c r="P25" s="61" t="str">
        <f t="shared" si="2"/>
        <v>-</v>
      </c>
      <c r="Q25" s="28" t="e">
        <f>#REF!</f>
        <v>#REF!</v>
      </c>
    </row>
    <row r="26" spans="1:17" ht="15" customHeight="1">
      <c r="A26" s="52" t="str">
        <f t="shared" si="0"/>
        <v>-</v>
      </c>
      <c r="B26" s="35"/>
      <c r="C26" s="35"/>
      <c r="D26" s="35"/>
      <c r="E26" s="39"/>
      <c r="F26" s="37"/>
      <c r="G26" s="43"/>
      <c r="H26" s="43"/>
      <c r="I26" s="43"/>
      <c r="J26" s="40"/>
      <c r="K26" s="38"/>
      <c r="L26" s="36"/>
      <c r="M26" s="41"/>
      <c r="N26" s="41" t="str">
        <f t="shared" si="3"/>
        <v/>
      </c>
      <c r="O26" s="42"/>
      <c r="P26" s="61" t="str">
        <f t="shared" si="2"/>
        <v>-</v>
      </c>
      <c r="Q26" s="28" t="e">
        <f>#REF!</f>
        <v>#REF!</v>
      </c>
    </row>
    <row r="27" spans="1:17" ht="15" customHeight="1">
      <c r="A27" s="52" t="str">
        <f t="shared" si="0"/>
        <v>-</v>
      </c>
      <c r="B27" s="35"/>
      <c r="C27" s="35"/>
      <c r="D27" s="35"/>
      <c r="E27" s="39"/>
      <c r="F27" s="37"/>
      <c r="G27" s="43"/>
      <c r="H27" s="43"/>
      <c r="I27" s="43"/>
      <c r="J27" s="40"/>
      <c r="K27" s="38"/>
      <c r="L27" s="36"/>
      <c r="M27" s="41"/>
      <c r="N27" s="41" t="str">
        <f t="shared" si="3"/>
        <v/>
      </c>
      <c r="O27" s="42"/>
      <c r="P27" s="61" t="str">
        <f t="shared" si="2"/>
        <v>-</v>
      </c>
      <c r="Q27" s="28" t="e">
        <f>#REF!</f>
        <v>#REF!</v>
      </c>
    </row>
    <row r="28" spans="1:17">
      <c r="A28" s="52" t="str">
        <f t="shared" si="0"/>
        <v>-</v>
      </c>
      <c r="B28" s="35"/>
      <c r="C28" s="35"/>
      <c r="D28" s="35"/>
      <c r="E28" s="39"/>
      <c r="F28" s="37"/>
      <c r="G28" s="43"/>
      <c r="H28" s="43"/>
      <c r="I28" s="43"/>
      <c r="J28" s="40"/>
      <c r="K28" s="38"/>
      <c r="L28" s="36"/>
      <c r="M28" s="41"/>
      <c r="N28" s="41" t="str">
        <f t="shared" si="3"/>
        <v/>
      </c>
      <c r="O28" s="42"/>
      <c r="P28" s="61" t="str">
        <f t="shared" si="2"/>
        <v>-</v>
      </c>
      <c r="Q28" s="28" t="e">
        <f>#REF!</f>
        <v>#REF!</v>
      </c>
    </row>
    <row r="29" spans="1:17">
      <c r="A29" s="52" t="str">
        <f t="shared" si="0"/>
        <v>-</v>
      </c>
      <c r="B29" s="35"/>
      <c r="C29" s="35"/>
      <c r="D29" s="35"/>
      <c r="E29" s="39"/>
      <c r="F29" s="37"/>
      <c r="G29" s="43"/>
      <c r="H29" s="43"/>
      <c r="I29" s="43"/>
      <c r="J29" s="40"/>
      <c r="K29" s="38"/>
      <c r="L29" s="36"/>
      <c r="M29" s="41"/>
      <c r="N29" s="41" t="str">
        <f t="shared" si="3"/>
        <v/>
      </c>
      <c r="O29" s="42"/>
      <c r="P29" s="61" t="str">
        <f t="shared" si="2"/>
        <v>-</v>
      </c>
      <c r="Q29" s="28" t="e">
        <f>#REF!</f>
        <v>#REF!</v>
      </c>
    </row>
    <row r="30" spans="1:17">
      <c r="A30" s="52" t="str">
        <f t="shared" si="0"/>
        <v>-</v>
      </c>
      <c r="B30" s="35"/>
      <c r="C30" s="35"/>
      <c r="D30" s="35"/>
      <c r="E30" s="39"/>
      <c r="F30" s="37"/>
      <c r="G30" s="43"/>
      <c r="H30" s="43"/>
      <c r="I30" s="43"/>
      <c r="J30" s="40"/>
      <c r="K30" s="38"/>
      <c r="L30" s="36"/>
      <c r="M30" s="41"/>
      <c r="N30" s="41" t="str">
        <f t="shared" si="3"/>
        <v/>
      </c>
      <c r="O30" s="42"/>
      <c r="P30" s="61" t="str">
        <f t="shared" si="2"/>
        <v>-</v>
      </c>
      <c r="Q30" s="28" t="e">
        <f>#REF!</f>
        <v>#REF!</v>
      </c>
    </row>
    <row r="31" spans="1:17">
      <c r="A31" s="52" t="str">
        <f t="shared" si="0"/>
        <v>-</v>
      </c>
      <c r="B31" s="35"/>
      <c r="C31" s="35"/>
      <c r="D31" s="35"/>
      <c r="E31" s="39"/>
      <c r="F31" s="37"/>
      <c r="G31" s="43"/>
      <c r="H31" s="43"/>
      <c r="I31" s="43"/>
      <c r="J31" s="40"/>
      <c r="K31" s="38"/>
      <c r="L31" s="36"/>
      <c r="M31" s="41"/>
      <c r="N31" s="41" t="str">
        <f t="shared" si="3"/>
        <v/>
      </c>
      <c r="O31" s="42"/>
      <c r="P31" s="61" t="str">
        <f t="shared" si="2"/>
        <v>-</v>
      </c>
      <c r="Q31" s="28" t="e">
        <f>#REF!</f>
        <v>#REF!</v>
      </c>
    </row>
    <row r="32" spans="1:17">
      <c r="A32" s="52" t="str">
        <f t="shared" si="0"/>
        <v>-</v>
      </c>
      <c r="B32" s="35"/>
      <c r="C32" s="35"/>
      <c r="D32" s="35"/>
      <c r="E32" s="39"/>
      <c r="F32" s="37"/>
      <c r="G32" s="43"/>
      <c r="H32" s="43"/>
      <c r="I32" s="43"/>
      <c r="J32" s="40"/>
      <c r="K32" s="38"/>
      <c r="L32" s="36"/>
      <c r="M32" s="41"/>
      <c r="N32" s="41" t="str">
        <f t="shared" si="3"/>
        <v/>
      </c>
      <c r="O32" s="42"/>
      <c r="P32" s="61" t="str">
        <f t="shared" si="2"/>
        <v>-</v>
      </c>
      <c r="Q32" s="28" t="e">
        <f>#REF!</f>
        <v>#REF!</v>
      </c>
    </row>
    <row r="33" spans="1:17">
      <c r="A33" s="52" t="str">
        <f t="shared" si="0"/>
        <v>-</v>
      </c>
      <c r="B33" s="35"/>
      <c r="C33" s="35"/>
      <c r="D33" s="35"/>
      <c r="E33" s="39"/>
      <c r="F33" s="37"/>
      <c r="G33" s="43"/>
      <c r="H33" s="43"/>
      <c r="I33" s="43"/>
      <c r="J33" s="40"/>
      <c r="K33" s="38"/>
      <c r="L33" s="36"/>
      <c r="M33" s="41"/>
      <c r="N33" s="41" t="str">
        <f t="shared" si="3"/>
        <v/>
      </c>
      <c r="O33" s="42"/>
      <c r="P33" s="61" t="str">
        <f t="shared" si="2"/>
        <v>-</v>
      </c>
      <c r="Q33" s="28" t="e">
        <f>#REF!</f>
        <v>#REF!</v>
      </c>
    </row>
    <row r="34" spans="1:17">
      <c r="A34" s="52" t="str">
        <f t="shared" si="0"/>
        <v>-</v>
      </c>
      <c r="B34" s="35"/>
      <c r="C34" s="35"/>
      <c r="D34" s="35"/>
      <c r="E34" s="39"/>
      <c r="F34" s="37"/>
      <c r="G34" s="43"/>
      <c r="H34" s="43"/>
      <c r="I34" s="43"/>
      <c r="J34" s="40"/>
      <c r="K34" s="38"/>
      <c r="L34" s="36"/>
      <c r="M34" s="41"/>
      <c r="N34" s="41" t="str">
        <f t="shared" si="3"/>
        <v/>
      </c>
      <c r="O34" s="42"/>
      <c r="P34" s="61" t="str">
        <f t="shared" si="2"/>
        <v>-</v>
      </c>
      <c r="Q34" s="28" t="e">
        <f>#REF!</f>
        <v>#REF!</v>
      </c>
    </row>
    <row r="35" spans="1:17">
      <c r="A35" s="52" t="str">
        <f t="shared" si="0"/>
        <v>-</v>
      </c>
      <c r="B35" s="35"/>
      <c r="C35" s="35"/>
      <c r="D35" s="35"/>
      <c r="E35" s="39"/>
      <c r="F35" s="37"/>
      <c r="G35" s="43"/>
      <c r="H35" s="43"/>
      <c r="I35" s="43"/>
      <c r="J35" s="40"/>
      <c r="K35" s="38"/>
      <c r="L35" s="36"/>
      <c r="M35" s="41"/>
      <c r="N35" s="41" t="str">
        <f t="shared" si="3"/>
        <v/>
      </c>
      <c r="O35" s="42"/>
      <c r="P35" s="61" t="str">
        <f t="shared" si="2"/>
        <v>-</v>
      </c>
      <c r="Q35" s="28" t="e">
        <f>#REF!</f>
        <v>#REF!</v>
      </c>
    </row>
    <row r="36" spans="1:17">
      <c r="A36" s="52" t="str">
        <f t="shared" si="0"/>
        <v>-</v>
      </c>
      <c r="B36" s="35"/>
      <c r="C36" s="35"/>
      <c r="D36" s="35"/>
      <c r="E36" s="39"/>
      <c r="F36" s="37"/>
      <c r="G36" s="43"/>
      <c r="H36" s="43"/>
      <c r="I36" s="43"/>
      <c r="J36" s="40"/>
      <c r="K36" s="38"/>
      <c r="L36" s="36"/>
      <c r="M36" s="41"/>
      <c r="N36" s="41" t="str">
        <f t="shared" si="3"/>
        <v/>
      </c>
      <c r="O36" s="42"/>
      <c r="P36" s="61" t="str">
        <f t="shared" si="2"/>
        <v>-</v>
      </c>
      <c r="Q36" s="28" t="e">
        <f>#REF!</f>
        <v>#REF!</v>
      </c>
    </row>
    <row r="37" spans="1:17">
      <c r="A37" s="52" t="str">
        <f t="shared" si="0"/>
        <v>-</v>
      </c>
      <c r="B37" s="35"/>
      <c r="C37" s="35"/>
      <c r="D37" s="35"/>
      <c r="E37" s="39"/>
      <c r="F37" s="37"/>
      <c r="G37" s="43"/>
      <c r="H37" s="43"/>
      <c r="I37" s="43"/>
      <c r="J37" s="40"/>
      <c r="K37" s="38"/>
      <c r="L37" s="36"/>
      <c r="M37" s="41"/>
      <c r="N37" s="41" t="str">
        <f t="shared" si="3"/>
        <v/>
      </c>
      <c r="O37" s="42"/>
      <c r="P37" s="61" t="str">
        <f t="shared" si="2"/>
        <v>-</v>
      </c>
      <c r="Q37" s="28" t="e">
        <f>#REF!</f>
        <v>#REF!</v>
      </c>
    </row>
    <row r="38" spans="1:17">
      <c r="A38" s="52" t="str">
        <f t="shared" si="0"/>
        <v>-</v>
      </c>
      <c r="B38" s="35"/>
      <c r="C38" s="35"/>
      <c r="D38" s="35"/>
      <c r="E38" s="39"/>
      <c r="F38" s="37"/>
      <c r="G38" s="43"/>
      <c r="H38" s="43"/>
      <c r="I38" s="43"/>
      <c r="J38" s="40"/>
      <c r="K38" s="38"/>
      <c r="L38" s="36"/>
      <c r="M38" s="41"/>
      <c r="N38" s="41" t="str">
        <f t="shared" si="3"/>
        <v/>
      </c>
      <c r="O38" s="42"/>
      <c r="P38" s="61" t="str">
        <f t="shared" si="2"/>
        <v>-</v>
      </c>
      <c r="Q38" s="28" t="e">
        <f>#REF!</f>
        <v>#REF!</v>
      </c>
    </row>
    <row r="39" spans="1:17">
      <c r="A39" s="52" t="str">
        <f t="shared" si="0"/>
        <v>-</v>
      </c>
      <c r="B39" s="35"/>
      <c r="C39" s="35"/>
      <c r="D39" s="35"/>
      <c r="E39" s="39"/>
      <c r="F39" s="37"/>
      <c r="G39" s="43"/>
      <c r="H39" s="43"/>
      <c r="I39" s="43"/>
      <c r="J39" s="40"/>
      <c r="K39" s="35"/>
      <c r="L39" s="35"/>
      <c r="M39" s="35"/>
      <c r="N39" s="41" t="str">
        <f t="shared" si="3"/>
        <v/>
      </c>
      <c r="O39" s="35"/>
      <c r="P39" s="61" t="str">
        <f t="shared" si="2"/>
        <v>-</v>
      </c>
      <c r="Q39" s="28" t="e">
        <f>#REF!</f>
        <v>#REF!</v>
      </c>
    </row>
    <row r="40" spans="1:17">
      <c r="A40" s="52" t="str">
        <f t="shared" ref="A40:A46" si="4">CONCATENATE(B40,"-",C33)</f>
        <v>-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41" t="str">
        <f t="shared" si="3"/>
        <v/>
      </c>
      <c r="O40" s="35"/>
      <c r="P40" s="61" t="str">
        <f t="shared" si="2"/>
        <v>-</v>
      </c>
      <c r="Q40" s="28" t="e">
        <f>#REF!</f>
        <v>#REF!</v>
      </c>
    </row>
    <row r="41" spans="1:17">
      <c r="A41" s="52" t="str">
        <f t="shared" si="4"/>
        <v>-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41" t="str">
        <f t="shared" si="3"/>
        <v/>
      </c>
      <c r="O41" s="35"/>
      <c r="P41" s="61" t="str">
        <f t="shared" si="2"/>
        <v>-</v>
      </c>
      <c r="Q41" s="28" t="e">
        <f>#REF!</f>
        <v>#REF!</v>
      </c>
    </row>
    <row r="42" spans="1:17">
      <c r="A42" s="52" t="str">
        <f t="shared" si="4"/>
        <v>-</v>
      </c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41" t="str">
        <f t="shared" si="3"/>
        <v/>
      </c>
      <c r="O42" s="35"/>
      <c r="P42" s="61" t="str">
        <f t="shared" si="2"/>
        <v>-</v>
      </c>
      <c r="Q42" s="28" t="e">
        <f>#REF!</f>
        <v>#REF!</v>
      </c>
    </row>
    <row r="43" spans="1:17">
      <c r="A43" s="52" t="str">
        <f t="shared" si="4"/>
        <v>-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41" t="str">
        <f t="shared" si="3"/>
        <v/>
      </c>
      <c r="O43" s="35"/>
      <c r="P43" s="61" t="str">
        <f t="shared" si="2"/>
        <v>-</v>
      </c>
      <c r="Q43" s="28" t="e">
        <f>#REF!</f>
        <v>#REF!</v>
      </c>
    </row>
    <row r="44" spans="1:17">
      <c r="A44" s="52" t="str">
        <f t="shared" si="4"/>
        <v>-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41" t="str">
        <f t="shared" si="3"/>
        <v/>
      </c>
      <c r="O44" s="35"/>
      <c r="P44" s="61" t="str">
        <f t="shared" si="2"/>
        <v>-</v>
      </c>
      <c r="Q44" s="28" t="e">
        <f>#REF!</f>
        <v>#REF!</v>
      </c>
    </row>
    <row r="45" spans="1:17">
      <c r="A45" s="52" t="str">
        <f t="shared" si="4"/>
        <v>-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41" t="str">
        <f t="shared" si="3"/>
        <v/>
      </c>
      <c r="O45" s="35"/>
      <c r="P45" s="61" t="str">
        <f t="shared" si="2"/>
        <v>-</v>
      </c>
      <c r="Q45" s="28" t="e">
        <f>#REF!</f>
        <v>#REF!</v>
      </c>
    </row>
    <row r="46" spans="1:17">
      <c r="A46" s="52" t="str">
        <f t="shared" si="4"/>
        <v>-</v>
      </c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41" t="str">
        <f t="shared" si="3"/>
        <v/>
      </c>
      <c r="O46" s="35"/>
      <c r="P46" s="61" t="str">
        <f t="shared" si="2"/>
        <v>-</v>
      </c>
      <c r="Q46" s="28" t="e">
        <f>#REF!</f>
        <v>#REF!</v>
      </c>
    </row>
    <row r="47" spans="1:17">
      <c r="A47" s="52" t="str">
        <f t="shared" ref="A47:A110" si="5">CONCATENATE(B47,"-",C47)</f>
        <v>-</v>
      </c>
      <c r="B47" s="35"/>
      <c r="C47" s="35"/>
      <c r="D47" s="35"/>
      <c r="E47" s="35"/>
      <c r="F47" s="35"/>
      <c r="G47" s="35"/>
      <c r="H47" s="35"/>
      <c r="I47" s="35"/>
      <c r="J47" s="35"/>
      <c r="K47" s="38"/>
      <c r="L47" s="36"/>
      <c r="M47" s="41"/>
      <c r="N47" s="41" t="str">
        <f t="shared" si="3"/>
        <v/>
      </c>
      <c r="O47" s="42"/>
      <c r="P47" s="61" t="str">
        <f t="shared" si="2"/>
        <v>-</v>
      </c>
      <c r="Q47" s="28" t="e">
        <f>#REF!</f>
        <v>#REF!</v>
      </c>
    </row>
    <row r="48" spans="1:17">
      <c r="A48" s="52" t="str">
        <f t="shared" si="5"/>
        <v>-</v>
      </c>
      <c r="B48" s="35"/>
      <c r="C48" s="35"/>
      <c r="D48" s="35"/>
      <c r="E48" s="39"/>
      <c r="F48" s="37"/>
      <c r="G48" s="43"/>
      <c r="H48" s="43"/>
      <c r="I48" s="43"/>
      <c r="J48" s="40"/>
      <c r="K48" s="38"/>
      <c r="L48" s="36"/>
      <c r="M48" s="41"/>
      <c r="N48" s="41" t="str">
        <f t="shared" si="3"/>
        <v/>
      </c>
      <c r="O48" s="42"/>
      <c r="P48" s="61" t="str">
        <f t="shared" si="2"/>
        <v>-</v>
      </c>
      <c r="Q48" s="28" t="e">
        <f>#REF!</f>
        <v>#REF!</v>
      </c>
    </row>
    <row r="49" spans="1:17">
      <c r="A49" s="52" t="str">
        <f t="shared" si="5"/>
        <v>-</v>
      </c>
      <c r="B49" s="35"/>
      <c r="C49" s="35"/>
      <c r="D49" s="35"/>
      <c r="E49" s="39"/>
      <c r="F49" s="37"/>
      <c r="G49" s="43"/>
      <c r="H49" s="43"/>
      <c r="I49" s="43"/>
      <c r="J49" s="40"/>
      <c r="K49" s="38"/>
      <c r="L49" s="36"/>
      <c r="M49" s="41"/>
      <c r="N49" s="41" t="str">
        <f t="shared" si="3"/>
        <v/>
      </c>
      <c r="O49" s="42"/>
      <c r="P49" s="61" t="str">
        <f t="shared" si="2"/>
        <v>-</v>
      </c>
      <c r="Q49" s="28" t="e">
        <f>#REF!</f>
        <v>#REF!</v>
      </c>
    </row>
    <row r="50" spans="1:17">
      <c r="A50" s="52" t="str">
        <f t="shared" si="5"/>
        <v>-</v>
      </c>
      <c r="B50" s="35"/>
      <c r="C50" s="35"/>
      <c r="D50" s="35"/>
      <c r="E50" s="39"/>
      <c r="F50" s="37"/>
      <c r="G50" s="43"/>
      <c r="H50" s="43"/>
      <c r="I50" s="43"/>
      <c r="J50" s="40"/>
      <c r="K50" s="38"/>
      <c r="L50" s="36"/>
      <c r="M50" s="41"/>
      <c r="N50" s="41" t="str">
        <f t="shared" si="3"/>
        <v/>
      </c>
      <c r="O50" s="42"/>
      <c r="P50" s="61" t="str">
        <f t="shared" si="2"/>
        <v>-</v>
      </c>
      <c r="Q50" s="28" t="e">
        <f>#REF!</f>
        <v>#REF!</v>
      </c>
    </row>
    <row r="51" spans="1:17">
      <c r="A51" s="52" t="str">
        <f t="shared" si="5"/>
        <v>-</v>
      </c>
      <c r="B51" s="35"/>
      <c r="C51" s="35"/>
      <c r="D51" s="35"/>
      <c r="E51" s="39"/>
      <c r="F51" s="37"/>
      <c r="G51" s="43"/>
      <c r="H51" s="43"/>
      <c r="I51" s="43"/>
      <c r="J51" s="40"/>
      <c r="K51" s="38"/>
      <c r="L51" s="36"/>
      <c r="M51" s="41"/>
      <c r="N51" s="41" t="str">
        <f t="shared" si="3"/>
        <v/>
      </c>
      <c r="O51" s="42"/>
      <c r="P51" s="61" t="str">
        <f t="shared" si="2"/>
        <v>-</v>
      </c>
      <c r="Q51" s="28" t="e">
        <f>#REF!</f>
        <v>#REF!</v>
      </c>
    </row>
    <row r="52" spans="1:17">
      <c r="A52" s="52" t="str">
        <f t="shared" si="5"/>
        <v>-</v>
      </c>
      <c r="B52" s="35"/>
      <c r="C52" s="35"/>
      <c r="D52" s="35"/>
      <c r="E52" s="39"/>
      <c r="F52" s="37"/>
      <c r="G52" s="43"/>
      <c r="H52" s="43"/>
      <c r="I52" s="43"/>
      <c r="J52" s="40"/>
      <c r="K52" s="38"/>
      <c r="L52" s="36"/>
      <c r="M52" s="41"/>
      <c r="N52" s="41" t="str">
        <f t="shared" si="3"/>
        <v/>
      </c>
      <c r="O52" s="42"/>
      <c r="P52" s="61" t="str">
        <f t="shared" si="2"/>
        <v>-</v>
      </c>
      <c r="Q52" s="28" t="e">
        <f>#REF!</f>
        <v>#REF!</v>
      </c>
    </row>
    <row r="53" spans="1:17">
      <c r="A53" s="52" t="str">
        <f t="shared" si="5"/>
        <v>-</v>
      </c>
      <c r="B53" s="35"/>
      <c r="C53" s="35"/>
      <c r="D53" s="35"/>
      <c r="E53" s="39"/>
      <c r="F53" s="37"/>
      <c r="G53" s="43"/>
      <c r="H53" s="43"/>
      <c r="I53" s="43"/>
      <c r="J53" s="40"/>
      <c r="K53" s="38"/>
      <c r="L53" s="36"/>
      <c r="M53" s="41"/>
      <c r="N53" s="41" t="str">
        <f t="shared" si="3"/>
        <v/>
      </c>
      <c r="O53" s="42"/>
      <c r="P53" s="61" t="str">
        <f t="shared" si="2"/>
        <v>-</v>
      </c>
      <c r="Q53" s="28" t="e">
        <f>#REF!</f>
        <v>#REF!</v>
      </c>
    </row>
    <row r="54" spans="1:17">
      <c r="A54" s="52" t="str">
        <f t="shared" si="5"/>
        <v>-</v>
      </c>
      <c r="B54" s="35"/>
      <c r="C54" s="35"/>
      <c r="D54" s="35"/>
      <c r="E54" s="39"/>
      <c r="F54" s="37"/>
      <c r="G54" s="43"/>
      <c r="H54" s="43"/>
      <c r="I54" s="43"/>
      <c r="J54" s="40"/>
      <c r="K54" s="38"/>
      <c r="L54" s="36"/>
      <c r="M54" s="41"/>
      <c r="N54" s="41" t="str">
        <f t="shared" si="3"/>
        <v/>
      </c>
      <c r="O54" s="42"/>
      <c r="P54" s="61" t="str">
        <f t="shared" si="2"/>
        <v>-</v>
      </c>
      <c r="Q54" s="28" t="e">
        <f>#REF!</f>
        <v>#REF!</v>
      </c>
    </row>
    <row r="55" spans="1:17">
      <c r="A55" s="52" t="str">
        <f t="shared" si="5"/>
        <v>-</v>
      </c>
      <c r="B55" s="35"/>
      <c r="C55" s="35"/>
      <c r="D55" s="35"/>
      <c r="E55" s="39"/>
      <c r="F55" s="37"/>
      <c r="G55" s="43"/>
      <c r="H55" s="43"/>
      <c r="I55" s="43"/>
      <c r="J55" s="40"/>
      <c r="K55" s="38"/>
      <c r="L55" s="36"/>
      <c r="M55" s="41"/>
      <c r="N55" s="41" t="str">
        <f t="shared" si="3"/>
        <v/>
      </c>
      <c r="O55" s="42"/>
      <c r="P55" s="61" t="str">
        <f t="shared" si="2"/>
        <v>-</v>
      </c>
      <c r="Q55" s="28" t="e">
        <f>#REF!</f>
        <v>#REF!</v>
      </c>
    </row>
    <row r="56" spans="1:17">
      <c r="A56" s="52" t="str">
        <f t="shared" si="5"/>
        <v>-</v>
      </c>
      <c r="B56" s="35"/>
      <c r="C56" s="35"/>
      <c r="D56" s="35"/>
      <c r="E56" s="39"/>
      <c r="F56" s="37"/>
      <c r="G56" s="43"/>
      <c r="H56" s="43"/>
      <c r="I56" s="43"/>
      <c r="J56" s="40"/>
      <c r="K56" s="38"/>
      <c r="L56" s="36"/>
      <c r="M56" s="41"/>
      <c r="N56" s="41" t="str">
        <f t="shared" si="3"/>
        <v/>
      </c>
      <c r="O56" s="42"/>
      <c r="P56" s="61" t="str">
        <f t="shared" si="2"/>
        <v>-</v>
      </c>
      <c r="Q56" s="28" t="e">
        <f>#REF!</f>
        <v>#REF!</v>
      </c>
    </row>
    <row r="57" spans="1:17">
      <c r="A57" s="52" t="str">
        <f t="shared" si="5"/>
        <v>-</v>
      </c>
      <c r="B57" s="35"/>
      <c r="C57" s="35"/>
      <c r="D57" s="35"/>
      <c r="E57" s="39"/>
      <c r="F57" s="37"/>
      <c r="G57" s="43"/>
      <c r="H57" s="43"/>
      <c r="I57" s="43"/>
      <c r="J57" s="40"/>
      <c r="K57" s="38"/>
      <c r="L57" s="36"/>
      <c r="M57" s="41"/>
      <c r="N57" s="41" t="str">
        <f t="shared" si="3"/>
        <v/>
      </c>
      <c r="O57" s="42"/>
      <c r="P57" s="61" t="str">
        <f t="shared" si="2"/>
        <v>-</v>
      </c>
      <c r="Q57" s="28" t="e">
        <f>#REF!</f>
        <v>#REF!</v>
      </c>
    </row>
    <row r="58" spans="1:17">
      <c r="A58" s="52" t="str">
        <f t="shared" si="5"/>
        <v>-</v>
      </c>
      <c r="B58" s="35"/>
      <c r="C58" s="35"/>
      <c r="D58" s="35"/>
      <c r="E58" s="39"/>
      <c r="F58" s="37"/>
      <c r="G58" s="43"/>
      <c r="H58" s="43"/>
      <c r="I58" s="43"/>
      <c r="J58" s="40"/>
      <c r="K58" s="38"/>
      <c r="L58" s="36"/>
      <c r="M58" s="41"/>
      <c r="N58" s="41" t="str">
        <f t="shared" si="3"/>
        <v/>
      </c>
      <c r="O58" s="42"/>
      <c r="P58" s="61" t="str">
        <f t="shared" si="2"/>
        <v>-</v>
      </c>
      <c r="Q58" s="28" t="e">
        <f>#REF!</f>
        <v>#REF!</v>
      </c>
    </row>
    <row r="59" spans="1:17">
      <c r="A59" s="52" t="str">
        <f t="shared" si="5"/>
        <v>-</v>
      </c>
      <c r="B59" s="35"/>
      <c r="C59" s="35"/>
      <c r="D59" s="35"/>
      <c r="E59" s="39"/>
      <c r="F59" s="37"/>
      <c r="G59" s="43"/>
      <c r="H59" s="43"/>
      <c r="I59" s="43"/>
      <c r="J59" s="40"/>
      <c r="K59" s="38"/>
      <c r="L59" s="36"/>
      <c r="M59" s="41"/>
      <c r="N59" s="41" t="str">
        <f t="shared" si="3"/>
        <v/>
      </c>
      <c r="O59" s="42"/>
      <c r="P59" s="61" t="str">
        <f t="shared" si="2"/>
        <v>-</v>
      </c>
      <c r="Q59" s="28" t="e">
        <f>#REF!</f>
        <v>#REF!</v>
      </c>
    </row>
    <row r="60" spans="1:17">
      <c r="A60" s="52" t="str">
        <f t="shared" si="5"/>
        <v>-</v>
      </c>
      <c r="B60" s="35"/>
      <c r="C60" s="35"/>
      <c r="D60" s="35"/>
      <c r="E60" s="39"/>
      <c r="F60" s="37"/>
      <c r="G60" s="43"/>
      <c r="H60" s="43"/>
      <c r="I60" s="43"/>
      <c r="J60" s="40"/>
      <c r="K60" s="38"/>
      <c r="L60" s="36"/>
      <c r="M60" s="41"/>
      <c r="N60" s="41" t="str">
        <f t="shared" si="3"/>
        <v/>
      </c>
      <c r="O60" s="42"/>
      <c r="P60" s="61" t="str">
        <f t="shared" si="2"/>
        <v>-</v>
      </c>
      <c r="Q60" s="28" t="e">
        <f>#REF!</f>
        <v>#REF!</v>
      </c>
    </row>
    <row r="61" spans="1:17">
      <c r="A61" s="52" t="str">
        <f t="shared" si="5"/>
        <v>-</v>
      </c>
      <c r="B61" s="35"/>
      <c r="C61" s="35"/>
      <c r="D61" s="35"/>
      <c r="E61" s="39"/>
      <c r="F61" s="37"/>
      <c r="G61" s="43"/>
      <c r="H61" s="43"/>
      <c r="I61" s="43"/>
      <c r="J61" s="40"/>
      <c r="K61" s="38"/>
      <c r="L61" s="36"/>
      <c r="M61" s="41"/>
      <c r="N61" s="41" t="str">
        <f t="shared" si="3"/>
        <v/>
      </c>
      <c r="O61" s="42"/>
      <c r="P61" s="61" t="str">
        <f t="shared" si="2"/>
        <v>-</v>
      </c>
      <c r="Q61" s="28" t="e">
        <f>#REF!</f>
        <v>#REF!</v>
      </c>
    </row>
    <row r="62" spans="1:17">
      <c r="A62" s="52" t="str">
        <f t="shared" si="5"/>
        <v>-</v>
      </c>
      <c r="B62" s="35"/>
      <c r="C62" s="35"/>
      <c r="D62" s="35"/>
      <c r="E62" s="39"/>
      <c r="F62" s="37"/>
      <c r="G62" s="43"/>
      <c r="H62" s="43"/>
      <c r="I62" s="43"/>
      <c r="J62" s="40"/>
      <c r="K62" s="38"/>
      <c r="L62" s="36"/>
      <c r="M62" s="41"/>
      <c r="N62" s="41" t="str">
        <f t="shared" si="3"/>
        <v/>
      </c>
      <c r="O62" s="42"/>
      <c r="P62" s="61" t="str">
        <f t="shared" si="2"/>
        <v>-</v>
      </c>
      <c r="Q62" s="28" t="e">
        <f>#REF!</f>
        <v>#REF!</v>
      </c>
    </row>
    <row r="63" spans="1:17">
      <c r="A63" s="52" t="str">
        <f t="shared" si="5"/>
        <v>-</v>
      </c>
      <c r="B63" s="35"/>
      <c r="C63" s="35"/>
      <c r="D63" s="35"/>
      <c r="E63" s="39"/>
      <c r="F63" s="37"/>
      <c r="G63" s="43"/>
      <c r="H63" s="43"/>
      <c r="I63" s="43"/>
      <c r="J63" s="40"/>
      <c r="K63" s="38"/>
      <c r="L63" s="36"/>
      <c r="M63" s="41"/>
      <c r="N63" s="41" t="str">
        <f t="shared" si="3"/>
        <v/>
      </c>
      <c r="O63" s="42"/>
      <c r="P63" s="61" t="str">
        <f t="shared" si="2"/>
        <v>-</v>
      </c>
      <c r="Q63" s="28" t="e">
        <f>#REF!</f>
        <v>#REF!</v>
      </c>
    </row>
    <row r="64" spans="1:17">
      <c r="A64" s="52" t="str">
        <f t="shared" si="5"/>
        <v>-</v>
      </c>
      <c r="B64" s="35"/>
      <c r="C64" s="35"/>
      <c r="D64" s="35"/>
      <c r="E64" s="39"/>
      <c r="F64" s="37"/>
      <c r="G64" s="43"/>
      <c r="H64" s="43"/>
      <c r="I64" s="43"/>
      <c r="J64" s="40"/>
      <c r="K64" s="38"/>
      <c r="L64" s="36"/>
      <c r="M64" s="41"/>
      <c r="N64" s="41" t="str">
        <f t="shared" si="3"/>
        <v/>
      </c>
      <c r="O64" s="42"/>
      <c r="P64" s="61" t="str">
        <f t="shared" si="2"/>
        <v>-</v>
      </c>
      <c r="Q64" s="28" t="e">
        <f>#REF!</f>
        <v>#REF!</v>
      </c>
    </row>
    <row r="65" spans="1:17">
      <c r="A65" s="52" t="str">
        <f t="shared" si="5"/>
        <v>-</v>
      </c>
      <c r="B65" s="35"/>
      <c r="C65" s="35"/>
      <c r="D65" s="35"/>
      <c r="E65" s="39"/>
      <c r="F65" s="37"/>
      <c r="G65" s="43"/>
      <c r="H65" s="43"/>
      <c r="I65" s="43"/>
      <c r="J65" s="40"/>
      <c r="K65" s="38"/>
      <c r="L65" s="36"/>
      <c r="M65" s="41"/>
      <c r="N65" s="41" t="str">
        <f t="shared" si="3"/>
        <v/>
      </c>
      <c r="O65" s="42"/>
      <c r="P65" s="61" t="str">
        <f t="shared" si="2"/>
        <v>-</v>
      </c>
      <c r="Q65" s="28" t="e">
        <f>#REF!</f>
        <v>#REF!</v>
      </c>
    </row>
    <row r="66" spans="1:17">
      <c r="A66" s="52" t="str">
        <f t="shared" si="5"/>
        <v>-</v>
      </c>
      <c r="B66" s="35"/>
      <c r="C66" s="35"/>
      <c r="D66" s="35"/>
      <c r="E66" s="39"/>
      <c r="F66" s="37"/>
      <c r="G66" s="43"/>
      <c r="H66" s="43"/>
      <c r="I66" s="43"/>
      <c r="J66" s="40"/>
      <c r="K66" s="38"/>
      <c r="L66" s="36"/>
      <c r="M66" s="41"/>
      <c r="N66" s="41" t="str">
        <f t="shared" si="3"/>
        <v/>
      </c>
      <c r="O66" s="42"/>
      <c r="P66" s="61" t="str">
        <f t="shared" si="2"/>
        <v>-</v>
      </c>
      <c r="Q66" s="28" t="e">
        <f>#REF!</f>
        <v>#REF!</v>
      </c>
    </row>
    <row r="67" spans="1:17">
      <c r="A67" s="52" t="str">
        <f t="shared" si="5"/>
        <v>-</v>
      </c>
      <c r="B67" s="35"/>
      <c r="C67" s="35"/>
      <c r="D67" s="35"/>
      <c r="E67" s="39"/>
      <c r="F67" s="37"/>
      <c r="G67" s="43"/>
      <c r="H67" s="43"/>
      <c r="I67" s="43"/>
      <c r="J67" s="40"/>
      <c r="K67" s="38"/>
      <c r="L67" s="36"/>
      <c r="M67" s="41"/>
      <c r="N67" s="41" t="str">
        <f t="shared" si="3"/>
        <v/>
      </c>
      <c r="O67" s="42"/>
      <c r="P67" s="61" t="str">
        <f t="shared" si="2"/>
        <v>-</v>
      </c>
      <c r="Q67" s="28" t="e">
        <f>#REF!</f>
        <v>#REF!</v>
      </c>
    </row>
    <row r="68" spans="1:17">
      <c r="A68" s="52" t="str">
        <f t="shared" si="5"/>
        <v>-</v>
      </c>
      <c r="B68" s="35"/>
      <c r="C68" s="35"/>
      <c r="D68" s="35"/>
      <c r="E68" s="39"/>
      <c r="F68" s="37"/>
      <c r="G68" s="43"/>
      <c r="H68" s="43"/>
      <c r="I68" s="43"/>
      <c r="J68" s="40"/>
      <c r="K68" s="38"/>
      <c r="L68" s="36"/>
      <c r="M68" s="41"/>
      <c r="N68" s="41" t="str">
        <f t="shared" si="3"/>
        <v/>
      </c>
      <c r="O68" s="42"/>
      <c r="P68" s="61" t="str">
        <f t="shared" si="2"/>
        <v>-</v>
      </c>
      <c r="Q68" s="28" t="e">
        <f>#REF!</f>
        <v>#REF!</v>
      </c>
    </row>
    <row r="69" spans="1:17">
      <c r="A69" s="52" t="str">
        <f t="shared" si="5"/>
        <v>-</v>
      </c>
      <c r="B69" s="35"/>
      <c r="C69" s="35"/>
      <c r="D69" s="35"/>
      <c r="E69" s="39"/>
      <c r="F69" s="37"/>
      <c r="G69" s="43"/>
      <c r="H69" s="43"/>
      <c r="I69" s="43"/>
      <c r="J69" s="40"/>
      <c r="K69" s="38"/>
      <c r="L69" s="36"/>
      <c r="M69" s="41"/>
      <c r="N69" s="41" t="str">
        <f t="shared" si="3"/>
        <v/>
      </c>
      <c r="O69" s="42"/>
      <c r="P69" s="61" t="str">
        <f t="shared" si="2"/>
        <v>-</v>
      </c>
      <c r="Q69" s="28" t="e">
        <f>#REF!</f>
        <v>#REF!</v>
      </c>
    </row>
    <row r="70" spans="1:17">
      <c r="A70" s="52" t="str">
        <f t="shared" si="5"/>
        <v>-</v>
      </c>
      <c r="B70" s="35"/>
      <c r="C70" s="35"/>
      <c r="D70" s="35"/>
      <c r="E70" s="39"/>
      <c r="F70" s="37"/>
      <c r="G70" s="43"/>
      <c r="H70" s="43"/>
      <c r="I70" s="43"/>
      <c r="J70" s="40"/>
      <c r="K70" s="38"/>
      <c r="L70" s="36"/>
      <c r="M70" s="41"/>
      <c r="N70" s="41" t="str">
        <f t="shared" si="3"/>
        <v/>
      </c>
      <c r="O70" s="42"/>
      <c r="P70" s="61" t="str">
        <f t="shared" si="2"/>
        <v>-</v>
      </c>
      <c r="Q70" s="28" t="e">
        <f>#REF!</f>
        <v>#REF!</v>
      </c>
    </row>
    <row r="71" spans="1:17">
      <c r="A71" s="52" t="str">
        <f t="shared" si="5"/>
        <v>-</v>
      </c>
      <c r="B71" s="35"/>
      <c r="C71" s="35"/>
      <c r="D71" s="35"/>
      <c r="E71" s="39"/>
      <c r="F71" s="37"/>
      <c r="G71" s="43"/>
      <c r="H71" s="43"/>
      <c r="I71" s="43"/>
      <c r="J71" s="40"/>
      <c r="K71" s="38"/>
      <c r="L71" s="36"/>
      <c r="M71" s="41"/>
      <c r="N71" s="41" t="str">
        <f t="shared" si="3"/>
        <v/>
      </c>
      <c r="O71" s="42"/>
      <c r="P71" s="61" t="str">
        <f t="shared" si="2"/>
        <v>-</v>
      </c>
      <c r="Q71" s="28" t="e">
        <f>#REF!</f>
        <v>#REF!</v>
      </c>
    </row>
    <row r="72" spans="1:17">
      <c r="A72" s="52" t="str">
        <f t="shared" si="5"/>
        <v>-</v>
      </c>
      <c r="B72" s="35"/>
      <c r="C72" s="35"/>
      <c r="D72" s="35"/>
      <c r="E72" s="39"/>
      <c r="F72" s="37"/>
      <c r="G72" s="43"/>
      <c r="H72" s="43"/>
      <c r="I72" s="43"/>
      <c r="J72" s="40"/>
      <c r="K72" s="38"/>
      <c r="L72" s="36"/>
      <c r="M72" s="41"/>
      <c r="N72" s="41" t="str">
        <f t="shared" si="3"/>
        <v/>
      </c>
      <c r="O72" s="42"/>
      <c r="P72" s="61" t="str">
        <f t="shared" si="2"/>
        <v>-</v>
      </c>
      <c r="Q72" s="28" t="e">
        <f>#REF!</f>
        <v>#REF!</v>
      </c>
    </row>
    <row r="73" spans="1:17">
      <c r="A73" s="52" t="str">
        <f t="shared" si="5"/>
        <v>-</v>
      </c>
      <c r="B73" s="35"/>
      <c r="C73" s="35"/>
      <c r="D73" s="35"/>
      <c r="E73" s="39"/>
      <c r="F73" s="37"/>
      <c r="G73" s="43"/>
      <c r="H73" s="43"/>
      <c r="I73" s="43"/>
      <c r="J73" s="40"/>
      <c r="K73" s="38"/>
      <c r="L73" s="36"/>
      <c r="M73" s="41"/>
      <c r="N73" s="41" t="str">
        <f t="shared" si="3"/>
        <v/>
      </c>
      <c r="O73" s="42"/>
      <c r="P73" s="61" t="str">
        <f t="shared" si="2"/>
        <v>-</v>
      </c>
      <c r="Q73" s="28" t="e">
        <f>#REF!</f>
        <v>#REF!</v>
      </c>
    </row>
    <row r="74" spans="1:17">
      <c r="A74" s="52" t="str">
        <f t="shared" si="5"/>
        <v>-</v>
      </c>
      <c r="B74" s="35"/>
      <c r="C74" s="35"/>
      <c r="D74" s="35"/>
      <c r="E74" s="39"/>
      <c r="F74" s="37"/>
      <c r="G74" s="43"/>
      <c r="H74" s="43"/>
      <c r="I74" s="43"/>
      <c r="J74" s="40"/>
      <c r="K74" s="38"/>
      <c r="L74" s="36"/>
      <c r="M74" s="41"/>
      <c r="N74" s="41" t="str">
        <f t="shared" si="3"/>
        <v/>
      </c>
      <c r="O74" s="42"/>
      <c r="P74" s="61" t="str">
        <f t="shared" si="2"/>
        <v>-</v>
      </c>
      <c r="Q74" s="28" t="e">
        <f>#REF!</f>
        <v>#REF!</v>
      </c>
    </row>
    <row r="75" spans="1:17">
      <c r="A75" s="52" t="str">
        <f t="shared" si="5"/>
        <v>-</v>
      </c>
      <c r="B75" s="35"/>
      <c r="C75" s="35"/>
      <c r="D75" s="35"/>
      <c r="E75" s="39"/>
      <c r="F75" s="37"/>
      <c r="G75" s="43"/>
      <c r="H75" s="43"/>
      <c r="I75" s="43"/>
      <c r="J75" s="40"/>
      <c r="K75" s="38"/>
      <c r="L75" s="36"/>
      <c r="M75" s="41"/>
      <c r="N75" s="41" t="str">
        <f t="shared" si="3"/>
        <v/>
      </c>
      <c r="O75" s="42"/>
      <c r="P75" s="61" t="str">
        <f t="shared" si="2"/>
        <v>-</v>
      </c>
      <c r="Q75" s="28" t="e">
        <f>#REF!</f>
        <v>#REF!</v>
      </c>
    </row>
    <row r="76" spans="1:17">
      <c r="A76" s="52" t="str">
        <f t="shared" si="5"/>
        <v>-</v>
      </c>
      <c r="B76" s="35"/>
      <c r="C76" s="35"/>
      <c r="D76" s="35"/>
      <c r="E76" s="39"/>
      <c r="F76" s="37"/>
      <c r="G76" s="43"/>
      <c r="H76" s="43"/>
      <c r="I76" s="43"/>
      <c r="J76" s="40"/>
      <c r="K76" s="38"/>
      <c r="L76" s="36"/>
      <c r="M76" s="41"/>
      <c r="N76" s="41" t="str">
        <f t="shared" si="3"/>
        <v/>
      </c>
      <c r="O76" s="42"/>
      <c r="P76" s="61" t="str">
        <f t="shared" si="2"/>
        <v>-</v>
      </c>
      <c r="Q76" s="28" t="e">
        <f>#REF!</f>
        <v>#REF!</v>
      </c>
    </row>
    <row r="77" spans="1:17">
      <c r="A77" s="52" t="str">
        <f t="shared" si="5"/>
        <v>-</v>
      </c>
      <c r="B77" s="35"/>
      <c r="C77" s="35"/>
      <c r="D77" s="35"/>
      <c r="E77" s="39"/>
      <c r="F77" s="37"/>
      <c r="G77" s="43"/>
      <c r="H77" s="43"/>
      <c r="I77" s="43"/>
      <c r="J77" s="40"/>
      <c r="K77" s="38"/>
      <c r="L77" s="36"/>
      <c r="M77" s="41"/>
      <c r="N77" s="41" t="str">
        <f t="shared" si="3"/>
        <v/>
      </c>
      <c r="O77" s="42"/>
      <c r="P77" s="61" t="str">
        <f t="shared" si="2"/>
        <v>-</v>
      </c>
      <c r="Q77" s="28" t="e">
        <f>#REF!</f>
        <v>#REF!</v>
      </c>
    </row>
    <row r="78" spans="1:17">
      <c r="A78" s="52" t="str">
        <f t="shared" si="5"/>
        <v>-</v>
      </c>
      <c r="B78" s="35"/>
      <c r="C78" s="35"/>
      <c r="D78" s="35"/>
      <c r="E78" s="39"/>
      <c r="F78" s="37"/>
      <c r="G78" s="43"/>
      <c r="H78" s="43"/>
      <c r="I78" s="43"/>
      <c r="J78" s="40"/>
      <c r="K78" s="38"/>
      <c r="L78" s="36"/>
      <c r="M78" s="41"/>
      <c r="N78" s="41" t="str">
        <f t="shared" si="3"/>
        <v/>
      </c>
      <c r="O78" s="42"/>
      <c r="P78" s="61" t="str">
        <f t="shared" si="2"/>
        <v>-</v>
      </c>
      <c r="Q78" s="28" t="e">
        <f>#REF!</f>
        <v>#REF!</v>
      </c>
    </row>
    <row r="79" spans="1:17">
      <c r="A79" s="52" t="str">
        <f t="shared" si="5"/>
        <v>-</v>
      </c>
      <c r="B79" s="35"/>
      <c r="C79" s="35"/>
      <c r="D79" s="35"/>
      <c r="E79" s="39"/>
      <c r="F79" s="37"/>
      <c r="G79" s="43"/>
      <c r="H79" s="43"/>
      <c r="I79" s="43"/>
      <c r="J79" s="40"/>
      <c r="K79" s="38"/>
      <c r="L79" s="36"/>
      <c r="M79" s="41"/>
      <c r="N79" s="41" t="str">
        <f t="shared" si="3"/>
        <v/>
      </c>
      <c r="O79" s="42"/>
      <c r="P79" s="61" t="str">
        <f t="shared" ref="P79:P142" si="6">A79</f>
        <v>-</v>
      </c>
      <c r="Q79" s="28" t="e">
        <f>#REF!</f>
        <v>#REF!</v>
      </c>
    </row>
    <row r="80" spans="1:17">
      <c r="A80" s="52" t="str">
        <f t="shared" si="5"/>
        <v>-</v>
      </c>
      <c r="B80" s="35"/>
      <c r="C80" s="35"/>
      <c r="D80" s="35"/>
      <c r="E80" s="39"/>
      <c r="F80" s="37"/>
      <c r="G80" s="43"/>
      <c r="H80" s="43"/>
      <c r="I80" s="43"/>
      <c r="J80" s="40"/>
      <c r="K80" s="38"/>
      <c r="L80" s="36"/>
      <c r="M80" s="41"/>
      <c r="N80" s="41" t="str">
        <f t="shared" si="3"/>
        <v/>
      </c>
      <c r="O80" s="42"/>
      <c r="P80" s="61" t="str">
        <f t="shared" si="6"/>
        <v>-</v>
      </c>
      <c r="Q80" s="28" t="e">
        <f>#REF!</f>
        <v>#REF!</v>
      </c>
    </row>
    <row r="81" spans="1:17">
      <c r="A81" s="52" t="str">
        <f t="shared" si="5"/>
        <v>-</v>
      </c>
      <c r="B81" s="35"/>
      <c r="C81" s="35"/>
      <c r="D81" s="35"/>
      <c r="E81" s="39"/>
      <c r="F81" s="37"/>
      <c r="G81" s="43"/>
      <c r="H81" s="43"/>
      <c r="I81" s="43"/>
      <c r="J81" s="40"/>
      <c r="K81" s="38"/>
      <c r="L81" s="36"/>
      <c r="M81" s="41"/>
      <c r="N81" s="41" t="str">
        <f t="shared" si="3"/>
        <v/>
      </c>
      <c r="O81" s="42"/>
      <c r="P81" s="61" t="str">
        <f t="shared" si="6"/>
        <v>-</v>
      </c>
      <c r="Q81" s="28" t="e">
        <f>#REF!</f>
        <v>#REF!</v>
      </c>
    </row>
    <row r="82" spans="1:17">
      <c r="A82" s="52" t="str">
        <f t="shared" si="5"/>
        <v>-</v>
      </c>
      <c r="B82" s="35"/>
      <c r="C82" s="35"/>
      <c r="D82" s="35"/>
      <c r="E82" s="39"/>
      <c r="F82" s="37"/>
      <c r="G82" s="43"/>
      <c r="H82" s="43"/>
      <c r="I82" s="43"/>
      <c r="J82" s="40"/>
      <c r="K82" s="38"/>
      <c r="L82" s="36"/>
      <c r="M82" s="41"/>
      <c r="N82" s="41" t="str">
        <f t="shared" si="3"/>
        <v/>
      </c>
      <c r="O82" s="42"/>
      <c r="P82" s="61" t="str">
        <f t="shared" si="6"/>
        <v>-</v>
      </c>
      <c r="Q82" s="28" t="e">
        <f>#REF!</f>
        <v>#REF!</v>
      </c>
    </row>
    <row r="83" spans="1:17">
      <c r="A83" s="52" t="str">
        <f t="shared" si="5"/>
        <v>-</v>
      </c>
      <c r="B83" s="35"/>
      <c r="C83" s="35"/>
      <c r="D83" s="35"/>
      <c r="E83" s="39"/>
      <c r="F83" s="37"/>
      <c r="G83" s="43"/>
      <c r="H83" s="43"/>
      <c r="I83" s="43"/>
      <c r="J83" s="40"/>
      <c r="K83" s="38"/>
      <c r="L83" s="36"/>
      <c r="M83" s="41"/>
      <c r="N83" s="41" t="str">
        <f t="shared" si="3"/>
        <v/>
      </c>
      <c r="O83" s="42"/>
      <c r="P83" s="61" t="str">
        <f t="shared" si="6"/>
        <v>-</v>
      </c>
      <c r="Q83" s="28" t="e">
        <f>#REF!</f>
        <v>#REF!</v>
      </c>
    </row>
    <row r="84" spans="1:17">
      <c r="A84" s="52" t="str">
        <f t="shared" si="5"/>
        <v>-</v>
      </c>
      <c r="B84" s="35"/>
      <c r="C84" s="35"/>
      <c r="D84" s="35"/>
      <c r="E84" s="39"/>
      <c r="F84" s="37"/>
      <c r="G84" s="43"/>
      <c r="H84" s="43"/>
      <c r="I84" s="43"/>
      <c r="J84" s="40"/>
      <c r="K84" s="38"/>
      <c r="L84" s="36"/>
      <c r="M84" s="41"/>
      <c r="N84" s="41" t="str">
        <f t="shared" si="3"/>
        <v/>
      </c>
      <c r="O84" s="42"/>
      <c r="P84" s="61" t="str">
        <f t="shared" si="6"/>
        <v>-</v>
      </c>
      <c r="Q84" s="28" t="e">
        <f>#REF!</f>
        <v>#REF!</v>
      </c>
    </row>
    <row r="85" spans="1:17">
      <c r="A85" s="52" t="str">
        <f t="shared" si="5"/>
        <v>-</v>
      </c>
      <c r="B85" s="35"/>
      <c r="C85" s="35"/>
      <c r="D85" s="35"/>
      <c r="E85" s="39"/>
      <c r="F85" s="37"/>
      <c r="G85" s="43"/>
      <c r="H85" s="43"/>
      <c r="I85" s="43"/>
      <c r="J85" s="40"/>
      <c r="K85" s="38"/>
      <c r="L85" s="36"/>
      <c r="M85" s="41"/>
      <c r="N85" s="41" t="str">
        <f t="shared" si="3"/>
        <v/>
      </c>
      <c r="O85" s="42"/>
      <c r="P85" s="61" t="str">
        <f t="shared" si="6"/>
        <v>-</v>
      </c>
      <c r="Q85" s="28" t="e">
        <f>#REF!</f>
        <v>#REF!</v>
      </c>
    </row>
    <row r="86" spans="1:17">
      <c r="A86" s="52" t="str">
        <f t="shared" si="5"/>
        <v>-</v>
      </c>
      <c r="B86" s="35"/>
      <c r="C86" s="35"/>
      <c r="D86" s="35"/>
      <c r="E86" s="39"/>
      <c r="F86" s="37"/>
      <c r="G86" s="43"/>
      <c r="H86" s="43"/>
      <c r="I86" s="43"/>
      <c r="J86" s="40"/>
      <c r="K86" s="38"/>
      <c r="L86" s="36"/>
      <c r="M86" s="41"/>
      <c r="N86" s="41" t="str">
        <f t="shared" ref="N86:N149" si="7">IF(L86&lt;&gt;"",EDATE(M86,L86),"")</f>
        <v/>
      </c>
      <c r="O86" s="42"/>
      <c r="P86" s="61" t="str">
        <f t="shared" si="6"/>
        <v>-</v>
      </c>
      <c r="Q86" s="28" t="e">
        <f>#REF!</f>
        <v>#REF!</v>
      </c>
    </row>
    <row r="87" spans="1:17">
      <c r="A87" s="52" t="str">
        <f t="shared" si="5"/>
        <v>-</v>
      </c>
      <c r="B87" s="35"/>
      <c r="C87" s="35"/>
      <c r="D87" s="35"/>
      <c r="E87" s="39"/>
      <c r="F87" s="37"/>
      <c r="G87" s="43"/>
      <c r="H87" s="43"/>
      <c r="I87" s="43"/>
      <c r="J87" s="40"/>
      <c r="K87" s="38"/>
      <c r="L87" s="36"/>
      <c r="M87" s="41"/>
      <c r="N87" s="41" t="str">
        <f t="shared" si="7"/>
        <v/>
      </c>
      <c r="O87" s="42"/>
      <c r="P87" s="61" t="str">
        <f t="shared" si="6"/>
        <v>-</v>
      </c>
      <c r="Q87" s="28" t="e">
        <f>#REF!</f>
        <v>#REF!</v>
      </c>
    </row>
    <row r="88" spans="1:17">
      <c r="A88" s="52" t="str">
        <f t="shared" si="5"/>
        <v>-</v>
      </c>
      <c r="B88" s="35"/>
      <c r="C88" s="35"/>
      <c r="D88" s="35"/>
      <c r="E88" s="39"/>
      <c r="F88" s="37"/>
      <c r="G88" s="43"/>
      <c r="H88" s="43"/>
      <c r="I88" s="43"/>
      <c r="J88" s="40"/>
      <c r="K88" s="38"/>
      <c r="L88" s="36"/>
      <c r="M88" s="41"/>
      <c r="N88" s="41" t="str">
        <f t="shared" si="7"/>
        <v/>
      </c>
      <c r="O88" s="42"/>
      <c r="P88" s="61" t="str">
        <f t="shared" si="6"/>
        <v>-</v>
      </c>
      <c r="Q88" s="28" t="e">
        <f>#REF!</f>
        <v>#REF!</v>
      </c>
    </row>
    <row r="89" spans="1:17">
      <c r="A89" s="52" t="str">
        <f t="shared" si="5"/>
        <v>-</v>
      </c>
      <c r="B89" s="35"/>
      <c r="C89" s="35"/>
      <c r="D89" s="35"/>
      <c r="E89" s="39"/>
      <c r="F89" s="37"/>
      <c r="G89" s="43"/>
      <c r="H89" s="43"/>
      <c r="I89" s="43"/>
      <c r="J89" s="40"/>
      <c r="K89" s="38"/>
      <c r="L89" s="36"/>
      <c r="M89" s="41"/>
      <c r="N89" s="41" t="str">
        <f t="shared" si="7"/>
        <v/>
      </c>
      <c r="O89" s="42"/>
      <c r="P89" s="61" t="str">
        <f t="shared" si="6"/>
        <v>-</v>
      </c>
      <c r="Q89" s="28" t="e">
        <f>#REF!</f>
        <v>#REF!</v>
      </c>
    </row>
    <row r="90" spans="1:17">
      <c r="A90" s="52" t="str">
        <f t="shared" si="5"/>
        <v>-</v>
      </c>
      <c r="B90" s="35"/>
      <c r="C90" s="35"/>
      <c r="D90" s="35"/>
      <c r="E90" s="39"/>
      <c r="F90" s="37"/>
      <c r="G90" s="43"/>
      <c r="H90" s="43"/>
      <c r="I90" s="43"/>
      <c r="J90" s="40"/>
      <c r="K90" s="38"/>
      <c r="L90" s="36"/>
      <c r="M90" s="41"/>
      <c r="N90" s="41" t="str">
        <f t="shared" si="7"/>
        <v/>
      </c>
      <c r="O90" s="42"/>
      <c r="P90" s="61" t="str">
        <f t="shared" si="6"/>
        <v>-</v>
      </c>
      <c r="Q90" s="28" t="e">
        <f>#REF!</f>
        <v>#REF!</v>
      </c>
    </row>
    <row r="91" spans="1:17">
      <c r="A91" s="52" t="str">
        <f t="shared" si="5"/>
        <v>-</v>
      </c>
      <c r="B91" s="35"/>
      <c r="C91" s="35"/>
      <c r="D91" s="35"/>
      <c r="E91" s="39"/>
      <c r="F91" s="37"/>
      <c r="G91" s="43"/>
      <c r="H91" s="43"/>
      <c r="I91" s="43"/>
      <c r="J91" s="40"/>
      <c r="K91" s="38"/>
      <c r="L91" s="36"/>
      <c r="M91" s="41"/>
      <c r="N91" s="41" t="str">
        <f t="shared" si="7"/>
        <v/>
      </c>
      <c r="O91" s="42"/>
      <c r="P91" s="61" t="str">
        <f t="shared" si="6"/>
        <v>-</v>
      </c>
      <c r="Q91" s="28" t="e">
        <f>#REF!</f>
        <v>#REF!</v>
      </c>
    </row>
    <row r="92" spans="1:17">
      <c r="A92" s="52" t="str">
        <f t="shared" si="5"/>
        <v>-</v>
      </c>
      <c r="B92" s="35"/>
      <c r="C92" s="35"/>
      <c r="D92" s="35"/>
      <c r="E92" s="39"/>
      <c r="F92" s="37"/>
      <c r="G92" s="43"/>
      <c r="H92" s="43"/>
      <c r="I92" s="43"/>
      <c r="J92" s="40"/>
      <c r="K92" s="38"/>
      <c r="L92" s="36"/>
      <c r="M92" s="41"/>
      <c r="N92" s="41" t="str">
        <f t="shared" si="7"/>
        <v/>
      </c>
      <c r="O92" s="42"/>
      <c r="P92" s="61" t="str">
        <f t="shared" si="6"/>
        <v>-</v>
      </c>
      <c r="Q92" s="28" t="e">
        <f>#REF!</f>
        <v>#REF!</v>
      </c>
    </row>
    <row r="93" spans="1:17">
      <c r="A93" s="52" t="str">
        <f t="shared" si="5"/>
        <v>-</v>
      </c>
      <c r="B93" s="35"/>
      <c r="C93" s="35"/>
      <c r="D93" s="35"/>
      <c r="E93" s="39"/>
      <c r="F93" s="37"/>
      <c r="G93" s="43"/>
      <c r="H93" s="43"/>
      <c r="I93" s="43"/>
      <c r="J93" s="40"/>
      <c r="K93" s="38"/>
      <c r="L93" s="36"/>
      <c r="M93" s="41"/>
      <c r="N93" s="41" t="str">
        <f t="shared" si="7"/>
        <v/>
      </c>
      <c r="O93" s="42"/>
      <c r="P93" s="61" t="str">
        <f t="shared" si="6"/>
        <v>-</v>
      </c>
      <c r="Q93" s="28" t="e">
        <f>#REF!</f>
        <v>#REF!</v>
      </c>
    </row>
    <row r="94" spans="1:17">
      <c r="A94" s="52" t="str">
        <f t="shared" si="5"/>
        <v>-</v>
      </c>
      <c r="B94" s="35"/>
      <c r="C94" s="35"/>
      <c r="D94" s="35"/>
      <c r="E94" s="39"/>
      <c r="F94" s="37"/>
      <c r="G94" s="43"/>
      <c r="H94" s="43"/>
      <c r="I94" s="43"/>
      <c r="J94" s="40"/>
      <c r="K94" s="38"/>
      <c r="L94" s="36"/>
      <c r="M94" s="41"/>
      <c r="N94" s="41" t="str">
        <f t="shared" si="7"/>
        <v/>
      </c>
      <c r="O94" s="42"/>
      <c r="P94" s="61" t="str">
        <f t="shared" si="6"/>
        <v>-</v>
      </c>
      <c r="Q94" s="28" t="e">
        <f>#REF!</f>
        <v>#REF!</v>
      </c>
    </row>
    <row r="95" spans="1:17">
      <c r="A95" s="52" t="str">
        <f t="shared" si="5"/>
        <v>-</v>
      </c>
      <c r="B95" s="35"/>
      <c r="C95" s="35"/>
      <c r="D95" s="35"/>
      <c r="E95" s="39"/>
      <c r="F95" s="37"/>
      <c r="G95" s="43"/>
      <c r="H95" s="43"/>
      <c r="I95" s="43"/>
      <c r="J95" s="40"/>
      <c r="K95" s="38"/>
      <c r="L95" s="36"/>
      <c r="M95" s="41"/>
      <c r="N95" s="41" t="str">
        <f t="shared" si="7"/>
        <v/>
      </c>
      <c r="O95" s="42"/>
      <c r="P95" s="61" t="str">
        <f t="shared" si="6"/>
        <v>-</v>
      </c>
      <c r="Q95" s="28" t="e">
        <f>#REF!</f>
        <v>#REF!</v>
      </c>
    </row>
    <row r="96" spans="1:17">
      <c r="A96" s="52" t="str">
        <f t="shared" si="5"/>
        <v>-</v>
      </c>
      <c r="B96" s="35"/>
      <c r="C96" s="35"/>
      <c r="D96" s="35"/>
      <c r="E96" s="39"/>
      <c r="F96" s="37"/>
      <c r="G96" s="43"/>
      <c r="H96" s="43"/>
      <c r="I96" s="43"/>
      <c r="J96" s="40"/>
      <c r="K96" s="38"/>
      <c r="L96" s="36"/>
      <c r="M96" s="41"/>
      <c r="N96" s="41" t="str">
        <f t="shared" si="7"/>
        <v/>
      </c>
      <c r="O96" s="42"/>
      <c r="P96" s="61" t="str">
        <f t="shared" si="6"/>
        <v>-</v>
      </c>
      <c r="Q96" s="28" t="e">
        <f>#REF!</f>
        <v>#REF!</v>
      </c>
    </row>
    <row r="97" spans="1:17">
      <c r="A97" s="52" t="str">
        <f t="shared" si="5"/>
        <v>-</v>
      </c>
      <c r="B97" s="35"/>
      <c r="C97" s="35"/>
      <c r="D97" s="35"/>
      <c r="E97" s="39"/>
      <c r="F97" s="37"/>
      <c r="G97" s="43"/>
      <c r="H97" s="43"/>
      <c r="I97" s="43"/>
      <c r="J97" s="40"/>
      <c r="K97" s="38"/>
      <c r="L97" s="36"/>
      <c r="M97" s="41"/>
      <c r="N97" s="41" t="str">
        <f t="shared" si="7"/>
        <v/>
      </c>
      <c r="O97" s="42"/>
      <c r="P97" s="61" t="str">
        <f t="shared" si="6"/>
        <v>-</v>
      </c>
      <c r="Q97" s="28" t="e">
        <f>#REF!</f>
        <v>#REF!</v>
      </c>
    </row>
    <row r="98" spans="1:17">
      <c r="A98" s="52" t="str">
        <f t="shared" si="5"/>
        <v>-</v>
      </c>
      <c r="B98" s="35"/>
      <c r="C98" s="35"/>
      <c r="D98" s="35"/>
      <c r="E98" s="39"/>
      <c r="F98" s="37"/>
      <c r="G98" s="43"/>
      <c r="H98" s="43"/>
      <c r="I98" s="43"/>
      <c r="J98" s="40"/>
      <c r="K98" s="38"/>
      <c r="L98" s="36"/>
      <c r="M98" s="41"/>
      <c r="N98" s="41" t="str">
        <f t="shared" si="7"/>
        <v/>
      </c>
      <c r="O98" s="42"/>
      <c r="P98" s="61" t="str">
        <f t="shared" si="6"/>
        <v>-</v>
      </c>
      <c r="Q98" s="28" t="e">
        <f>#REF!</f>
        <v>#REF!</v>
      </c>
    </row>
    <row r="99" spans="1:17">
      <c r="A99" s="52" t="str">
        <f t="shared" si="5"/>
        <v>-</v>
      </c>
      <c r="B99" s="35"/>
      <c r="C99" s="35"/>
      <c r="D99" s="35"/>
      <c r="E99" s="39"/>
      <c r="F99" s="37"/>
      <c r="G99" s="43"/>
      <c r="H99" s="43"/>
      <c r="I99" s="43"/>
      <c r="J99" s="40"/>
      <c r="K99" s="38"/>
      <c r="L99" s="36"/>
      <c r="M99" s="41"/>
      <c r="N99" s="41" t="str">
        <f t="shared" si="7"/>
        <v/>
      </c>
      <c r="O99" s="42"/>
      <c r="P99" s="61" t="str">
        <f t="shared" si="6"/>
        <v>-</v>
      </c>
      <c r="Q99" s="28" t="e">
        <f>#REF!</f>
        <v>#REF!</v>
      </c>
    </row>
    <row r="100" spans="1:17">
      <c r="A100" s="52" t="str">
        <f t="shared" si="5"/>
        <v>-</v>
      </c>
      <c r="B100" s="35"/>
      <c r="C100" s="35"/>
      <c r="D100" s="35"/>
      <c r="E100" s="39"/>
      <c r="F100" s="37"/>
      <c r="G100" s="43"/>
      <c r="H100" s="43"/>
      <c r="I100" s="43"/>
      <c r="J100" s="40"/>
      <c r="K100" s="38"/>
      <c r="L100" s="36"/>
      <c r="M100" s="41"/>
      <c r="N100" s="41" t="str">
        <f t="shared" si="7"/>
        <v/>
      </c>
      <c r="O100" s="42"/>
      <c r="P100" s="61" t="str">
        <f t="shared" si="6"/>
        <v>-</v>
      </c>
      <c r="Q100" s="28" t="e">
        <f>#REF!</f>
        <v>#REF!</v>
      </c>
    </row>
    <row r="101" spans="1:17">
      <c r="A101" s="52" t="str">
        <f t="shared" si="5"/>
        <v>-</v>
      </c>
      <c r="B101" s="35"/>
      <c r="C101" s="35"/>
      <c r="D101" s="35"/>
      <c r="E101" s="39"/>
      <c r="F101" s="37"/>
      <c r="G101" s="43"/>
      <c r="H101" s="43"/>
      <c r="I101" s="43"/>
      <c r="J101" s="40"/>
      <c r="K101" s="38"/>
      <c r="L101" s="36"/>
      <c r="M101" s="41"/>
      <c r="N101" s="41" t="str">
        <f t="shared" si="7"/>
        <v/>
      </c>
      <c r="O101" s="42"/>
      <c r="P101" s="61" t="str">
        <f t="shared" si="6"/>
        <v>-</v>
      </c>
      <c r="Q101" s="28" t="e">
        <f>#REF!</f>
        <v>#REF!</v>
      </c>
    </row>
    <row r="102" spans="1:17">
      <c r="A102" s="52" t="str">
        <f t="shared" si="5"/>
        <v>-</v>
      </c>
      <c r="B102" s="35"/>
      <c r="C102" s="35"/>
      <c r="D102" s="35"/>
      <c r="E102" s="39"/>
      <c r="F102" s="37"/>
      <c r="G102" s="43"/>
      <c r="H102" s="43"/>
      <c r="I102" s="43"/>
      <c r="J102" s="40"/>
      <c r="K102" s="38"/>
      <c r="L102" s="36"/>
      <c r="M102" s="41"/>
      <c r="N102" s="41" t="str">
        <f t="shared" si="7"/>
        <v/>
      </c>
      <c r="O102" s="42"/>
      <c r="P102" s="61" t="str">
        <f t="shared" si="6"/>
        <v>-</v>
      </c>
      <c r="Q102" s="28" t="e">
        <f>#REF!</f>
        <v>#REF!</v>
      </c>
    </row>
    <row r="103" spans="1:17">
      <c r="A103" s="52" t="str">
        <f t="shared" si="5"/>
        <v>-</v>
      </c>
      <c r="B103" s="35"/>
      <c r="C103" s="35"/>
      <c r="D103" s="35"/>
      <c r="E103" s="39"/>
      <c r="F103" s="37"/>
      <c r="G103" s="43"/>
      <c r="H103" s="43"/>
      <c r="I103" s="43"/>
      <c r="J103" s="40"/>
      <c r="K103" s="38"/>
      <c r="L103" s="36"/>
      <c r="M103" s="41"/>
      <c r="N103" s="41" t="str">
        <f t="shared" si="7"/>
        <v/>
      </c>
      <c r="O103" s="42"/>
      <c r="P103" s="61" t="str">
        <f t="shared" si="6"/>
        <v>-</v>
      </c>
      <c r="Q103" s="28" t="e">
        <f>#REF!</f>
        <v>#REF!</v>
      </c>
    </row>
    <row r="104" spans="1:17">
      <c r="A104" s="52" t="str">
        <f t="shared" si="5"/>
        <v>-</v>
      </c>
      <c r="B104" s="35"/>
      <c r="C104" s="35"/>
      <c r="D104" s="35"/>
      <c r="E104" s="39"/>
      <c r="F104" s="37"/>
      <c r="G104" s="43"/>
      <c r="H104" s="43"/>
      <c r="I104" s="43"/>
      <c r="J104" s="40"/>
      <c r="K104" s="38"/>
      <c r="L104" s="36"/>
      <c r="M104" s="41"/>
      <c r="N104" s="41" t="str">
        <f t="shared" si="7"/>
        <v/>
      </c>
      <c r="O104" s="42"/>
      <c r="P104" s="61" t="str">
        <f t="shared" si="6"/>
        <v>-</v>
      </c>
      <c r="Q104" s="28" t="e">
        <f>#REF!</f>
        <v>#REF!</v>
      </c>
    </row>
    <row r="105" spans="1:17">
      <c r="A105" s="52" t="str">
        <f t="shared" si="5"/>
        <v>-</v>
      </c>
      <c r="B105" s="35"/>
      <c r="C105" s="35"/>
      <c r="D105" s="35"/>
      <c r="E105" s="39"/>
      <c r="F105" s="37"/>
      <c r="G105" s="43"/>
      <c r="H105" s="43"/>
      <c r="I105" s="43"/>
      <c r="J105" s="40"/>
      <c r="K105" s="38"/>
      <c r="L105" s="36"/>
      <c r="M105" s="41"/>
      <c r="N105" s="41" t="str">
        <f t="shared" si="7"/>
        <v/>
      </c>
      <c r="O105" s="42"/>
      <c r="P105" s="61" t="str">
        <f t="shared" si="6"/>
        <v>-</v>
      </c>
      <c r="Q105" s="28" t="e">
        <f>#REF!</f>
        <v>#REF!</v>
      </c>
    </row>
    <row r="106" spans="1:17">
      <c r="A106" s="52" t="str">
        <f t="shared" si="5"/>
        <v>-</v>
      </c>
      <c r="B106" s="35"/>
      <c r="C106" s="35"/>
      <c r="D106" s="35"/>
      <c r="E106" s="39"/>
      <c r="F106" s="37"/>
      <c r="G106" s="43"/>
      <c r="H106" s="43"/>
      <c r="I106" s="43"/>
      <c r="J106" s="40"/>
      <c r="K106" s="38"/>
      <c r="L106" s="36"/>
      <c r="M106" s="41"/>
      <c r="N106" s="41" t="str">
        <f t="shared" si="7"/>
        <v/>
      </c>
      <c r="O106" s="42"/>
      <c r="P106" s="61" t="str">
        <f t="shared" si="6"/>
        <v>-</v>
      </c>
      <c r="Q106" s="28" t="e">
        <f>#REF!</f>
        <v>#REF!</v>
      </c>
    </row>
    <row r="107" spans="1:17">
      <c r="A107" s="52" t="str">
        <f t="shared" si="5"/>
        <v>-</v>
      </c>
      <c r="B107" s="35"/>
      <c r="C107" s="35"/>
      <c r="D107" s="35"/>
      <c r="E107" s="39"/>
      <c r="F107" s="37"/>
      <c r="G107" s="43"/>
      <c r="H107" s="43"/>
      <c r="I107" s="43"/>
      <c r="J107" s="40"/>
      <c r="K107" s="38"/>
      <c r="L107" s="36"/>
      <c r="M107" s="41"/>
      <c r="N107" s="41" t="str">
        <f t="shared" si="7"/>
        <v/>
      </c>
      <c r="O107" s="42"/>
      <c r="P107" s="61" t="str">
        <f t="shared" si="6"/>
        <v>-</v>
      </c>
      <c r="Q107" s="28" t="e">
        <f>#REF!</f>
        <v>#REF!</v>
      </c>
    </row>
    <row r="108" spans="1:17">
      <c r="A108" s="52" t="str">
        <f t="shared" si="5"/>
        <v>-</v>
      </c>
      <c r="B108" s="35"/>
      <c r="C108" s="35"/>
      <c r="D108" s="35"/>
      <c r="E108" s="39"/>
      <c r="F108" s="37"/>
      <c r="G108" s="43"/>
      <c r="H108" s="43"/>
      <c r="I108" s="43"/>
      <c r="J108" s="40"/>
      <c r="K108" s="38"/>
      <c r="L108" s="36"/>
      <c r="M108" s="41"/>
      <c r="N108" s="41" t="str">
        <f t="shared" si="7"/>
        <v/>
      </c>
      <c r="O108" s="42"/>
      <c r="P108" s="61" t="str">
        <f t="shared" si="6"/>
        <v>-</v>
      </c>
      <c r="Q108" s="28" t="e">
        <f>#REF!</f>
        <v>#REF!</v>
      </c>
    </row>
    <row r="109" spans="1:17">
      <c r="A109" s="52" t="str">
        <f t="shared" si="5"/>
        <v>-</v>
      </c>
      <c r="B109" s="35"/>
      <c r="C109" s="35"/>
      <c r="D109" s="35"/>
      <c r="E109" s="39"/>
      <c r="F109" s="37"/>
      <c r="G109" s="43"/>
      <c r="H109" s="43"/>
      <c r="I109" s="43"/>
      <c r="J109" s="40"/>
      <c r="K109" s="38"/>
      <c r="L109" s="36"/>
      <c r="M109" s="41"/>
      <c r="N109" s="41" t="str">
        <f t="shared" si="7"/>
        <v/>
      </c>
      <c r="O109" s="42"/>
      <c r="P109" s="61" t="str">
        <f t="shared" si="6"/>
        <v>-</v>
      </c>
      <c r="Q109" s="28" t="e">
        <f>#REF!</f>
        <v>#REF!</v>
      </c>
    </row>
    <row r="110" spans="1:17">
      <c r="A110" s="52" t="str">
        <f t="shared" si="5"/>
        <v>-</v>
      </c>
      <c r="B110" s="35"/>
      <c r="C110" s="35"/>
      <c r="D110" s="35"/>
      <c r="E110" s="39"/>
      <c r="F110" s="37"/>
      <c r="G110" s="43"/>
      <c r="H110" s="43"/>
      <c r="I110" s="43"/>
      <c r="J110" s="40"/>
      <c r="K110" s="38"/>
      <c r="L110" s="36"/>
      <c r="M110" s="41"/>
      <c r="N110" s="41" t="str">
        <f t="shared" si="7"/>
        <v/>
      </c>
      <c r="O110" s="42"/>
      <c r="P110" s="61" t="str">
        <f t="shared" si="6"/>
        <v>-</v>
      </c>
      <c r="Q110" s="28" t="e">
        <f>#REF!</f>
        <v>#REF!</v>
      </c>
    </row>
    <row r="111" spans="1:17">
      <c r="A111" s="52" t="str">
        <f t="shared" ref="A111:A174" si="8">CONCATENATE(B111,"-",C111)</f>
        <v>-</v>
      </c>
      <c r="B111" s="35"/>
      <c r="C111" s="35"/>
      <c r="D111" s="35"/>
      <c r="E111" s="39"/>
      <c r="F111" s="37"/>
      <c r="G111" s="43"/>
      <c r="H111" s="43"/>
      <c r="I111" s="43"/>
      <c r="J111" s="40"/>
      <c r="K111" s="38"/>
      <c r="L111" s="36"/>
      <c r="M111" s="41"/>
      <c r="N111" s="41" t="str">
        <f t="shared" si="7"/>
        <v/>
      </c>
      <c r="O111" s="42"/>
      <c r="P111" s="61" t="str">
        <f t="shared" si="6"/>
        <v>-</v>
      </c>
      <c r="Q111" s="28" t="e">
        <f>#REF!</f>
        <v>#REF!</v>
      </c>
    </row>
    <row r="112" spans="1:17">
      <c r="A112" s="52" t="str">
        <f t="shared" si="8"/>
        <v>-</v>
      </c>
      <c r="B112" s="35"/>
      <c r="C112" s="35"/>
      <c r="D112" s="35"/>
      <c r="E112" s="39"/>
      <c r="F112" s="37"/>
      <c r="G112" s="43"/>
      <c r="H112" s="43"/>
      <c r="I112" s="43"/>
      <c r="J112" s="40"/>
      <c r="K112" s="38"/>
      <c r="L112" s="36"/>
      <c r="M112" s="41"/>
      <c r="N112" s="41" t="str">
        <f t="shared" si="7"/>
        <v/>
      </c>
      <c r="O112" s="42"/>
      <c r="P112" s="61" t="str">
        <f t="shared" si="6"/>
        <v>-</v>
      </c>
      <c r="Q112" s="28" t="e">
        <f>#REF!</f>
        <v>#REF!</v>
      </c>
    </row>
    <row r="113" spans="1:17">
      <c r="A113" s="52" t="str">
        <f t="shared" si="8"/>
        <v>-</v>
      </c>
      <c r="B113" s="35"/>
      <c r="C113" s="35"/>
      <c r="D113" s="35"/>
      <c r="E113" s="39"/>
      <c r="F113" s="37"/>
      <c r="G113" s="43"/>
      <c r="H113" s="43"/>
      <c r="I113" s="43"/>
      <c r="J113" s="40"/>
      <c r="K113" s="38"/>
      <c r="L113" s="36"/>
      <c r="M113" s="41"/>
      <c r="N113" s="41" t="str">
        <f t="shared" si="7"/>
        <v/>
      </c>
      <c r="O113" s="42"/>
      <c r="P113" s="61" t="str">
        <f t="shared" si="6"/>
        <v>-</v>
      </c>
      <c r="Q113" s="28" t="e">
        <f>#REF!</f>
        <v>#REF!</v>
      </c>
    </row>
    <row r="114" spans="1:17">
      <c r="A114" s="52" t="str">
        <f t="shared" si="8"/>
        <v>-</v>
      </c>
      <c r="B114" s="35"/>
      <c r="C114" s="35"/>
      <c r="D114" s="35"/>
      <c r="E114" s="39"/>
      <c r="F114" s="37"/>
      <c r="G114" s="43"/>
      <c r="H114" s="43"/>
      <c r="I114" s="43"/>
      <c r="J114" s="40"/>
      <c r="K114" s="38"/>
      <c r="L114" s="36"/>
      <c r="M114" s="41"/>
      <c r="N114" s="41" t="str">
        <f t="shared" si="7"/>
        <v/>
      </c>
      <c r="O114" s="42"/>
      <c r="P114" s="61" t="str">
        <f t="shared" si="6"/>
        <v>-</v>
      </c>
      <c r="Q114" s="28" t="e">
        <f>#REF!</f>
        <v>#REF!</v>
      </c>
    </row>
    <row r="115" spans="1:17">
      <c r="A115" s="52" t="str">
        <f t="shared" si="8"/>
        <v>-</v>
      </c>
      <c r="B115" s="35"/>
      <c r="C115" s="35"/>
      <c r="D115" s="35"/>
      <c r="E115" s="39"/>
      <c r="F115" s="37"/>
      <c r="G115" s="43"/>
      <c r="H115" s="43"/>
      <c r="I115" s="43"/>
      <c r="J115" s="40"/>
      <c r="K115" s="38"/>
      <c r="L115" s="36"/>
      <c r="M115" s="41"/>
      <c r="N115" s="41" t="str">
        <f t="shared" si="7"/>
        <v/>
      </c>
      <c r="O115" s="42"/>
      <c r="P115" s="61" t="str">
        <f t="shared" si="6"/>
        <v>-</v>
      </c>
      <c r="Q115" s="28" t="e">
        <f>#REF!</f>
        <v>#REF!</v>
      </c>
    </row>
    <row r="116" spans="1:17">
      <c r="A116" s="52" t="str">
        <f t="shared" si="8"/>
        <v>-</v>
      </c>
      <c r="B116" s="35"/>
      <c r="C116" s="35"/>
      <c r="D116" s="35"/>
      <c r="E116" s="39"/>
      <c r="F116" s="37"/>
      <c r="G116" s="43"/>
      <c r="H116" s="43"/>
      <c r="I116" s="43"/>
      <c r="J116" s="40"/>
      <c r="K116" s="38"/>
      <c r="L116" s="36"/>
      <c r="M116" s="41"/>
      <c r="N116" s="41" t="str">
        <f t="shared" si="7"/>
        <v/>
      </c>
      <c r="O116" s="42"/>
      <c r="P116" s="61" t="str">
        <f t="shared" si="6"/>
        <v>-</v>
      </c>
      <c r="Q116" s="28" t="e">
        <f>#REF!</f>
        <v>#REF!</v>
      </c>
    </row>
    <row r="117" spans="1:17">
      <c r="A117" s="52" t="str">
        <f t="shared" si="8"/>
        <v>-</v>
      </c>
      <c r="B117" s="35"/>
      <c r="C117" s="35"/>
      <c r="D117" s="35"/>
      <c r="E117" s="39"/>
      <c r="F117" s="37"/>
      <c r="G117" s="43"/>
      <c r="H117" s="43"/>
      <c r="I117" s="43"/>
      <c r="J117" s="40"/>
      <c r="K117" s="38"/>
      <c r="L117" s="36"/>
      <c r="M117" s="41"/>
      <c r="N117" s="41" t="str">
        <f t="shared" si="7"/>
        <v/>
      </c>
      <c r="O117" s="42"/>
      <c r="P117" s="61" t="str">
        <f t="shared" si="6"/>
        <v>-</v>
      </c>
      <c r="Q117" s="28" t="e">
        <f>#REF!</f>
        <v>#REF!</v>
      </c>
    </row>
    <row r="118" spans="1:17">
      <c r="A118" s="52" t="str">
        <f t="shared" si="8"/>
        <v>-</v>
      </c>
      <c r="B118" s="35"/>
      <c r="C118" s="35"/>
      <c r="D118" s="35"/>
      <c r="E118" s="39"/>
      <c r="F118" s="37"/>
      <c r="G118" s="43"/>
      <c r="H118" s="43"/>
      <c r="I118" s="43"/>
      <c r="J118" s="40"/>
      <c r="K118" s="38"/>
      <c r="L118" s="36"/>
      <c r="M118" s="41"/>
      <c r="N118" s="41" t="str">
        <f t="shared" si="7"/>
        <v/>
      </c>
      <c r="O118" s="42"/>
      <c r="P118" s="61" t="str">
        <f t="shared" si="6"/>
        <v>-</v>
      </c>
      <c r="Q118" s="28" t="e">
        <f>#REF!</f>
        <v>#REF!</v>
      </c>
    </row>
    <row r="119" spans="1:17">
      <c r="A119" s="52" t="str">
        <f t="shared" si="8"/>
        <v>-</v>
      </c>
      <c r="B119" s="35"/>
      <c r="C119" s="35"/>
      <c r="D119" s="35"/>
      <c r="E119" s="39"/>
      <c r="F119" s="37"/>
      <c r="G119" s="43"/>
      <c r="H119" s="43"/>
      <c r="I119" s="43"/>
      <c r="J119" s="40"/>
      <c r="K119" s="38"/>
      <c r="L119" s="36"/>
      <c r="M119" s="41"/>
      <c r="N119" s="41" t="str">
        <f t="shared" si="7"/>
        <v/>
      </c>
      <c r="O119" s="42"/>
      <c r="P119" s="61" t="str">
        <f t="shared" si="6"/>
        <v>-</v>
      </c>
      <c r="Q119" s="28" t="e">
        <f>#REF!</f>
        <v>#REF!</v>
      </c>
    </row>
    <row r="120" spans="1:17">
      <c r="A120" s="52" t="str">
        <f t="shared" si="8"/>
        <v>-</v>
      </c>
      <c r="B120" s="35"/>
      <c r="C120" s="35"/>
      <c r="D120" s="35"/>
      <c r="E120" s="39"/>
      <c r="F120" s="37"/>
      <c r="G120" s="43"/>
      <c r="H120" s="43"/>
      <c r="I120" s="43"/>
      <c r="J120" s="40"/>
      <c r="K120" s="38"/>
      <c r="L120" s="36"/>
      <c r="M120" s="41"/>
      <c r="N120" s="41" t="str">
        <f t="shared" si="7"/>
        <v/>
      </c>
      <c r="O120" s="42"/>
      <c r="P120" s="61" t="str">
        <f t="shared" si="6"/>
        <v>-</v>
      </c>
      <c r="Q120" s="28" t="e">
        <f>#REF!</f>
        <v>#REF!</v>
      </c>
    </row>
    <row r="121" spans="1:17">
      <c r="A121" s="52" t="str">
        <f t="shared" si="8"/>
        <v>-</v>
      </c>
      <c r="B121" s="35"/>
      <c r="C121" s="35"/>
      <c r="D121" s="35"/>
      <c r="E121" s="39"/>
      <c r="F121" s="37"/>
      <c r="G121" s="43"/>
      <c r="H121" s="43"/>
      <c r="I121" s="43"/>
      <c r="J121" s="40"/>
      <c r="K121" s="38"/>
      <c r="L121" s="36"/>
      <c r="M121" s="41"/>
      <c r="N121" s="41" t="str">
        <f t="shared" si="7"/>
        <v/>
      </c>
      <c r="O121" s="42"/>
      <c r="P121" s="61" t="str">
        <f t="shared" si="6"/>
        <v>-</v>
      </c>
      <c r="Q121" s="28" t="e">
        <f>#REF!</f>
        <v>#REF!</v>
      </c>
    </row>
    <row r="122" spans="1:17">
      <c r="A122" s="52" t="str">
        <f t="shared" si="8"/>
        <v>-</v>
      </c>
      <c r="B122" s="35"/>
      <c r="C122" s="35"/>
      <c r="D122" s="35"/>
      <c r="E122" s="39"/>
      <c r="F122" s="37"/>
      <c r="G122" s="43"/>
      <c r="H122" s="43"/>
      <c r="I122" s="43"/>
      <c r="J122" s="40"/>
      <c r="K122" s="38"/>
      <c r="L122" s="36"/>
      <c r="M122" s="41"/>
      <c r="N122" s="41" t="str">
        <f t="shared" si="7"/>
        <v/>
      </c>
      <c r="O122" s="42"/>
      <c r="P122" s="61" t="str">
        <f t="shared" si="6"/>
        <v>-</v>
      </c>
      <c r="Q122" s="28" t="e">
        <f>#REF!</f>
        <v>#REF!</v>
      </c>
    </row>
    <row r="123" spans="1:17">
      <c r="A123" s="52" t="str">
        <f t="shared" si="8"/>
        <v>-</v>
      </c>
      <c r="B123" s="35"/>
      <c r="C123" s="35"/>
      <c r="D123" s="35"/>
      <c r="E123" s="39"/>
      <c r="F123" s="37"/>
      <c r="G123" s="43"/>
      <c r="H123" s="43"/>
      <c r="I123" s="43"/>
      <c r="J123" s="40"/>
      <c r="K123" s="38"/>
      <c r="L123" s="36"/>
      <c r="M123" s="41"/>
      <c r="N123" s="41" t="str">
        <f t="shared" si="7"/>
        <v/>
      </c>
      <c r="O123" s="42"/>
      <c r="P123" s="61" t="str">
        <f t="shared" si="6"/>
        <v>-</v>
      </c>
      <c r="Q123" s="28" t="e">
        <f>#REF!</f>
        <v>#REF!</v>
      </c>
    </row>
    <row r="124" spans="1:17">
      <c r="A124" s="52" t="str">
        <f t="shared" si="8"/>
        <v>-</v>
      </c>
      <c r="B124" s="35"/>
      <c r="C124" s="35"/>
      <c r="D124" s="35"/>
      <c r="E124" s="39"/>
      <c r="F124" s="37"/>
      <c r="G124" s="43"/>
      <c r="H124" s="43"/>
      <c r="I124" s="43"/>
      <c r="J124" s="40"/>
      <c r="K124" s="38"/>
      <c r="L124" s="36"/>
      <c r="M124" s="41"/>
      <c r="N124" s="41" t="str">
        <f t="shared" si="7"/>
        <v/>
      </c>
      <c r="O124" s="42"/>
      <c r="P124" s="61" t="str">
        <f t="shared" si="6"/>
        <v>-</v>
      </c>
      <c r="Q124" s="28" t="e">
        <f>#REF!</f>
        <v>#REF!</v>
      </c>
    </row>
    <row r="125" spans="1:17">
      <c r="A125" s="52" t="str">
        <f t="shared" si="8"/>
        <v>-</v>
      </c>
      <c r="B125" s="35"/>
      <c r="C125" s="35"/>
      <c r="D125" s="35"/>
      <c r="E125" s="39"/>
      <c r="F125" s="37"/>
      <c r="G125" s="43"/>
      <c r="H125" s="43"/>
      <c r="I125" s="43"/>
      <c r="J125" s="40"/>
      <c r="K125" s="38"/>
      <c r="L125" s="36"/>
      <c r="M125" s="41"/>
      <c r="N125" s="41" t="str">
        <f t="shared" si="7"/>
        <v/>
      </c>
      <c r="O125" s="42"/>
      <c r="P125" s="61" t="str">
        <f t="shared" si="6"/>
        <v>-</v>
      </c>
      <c r="Q125" s="28" t="e">
        <f>#REF!</f>
        <v>#REF!</v>
      </c>
    </row>
    <row r="126" spans="1:17">
      <c r="A126" s="52" t="str">
        <f t="shared" si="8"/>
        <v>-</v>
      </c>
      <c r="B126" s="35"/>
      <c r="C126" s="35"/>
      <c r="D126" s="35"/>
      <c r="E126" s="39"/>
      <c r="F126" s="37"/>
      <c r="G126" s="43"/>
      <c r="H126" s="43"/>
      <c r="I126" s="43"/>
      <c r="J126" s="40"/>
      <c r="K126" s="38"/>
      <c r="L126" s="36"/>
      <c r="M126" s="41"/>
      <c r="N126" s="41" t="str">
        <f t="shared" si="7"/>
        <v/>
      </c>
      <c r="O126" s="42"/>
      <c r="P126" s="61" t="str">
        <f t="shared" si="6"/>
        <v>-</v>
      </c>
      <c r="Q126" s="28" t="e">
        <f>#REF!</f>
        <v>#REF!</v>
      </c>
    </row>
    <row r="127" spans="1:17">
      <c r="A127" s="52" t="str">
        <f t="shared" si="8"/>
        <v>-</v>
      </c>
      <c r="B127" s="35"/>
      <c r="C127" s="35"/>
      <c r="D127" s="35"/>
      <c r="E127" s="39"/>
      <c r="F127" s="37"/>
      <c r="G127" s="43"/>
      <c r="H127" s="43"/>
      <c r="I127" s="43"/>
      <c r="J127" s="40"/>
      <c r="K127" s="38"/>
      <c r="L127" s="36"/>
      <c r="M127" s="41"/>
      <c r="N127" s="41" t="str">
        <f t="shared" si="7"/>
        <v/>
      </c>
      <c r="O127" s="42"/>
      <c r="P127" s="61" t="str">
        <f t="shared" si="6"/>
        <v>-</v>
      </c>
      <c r="Q127" s="28" t="e">
        <f>#REF!</f>
        <v>#REF!</v>
      </c>
    </row>
    <row r="128" spans="1:17">
      <c r="A128" s="52" t="str">
        <f t="shared" si="8"/>
        <v>-</v>
      </c>
      <c r="B128" s="35"/>
      <c r="C128" s="35"/>
      <c r="D128" s="35"/>
      <c r="E128" s="39"/>
      <c r="F128" s="37"/>
      <c r="G128" s="43"/>
      <c r="H128" s="43"/>
      <c r="I128" s="43"/>
      <c r="J128" s="40"/>
      <c r="K128" s="38"/>
      <c r="L128" s="36"/>
      <c r="M128" s="41"/>
      <c r="N128" s="41" t="str">
        <f t="shared" si="7"/>
        <v/>
      </c>
      <c r="O128" s="42"/>
      <c r="P128" s="61" t="str">
        <f t="shared" si="6"/>
        <v>-</v>
      </c>
      <c r="Q128" s="28" t="e">
        <f>#REF!</f>
        <v>#REF!</v>
      </c>
    </row>
    <row r="129" spans="1:17">
      <c r="A129" s="52" t="str">
        <f t="shared" si="8"/>
        <v>-</v>
      </c>
      <c r="B129" s="35"/>
      <c r="C129" s="35"/>
      <c r="D129" s="35"/>
      <c r="E129" s="39"/>
      <c r="F129" s="37"/>
      <c r="G129" s="43"/>
      <c r="H129" s="43"/>
      <c r="I129" s="43"/>
      <c r="J129" s="40"/>
      <c r="K129" s="38"/>
      <c r="L129" s="36"/>
      <c r="M129" s="41"/>
      <c r="N129" s="41" t="str">
        <f t="shared" si="7"/>
        <v/>
      </c>
      <c r="O129" s="42"/>
      <c r="P129" s="61" t="str">
        <f t="shared" si="6"/>
        <v>-</v>
      </c>
      <c r="Q129" s="28" t="e">
        <f>#REF!</f>
        <v>#REF!</v>
      </c>
    </row>
    <row r="130" spans="1:17">
      <c r="A130" s="52" t="str">
        <f t="shared" si="8"/>
        <v>-</v>
      </c>
      <c r="B130" s="35"/>
      <c r="C130" s="35"/>
      <c r="D130" s="35"/>
      <c r="E130" s="39"/>
      <c r="F130" s="37"/>
      <c r="G130" s="43"/>
      <c r="H130" s="43"/>
      <c r="I130" s="43"/>
      <c r="J130" s="40"/>
      <c r="K130" s="38"/>
      <c r="L130" s="36"/>
      <c r="M130" s="41"/>
      <c r="N130" s="41" t="str">
        <f t="shared" si="7"/>
        <v/>
      </c>
      <c r="O130" s="42"/>
      <c r="P130" s="61" t="str">
        <f t="shared" si="6"/>
        <v>-</v>
      </c>
      <c r="Q130" s="28" t="e">
        <f>#REF!</f>
        <v>#REF!</v>
      </c>
    </row>
    <row r="131" spans="1:17">
      <c r="A131" s="52" t="str">
        <f t="shared" si="8"/>
        <v>-</v>
      </c>
      <c r="B131" s="35"/>
      <c r="C131" s="35"/>
      <c r="D131" s="35"/>
      <c r="E131" s="39"/>
      <c r="F131" s="37"/>
      <c r="G131" s="43"/>
      <c r="H131" s="43"/>
      <c r="I131" s="43"/>
      <c r="J131" s="40"/>
      <c r="K131" s="38"/>
      <c r="L131" s="36"/>
      <c r="M131" s="41"/>
      <c r="N131" s="41" t="str">
        <f t="shared" si="7"/>
        <v/>
      </c>
      <c r="O131" s="42"/>
      <c r="P131" s="61" t="str">
        <f t="shared" si="6"/>
        <v>-</v>
      </c>
      <c r="Q131" s="28" t="e">
        <f>#REF!</f>
        <v>#REF!</v>
      </c>
    </row>
    <row r="132" spans="1:17">
      <c r="A132" s="52" t="str">
        <f t="shared" si="8"/>
        <v>-</v>
      </c>
      <c r="B132" s="35"/>
      <c r="C132" s="35"/>
      <c r="D132" s="35"/>
      <c r="E132" s="39"/>
      <c r="F132" s="37"/>
      <c r="G132" s="43"/>
      <c r="H132" s="43"/>
      <c r="I132" s="43"/>
      <c r="J132" s="40"/>
      <c r="K132" s="38"/>
      <c r="L132" s="36"/>
      <c r="M132" s="41"/>
      <c r="N132" s="41" t="str">
        <f t="shared" si="7"/>
        <v/>
      </c>
      <c r="O132" s="42"/>
      <c r="P132" s="61" t="str">
        <f t="shared" si="6"/>
        <v>-</v>
      </c>
      <c r="Q132" s="28" t="e">
        <f>#REF!</f>
        <v>#REF!</v>
      </c>
    </row>
    <row r="133" spans="1:17">
      <c r="A133" s="52" t="str">
        <f t="shared" si="8"/>
        <v>-</v>
      </c>
      <c r="B133" s="35"/>
      <c r="C133" s="35"/>
      <c r="D133" s="35"/>
      <c r="E133" s="39"/>
      <c r="F133" s="37"/>
      <c r="G133" s="43"/>
      <c r="H133" s="43"/>
      <c r="I133" s="43"/>
      <c r="J133" s="40"/>
      <c r="K133" s="38"/>
      <c r="L133" s="36"/>
      <c r="M133" s="41"/>
      <c r="N133" s="41" t="str">
        <f t="shared" si="7"/>
        <v/>
      </c>
      <c r="O133" s="42"/>
      <c r="P133" s="61" t="str">
        <f t="shared" si="6"/>
        <v>-</v>
      </c>
      <c r="Q133" s="28" t="e">
        <f>#REF!</f>
        <v>#REF!</v>
      </c>
    </row>
    <row r="134" spans="1:17">
      <c r="A134" s="52" t="str">
        <f t="shared" si="8"/>
        <v>-</v>
      </c>
      <c r="B134" s="35"/>
      <c r="C134" s="35"/>
      <c r="D134" s="35"/>
      <c r="E134" s="39"/>
      <c r="F134" s="37"/>
      <c r="G134" s="43"/>
      <c r="H134" s="43"/>
      <c r="I134" s="43"/>
      <c r="J134" s="40"/>
      <c r="K134" s="38"/>
      <c r="L134" s="36"/>
      <c r="M134" s="41"/>
      <c r="N134" s="41" t="str">
        <f t="shared" si="7"/>
        <v/>
      </c>
      <c r="O134" s="42"/>
      <c r="P134" s="61" t="str">
        <f t="shared" si="6"/>
        <v>-</v>
      </c>
      <c r="Q134" s="28" t="e">
        <f>#REF!</f>
        <v>#REF!</v>
      </c>
    </row>
    <row r="135" spans="1:17">
      <c r="A135" s="52" t="str">
        <f t="shared" si="8"/>
        <v>-</v>
      </c>
      <c r="B135" s="35"/>
      <c r="C135" s="35"/>
      <c r="D135" s="35"/>
      <c r="E135" s="39"/>
      <c r="F135" s="37"/>
      <c r="G135" s="43"/>
      <c r="H135" s="43"/>
      <c r="I135" s="43"/>
      <c r="J135" s="40"/>
      <c r="K135" s="38"/>
      <c r="L135" s="36"/>
      <c r="M135" s="41"/>
      <c r="N135" s="41" t="str">
        <f t="shared" si="7"/>
        <v/>
      </c>
      <c r="O135" s="42"/>
      <c r="P135" s="61" t="str">
        <f t="shared" si="6"/>
        <v>-</v>
      </c>
      <c r="Q135" s="28" t="e">
        <f>#REF!</f>
        <v>#REF!</v>
      </c>
    </row>
    <row r="136" spans="1:17">
      <c r="A136" s="52" t="str">
        <f t="shared" si="8"/>
        <v>-</v>
      </c>
      <c r="B136" s="35"/>
      <c r="C136" s="35"/>
      <c r="D136" s="35"/>
      <c r="E136" s="39"/>
      <c r="F136" s="37"/>
      <c r="G136" s="43"/>
      <c r="H136" s="43"/>
      <c r="I136" s="43"/>
      <c r="J136" s="40"/>
      <c r="K136" s="38"/>
      <c r="L136" s="36"/>
      <c r="M136" s="41"/>
      <c r="N136" s="41" t="str">
        <f t="shared" si="7"/>
        <v/>
      </c>
      <c r="O136" s="42"/>
      <c r="P136" s="61" t="str">
        <f t="shared" si="6"/>
        <v>-</v>
      </c>
      <c r="Q136" s="28" t="e">
        <f>#REF!</f>
        <v>#REF!</v>
      </c>
    </row>
    <row r="137" spans="1:17">
      <c r="A137" s="52" t="str">
        <f t="shared" si="8"/>
        <v>-</v>
      </c>
      <c r="B137" s="35"/>
      <c r="C137" s="35"/>
      <c r="D137" s="35"/>
      <c r="E137" s="39"/>
      <c r="F137" s="37"/>
      <c r="G137" s="43"/>
      <c r="H137" s="43"/>
      <c r="I137" s="43"/>
      <c r="J137" s="40"/>
      <c r="K137" s="38"/>
      <c r="L137" s="36"/>
      <c r="M137" s="41"/>
      <c r="N137" s="41" t="str">
        <f t="shared" si="7"/>
        <v/>
      </c>
      <c r="O137" s="42"/>
      <c r="P137" s="61" t="str">
        <f t="shared" si="6"/>
        <v>-</v>
      </c>
      <c r="Q137" s="28" t="e">
        <f>#REF!</f>
        <v>#REF!</v>
      </c>
    </row>
    <row r="138" spans="1:17">
      <c r="A138" s="52" t="str">
        <f t="shared" si="8"/>
        <v>-</v>
      </c>
      <c r="B138" s="35"/>
      <c r="C138" s="35"/>
      <c r="D138" s="35"/>
      <c r="E138" s="39"/>
      <c r="F138" s="37"/>
      <c r="G138" s="43"/>
      <c r="H138" s="43"/>
      <c r="I138" s="43"/>
      <c r="J138" s="40"/>
      <c r="K138" s="38"/>
      <c r="L138" s="36"/>
      <c r="M138" s="41"/>
      <c r="N138" s="41" t="str">
        <f t="shared" si="7"/>
        <v/>
      </c>
      <c r="O138" s="42"/>
      <c r="P138" s="61" t="str">
        <f t="shared" si="6"/>
        <v>-</v>
      </c>
      <c r="Q138" s="28" t="e">
        <f>#REF!</f>
        <v>#REF!</v>
      </c>
    </row>
    <row r="139" spans="1:17">
      <c r="A139" s="52" t="str">
        <f t="shared" si="8"/>
        <v>-</v>
      </c>
      <c r="B139" s="35"/>
      <c r="C139" s="35"/>
      <c r="D139" s="35"/>
      <c r="E139" s="39"/>
      <c r="F139" s="37"/>
      <c r="G139" s="43"/>
      <c r="H139" s="43"/>
      <c r="I139" s="43"/>
      <c r="J139" s="40"/>
      <c r="K139" s="38"/>
      <c r="L139" s="36"/>
      <c r="M139" s="41"/>
      <c r="N139" s="41" t="str">
        <f t="shared" si="7"/>
        <v/>
      </c>
      <c r="O139" s="42"/>
      <c r="P139" s="61" t="str">
        <f t="shared" si="6"/>
        <v>-</v>
      </c>
      <c r="Q139" s="28" t="e">
        <f>#REF!</f>
        <v>#REF!</v>
      </c>
    </row>
    <row r="140" spans="1:17">
      <c r="A140" s="52" t="str">
        <f t="shared" si="8"/>
        <v>-</v>
      </c>
      <c r="B140" s="35"/>
      <c r="C140" s="35"/>
      <c r="D140" s="35"/>
      <c r="E140" s="39"/>
      <c r="F140" s="37"/>
      <c r="G140" s="43"/>
      <c r="H140" s="43"/>
      <c r="I140" s="43"/>
      <c r="J140" s="40"/>
      <c r="K140" s="38"/>
      <c r="L140" s="36"/>
      <c r="M140" s="41"/>
      <c r="N140" s="41" t="str">
        <f t="shared" si="7"/>
        <v/>
      </c>
      <c r="O140" s="42"/>
      <c r="P140" s="61" t="str">
        <f t="shared" si="6"/>
        <v>-</v>
      </c>
      <c r="Q140" s="28" t="e">
        <f>#REF!</f>
        <v>#REF!</v>
      </c>
    </row>
    <row r="141" spans="1:17">
      <c r="A141" s="52" t="str">
        <f t="shared" si="8"/>
        <v>-</v>
      </c>
      <c r="B141" s="35"/>
      <c r="C141" s="35"/>
      <c r="D141" s="35"/>
      <c r="E141" s="39"/>
      <c r="F141" s="37"/>
      <c r="G141" s="43"/>
      <c r="H141" s="43"/>
      <c r="I141" s="43"/>
      <c r="J141" s="40"/>
      <c r="K141" s="38"/>
      <c r="L141" s="36"/>
      <c r="M141" s="41"/>
      <c r="N141" s="41" t="str">
        <f t="shared" si="7"/>
        <v/>
      </c>
      <c r="O141" s="42"/>
      <c r="P141" s="61" t="str">
        <f t="shared" si="6"/>
        <v>-</v>
      </c>
      <c r="Q141" s="28" t="e">
        <f>#REF!</f>
        <v>#REF!</v>
      </c>
    </row>
    <row r="142" spans="1:17">
      <c r="A142" s="52" t="str">
        <f t="shared" si="8"/>
        <v>-</v>
      </c>
      <c r="B142" s="35"/>
      <c r="C142" s="35"/>
      <c r="D142" s="35"/>
      <c r="E142" s="39"/>
      <c r="F142" s="37"/>
      <c r="G142" s="43"/>
      <c r="H142" s="43"/>
      <c r="I142" s="43"/>
      <c r="J142" s="40"/>
      <c r="K142" s="38"/>
      <c r="L142" s="36"/>
      <c r="M142" s="41"/>
      <c r="N142" s="41" t="str">
        <f t="shared" si="7"/>
        <v/>
      </c>
      <c r="O142" s="42"/>
      <c r="P142" s="61" t="str">
        <f t="shared" si="6"/>
        <v>-</v>
      </c>
      <c r="Q142" s="28" t="e">
        <f>#REF!</f>
        <v>#REF!</v>
      </c>
    </row>
    <row r="143" spans="1:17">
      <c r="A143" s="52" t="str">
        <f t="shared" si="8"/>
        <v>-</v>
      </c>
      <c r="B143" s="35"/>
      <c r="C143" s="35"/>
      <c r="D143" s="35"/>
      <c r="E143" s="39"/>
      <c r="F143" s="37"/>
      <c r="G143" s="43"/>
      <c r="H143" s="43"/>
      <c r="I143" s="43"/>
      <c r="J143" s="40"/>
      <c r="K143" s="38"/>
      <c r="L143" s="36"/>
      <c r="M143" s="41"/>
      <c r="N143" s="41" t="str">
        <f t="shared" si="7"/>
        <v/>
      </c>
      <c r="O143" s="42"/>
      <c r="P143" s="61" t="str">
        <f t="shared" ref="P143:P206" si="9">A143</f>
        <v>-</v>
      </c>
      <c r="Q143" s="28" t="e">
        <f>#REF!</f>
        <v>#REF!</v>
      </c>
    </row>
    <row r="144" spans="1:17">
      <c r="A144" s="52" t="str">
        <f t="shared" si="8"/>
        <v>-</v>
      </c>
      <c r="B144" s="35"/>
      <c r="C144" s="35"/>
      <c r="D144" s="35"/>
      <c r="E144" s="39"/>
      <c r="F144" s="37"/>
      <c r="G144" s="43"/>
      <c r="H144" s="43"/>
      <c r="I144" s="43"/>
      <c r="J144" s="40"/>
      <c r="K144" s="38"/>
      <c r="L144" s="36"/>
      <c r="M144" s="41"/>
      <c r="N144" s="41" t="str">
        <f t="shared" si="7"/>
        <v/>
      </c>
      <c r="O144" s="42"/>
      <c r="P144" s="61" t="str">
        <f t="shared" si="9"/>
        <v>-</v>
      </c>
      <c r="Q144" s="28" t="e">
        <f>#REF!</f>
        <v>#REF!</v>
      </c>
    </row>
    <row r="145" spans="1:17">
      <c r="A145" s="52" t="str">
        <f t="shared" si="8"/>
        <v>-</v>
      </c>
      <c r="B145" s="35"/>
      <c r="C145" s="35"/>
      <c r="D145" s="35"/>
      <c r="E145" s="39"/>
      <c r="F145" s="37"/>
      <c r="G145" s="43"/>
      <c r="H145" s="43"/>
      <c r="I145" s="43"/>
      <c r="J145" s="40"/>
      <c r="K145" s="38"/>
      <c r="L145" s="36"/>
      <c r="M145" s="41"/>
      <c r="N145" s="41" t="str">
        <f t="shared" si="7"/>
        <v/>
      </c>
      <c r="O145" s="42"/>
      <c r="P145" s="61" t="str">
        <f t="shared" si="9"/>
        <v>-</v>
      </c>
      <c r="Q145" s="28" t="e">
        <f>#REF!</f>
        <v>#REF!</v>
      </c>
    </row>
    <row r="146" spans="1:17">
      <c r="A146" s="52" t="str">
        <f t="shared" si="8"/>
        <v>-</v>
      </c>
      <c r="B146" s="35"/>
      <c r="C146" s="35"/>
      <c r="D146" s="35"/>
      <c r="E146" s="39"/>
      <c r="F146" s="37"/>
      <c r="G146" s="43"/>
      <c r="H146" s="43"/>
      <c r="I146" s="43"/>
      <c r="J146" s="40"/>
      <c r="K146" s="38"/>
      <c r="L146" s="36"/>
      <c r="M146" s="41"/>
      <c r="N146" s="41" t="str">
        <f t="shared" si="7"/>
        <v/>
      </c>
      <c r="O146" s="42"/>
      <c r="P146" s="61" t="str">
        <f t="shared" si="9"/>
        <v>-</v>
      </c>
      <c r="Q146" s="28" t="e">
        <f>#REF!</f>
        <v>#REF!</v>
      </c>
    </row>
    <row r="147" spans="1:17">
      <c r="A147" s="52" t="str">
        <f t="shared" si="8"/>
        <v>-</v>
      </c>
      <c r="B147" s="35"/>
      <c r="C147" s="35"/>
      <c r="D147" s="35"/>
      <c r="E147" s="39"/>
      <c r="F147" s="37"/>
      <c r="G147" s="43"/>
      <c r="H147" s="43"/>
      <c r="I147" s="43"/>
      <c r="J147" s="40"/>
      <c r="K147" s="38"/>
      <c r="L147" s="36"/>
      <c r="M147" s="41"/>
      <c r="N147" s="41" t="str">
        <f t="shared" si="7"/>
        <v/>
      </c>
      <c r="O147" s="42"/>
      <c r="P147" s="61" t="str">
        <f t="shared" si="9"/>
        <v>-</v>
      </c>
      <c r="Q147" s="28" t="e">
        <f>#REF!</f>
        <v>#REF!</v>
      </c>
    </row>
    <row r="148" spans="1:17">
      <c r="A148" s="52" t="str">
        <f t="shared" si="8"/>
        <v>-</v>
      </c>
      <c r="B148" s="35"/>
      <c r="C148" s="35"/>
      <c r="D148" s="35"/>
      <c r="E148" s="39"/>
      <c r="F148" s="37"/>
      <c r="G148" s="43"/>
      <c r="H148" s="43"/>
      <c r="I148" s="43"/>
      <c r="J148" s="40"/>
      <c r="K148" s="38"/>
      <c r="L148" s="36"/>
      <c r="M148" s="41"/>
      <c r="N148" s="41" t="str">
        <f t="shared" si="7"/>
        <v/>
      </c>
      <c r="O148" s="42"/>
      <c r="P148" s="61" t="str">
        <f t="shared" si="9"/>
        <v>-</v>
      </c>
      <c r="Q148" s="28" t="e">
        <f>#REF!</f>
        <v>#REF!</v>
      </c>
    </row>
    <row r="149" spans="1:17">
      <c r="A149" s="52" t="str">
        <f t="shared" si="8"/>
        <v>-</v>
      </c>
      <c r="B149" s="35"/>
      <c r="C149" s="35"/>
      <c r="D149" s="35"/>
      <c r="E149" s="39"/>
      <c r="F149" s="37"/>
      <c r="G149" s="43"/>
      <c r="H149" s="43"/>
      <c r="I149" s="43"/>
      <c r="J149" s="40"/>
      <c r="K149" s="38"/>
      <c r="L149" s="36"/>
      <c r="M149" s="41"/>
      <c r="N149" s="41" t="str">
        <f t="shared" si="7"/>
        <v/>
      </c>
      <c r="O149" s="42"/>
      <c r="P149" s="61" t="str">
        <f t="shared" si="9"/>
        <v>-</v>
      </c>
      <c r="Q149" s="28" t="e">
        <f>#REF!</f>
        <v>#REF!</v>
      </c>
    </row>
    <row r="150" spans="1:17">
      <c r="A150" s="52" t="str">
        <f t="shared" si="8"/>
        <v>-</v>
      </c>
      <c r="B150" s="35"/>
      <c r="C150" s="35"/>
      <c r="D150" s="35"/>
      <c r="E150" s="39"/>
      <c r="F150" s="37"/>
      <c r="G150" s="43"/>
      <c r="H150" s="43"/>
      <c r="I150" s="43"/>
      <c r="J150" s="40"/>
      <c r="K150" s="38"/>
      <c r="L150" s="36"/>
      <c r="M150" s="41"/>
      <c r="N150" s="41" t="str">
        <f t="shared" ref="N150:N213" si="10">IF(L150&lt;&gt;"",EDATE(M150,L150),"")</f>
        <v/>
      </c>
      <c r="O150" s="42"/>
      <c r="P150" s="61" t="str">
        <f t="shared" si="9"/>
        <v>-</v>
      </c>
      <c r="Q150" s="28" t="e">
        <f>#REF!</f>
        <v>#REF!</v>
      </c>
    </row>
    <row r="151" spans="1:17">
      <c r="A151" s="52" t="str">
        <f t="shared" si="8"/>
        <v>-</v>
      </c>
      <c r="B151" s="35"/>
      <c r="C151" s="35"/>
      <c r="D151" s="35"/>
      <c r="E151" s="39"/>
      <c r="F151" s="37"/>
      <c r="G151" s="43"/>
      <c r="H151" s="43"/>
      <c r="I151" s="43"/>
      <c r="J151" s="40"/>
      <c r="K151" s="38"/>
      <c r="L151" s="36"/>
      <c r="M151" s="41"/>
      <c r="N151" s="41" t="str">
        <f t="shared" si="10"/>
        <v/>
      </c>
      <c r="O151" s="42"/>
      <c r="P151" s="61" t="str">
        <f t="shared" si="9"/>
        <v>-</v>
      </c>
      <c r="Q151" s="28" t="e">
        <f>#REF!</f>
        <v>#REF!</v>
      </c>
    </row>
    <row r="152" spans="1:17">
      <c r="A152" s="52" t="str">
        <f t="shared" si="8"/>
        <v>-</v>
      </c>
      <c r="B152" s="35"/>
      <c r="C152" s="35"/>
      <c r="D152" s="35"/>
      <c r="E152" s="39"/>
      <c r="F152" s="37"/>
      <c r="G152" s="43"/>
      <c r="H152" s="43"/>
      <c r="I152" s="43"/>
      <c r="J152" s="40"/>
      <c r="K152" s="38"/>
      <c r="L152" s="36"/>
      <c r="M152" s="41"/>
      <c r="N152" s="41" t="str">
        <f t="shared" si="10"/>
        <v/>
      </c>
      <c r="O152" s="42"/>
      <c r="P152" s="61" t="str">
        <f t="shared" si="9"/>
        <v>-</v>
      </c>
      <c r="Q152" s="28" t="e">
        <f>#REF!</f>
        <v>#REF!</v>
      </c>
    </row>
    <row r="153" spans="1:17">
      <c r="A153" s="52" t="str">
        <f t="shared" si="8"/>
        <v>-</v>
      </c>
      <c r="B153" s="35"/>
      <c r="C153" s="35"/>
      <c r="D153" s="35"/>
      <c r="E153" s="39"/>
      <c r="F153" s="37"/>
      <c r="G153" s="43"/>
      <c r="H153" s="43"/>
      <c r="I153" s="43"/>
      <c r="J153" s="40"/>
      <c r="K153" s="38"/>
      <c r="L153" s="36"/>
      <c r="M153" s="41"/>
      <c r="N153" s="41" t="str">
        <f t="shared" si="10"/>
        <v/>
      </c>
      <c r="O153" s="42"/>
      <c r="P153" s="61" t="str">
        <f t="shared" si="9"/>
        <v>-</v>
      </c>
      <c r="Q153" s="28" t="e">
        <f>#REF!</f>
        <v>#REF!</v>
      </c>
    </row>
    <row r="154" spans="1:17">
      <c r="A154" s="52" t="str">
        <f t="shared" si="8"/>
        <v>-</v>
      </c>
      <c r="B154" s="35"/>
      <c r="C154" s="35"/>
      <c r="D154" s="35"/>
      <c r="E154" s="39"/>
      <c r="F154" s="37"/>
      <c r="G154" s="43"/>
      <c r="H154" s="43"/>
      <c r="I154" s="43"/>
      <c r="J154" s="40"/>
      <c r="K154" s="38"/>
      <c r="L154" s="36"/>
      <c r="M154" s="41"/>
      <c r="N154" s="41" t="str">
        <f t="shared" si="10"/>
        <v/>
      </c>
      <c r="O154" s="42"/>
      <c r="P154" s="61" t="str">
        <f t="shared" si="9"/>
        <v>-</v>
      </c>
      <c r="Q154" s="28" t="e">
        <f>#REF!</f>
        <v>#REF!</v>
      </c>
    </row>
    <row r="155" spans="1:17">
      <c r="A155" s="52" t="str">
        <f t="shared" si="8"/>
        <v>-</v>
      </c>
      <c r="B155" s="35"/>
      <c r="C155" s="35"/>
      <c r="D155" s="35"/>
      <c r="E155" s="39"/>
      <c r="F155" s="37"/>
      <c r="G155" s="43"/>
      <c r="H155" s="43"/>
      <c r="I155" s="43"/>
      <c r="J155" s="40"/>
      <c r="K155" s="38"/>
      <c r="L155" s="36"/>
      <c r="M155" s="41"/>
      <c r="N155" s="41" t="str">
        <f t="shared" si="10"/>
        <v/>
      </c>
      <c r="O155" s="42"/>
      <c r="P155" s="61" t="str">
        <f t="shared" si="9"/>
        <v>-</v>
      </c>
      <c r="Q155" s="28" t="e">
        <f>#REF!</f>
        <v>#REF!</v>
      </c>
    </row>
    <row r="156" spans="1:17">
      <c r="A156" s="52" t="str">
        <f t="shared" si="8"/>
        <v>-</v>
      </c>
      <c r="B156" s="35"/>
      <c r="C156" s="35"/>
      <c r="D156" s="35"/>
      <c r="E156" s="39"/>
      <c r="F156" s="37"/>
      <c r="G156" s="43"/>
      <c r="H156" s="43"/>
      <c r="I156" s="43"/>
      <c r="J156" s="40"/>
      <c r="K156" s="38"/>
      <c r="L156" s="36"/>
      <c r="M156" s="41"/>
      <c r="N156" s="41" t="str">
        <f t="shared" si="10"/>
        <v/>
      </c>
      <c r="O156" s="42"/>
      <c r="P156" s="61" t="str">
        <f t="shared" si="9"/>
        <v>-</v>
      </c>
      <c r="Q156" s="28" t="e">
        <f>#REF!</f>
        <v>#REF!</v>
      </c>
    </row>
    <row r="157" spans="1:17">
      <c r="A157" s="52" t="str">
        <f t="shared" si="8"/>
        <v>-</v>
      </c>
      <c r="B157" s="35"/>
      <c r="C157" s="35"/>
      <c r="D157" s="35"/>
      <c r="E157" s="39"/>
      <c r="F157" s="37"/>
      <c r="G157" s="43"/>
      <c r="H157" s="43"/>
      <c r="I157" s="43"/>
      <c r="J157" s="40"/>
      <c r="K157" s="38"/>
      <c r="L157" s="36"/>
      <c r="M157" s="41"/>
      <c r="N157" s="41" t="str">
        <f t="shared" si="10"/>
        <v/>
      </c>
      <c r="O157" s="42"/>
      <c r="P157" s="61" t="str">
        <f t="shared" si="9"/>
        <v>-</v>
      </c>
      <c r="Q157" s="28" t="e">
        <f>#REF!</f>
        <v>#REF!</v>
      </c>
    </row>
    <row r="158" spans="1:17">
      <c r="A158" s="52" t="str">
        <f t="shared" si="8"/>
        <v>-</v>
      </c>
      <c r="B158" s="35"/>
      <c r="C158" s="35"/>
      <c r="D158" s="35"/>
      <c r="E158" s="39"/>
      <c r="F158" s="37"/>
      <c r="G158" s="43"/>
      <c r="H158" s="43"/>
      <c r="I158" s="43"/>
      <c r="J158" s="40"/>
      <c r="K158" s="38"/>
      <c r="L158" s="36"/>
      <c r="M158" s="41"/>
      <c r="N158" s="41" t="str">
        <f t="shared" si="10"/>
        <v/>
      </c>
      <c r="O158" s="42"/>
      <c r="P158" s="61" t="str">
        <f t="shared" si="9"/>
        <v>-</v>
      </c>
      <c r="Q158" s="28" t="e">
        <f>#REF!</f>
        <v>#REF!</v>
      </c>
    </row>
    <row r="159" spans="1:17">
      <c r="A159" s="52" t="str">
        <f t="shared" si="8"/>
        <v>-</v>
      </c>
      <c r="B159" s="35"/>
      <c r="C159" s="35"/>
      <c r="D159" s="35"/>
      <c r="E159" s="39"/>
      <c r="F159" s="37"/>
      <c r="G159" s="43"/>
      <c r="H159" s="43"/>
      <c r="I159" s="43"/>
      <c r="J159" s="40"/>
      <c r="K159" s="38"/>
      <c r="L159" s="36"/>
      <c r="M159" s="41"/>
      <c r="N159" s="41" t="str">
        <f t="shared" si="10"/>
        <v/>
      </c>
      <c r="O159" s="42"/>
      <c r="P159" s="61" t="str">
        <f t="shared" si="9"/>
        <v>-</v>
      </c>
      <c r="Q159" s="28" t="e">
        <f>#REF!</f>
        <v>#REF!</v>
      </c>
    </row>
    <row r="160" spans="1:17">
      <c r="A160" s="52" t="str">
        <f t="shared" si="8"/>
        <v>-</v>
      </c>
      <c r="B160" s="35"/>
      <c r="C160" s="35"/>
      <c r="D160" s="35"/>
      <c r="E160" s="39"/>
      <c r="F160" s="37"/>
      <c r="G160" s="43"/>
      <c r="H160" s="43"/>
      <c r="I160" s="43"/>
      <c r="J160" s="40"/>
      <c r="K160" s="38"/>
      <c r="L160" s="36"/>
      <c r="M160" s="41"/>
      <c r="N160" s="41" t="str">
        <f t="shared" si="10"/>
        <v/>
      </c>
      <c r="O160" s="42"/>
      <c r="P160" s="61" t="str">
        <f t="shared" si="9"/>
        <v>-</v>
      </c>
      <c r="Q160" s="28" t="e">
        <f>#REF!</f>
        <v>#REF!</v>
      </c>
    </row>
    <row r="161" spans="1:17">
      <c r="A161" s="52" t="str">
        <f t="shared" si="8"/>
        <v>-</v>
      </c>
      <c r="B161" s="35"/>
      <c r="C161" s="35"/>
      <c r="D161" s="35"/>
      <c r="E161" s="39"/>
      <c r="F161" s="37"/>
      <c r="G161" s="43"/>
      <c r="H161" s="43"/>
      <c r="I161" s="43"/>
      <c r="J161" s="40"/>
      <c r="K161" s="38"/>
      <c r="L161" s="36"/>
      <c r="M161" s="41"/>
      <c r="N161" s="41" t="str">
        <f t="shared" si="10"/>
        <v/>
      </c>
      <c r="O161" s="42"/>
      <c r="P161" s="61" t="str">
        <f t="shared" si="9"/>
        <v>-</v>
      </c>
      <c r="Q161" s="28" t="e">
        <f>#REF!</f>
        <v>#REF!</v>
      </c>
    </row>
    <row r="162" spans="1:17">
      <c r="A162" s="52" t="str">
        <f t="shared" si="8"/>
        <v>-</v>
      </c>
      <c r="B162" s="35"/>
      <c r="C162" s="35"/>
      <c r="D162" s="35"/>
      <c r="E162" s="39"/>
      <c r="F162" s="37"/>
      <c r="G162" s="43"/>
      <c r="H162" s="43"/>
      <c r="I162" s="43"/>
      <c r="J162" s="40"/>
      <c r="K162" s="38"/>
      <c r="L162" s="36"/>
      <c r="M162" s="41"/>
      <c r="N162" s="41" t="str">
        <f t="shared" si="10"/>
        <v/>
      </c>
      <c r="O162" s="42"/>
      <c r="P162" s="61" t="str">
        <f t="shared" si="9"/>
        <v>-</v>
      </c>
      <c r="Q162" s="28" t="e">
        <f>#REF!</f>
        <v>#REF!</v>
      </c>
    </row>
    <row r="163" spans="1:17">
      <c r="A163" s="52" t="str">
        <f t="shared" si="8"/>
        <v>-</v>
      </c>
      <c r="B163" s="35"/>
      <c r="C163" s="35"/>
      <c r="D163" s="35"/>
      <c r="E163" s="39"/>
      <c r="F163" s="37"/>
      <c r="G163" s="43"/>
      <c r="H163" s="43"/>
      <c r="I163" s="43"/>
      <c r="J163" s="40"/>
      <c r="K163" s="38"/>
      <c r="L163" s="36"/>
      <c r="M163" s="41"/>
      <c r="N163" s="41" t="str">
        <f t="shared" si="10"/>
        <v/>
      </c>
      <c r="O163" s="42"/>
      <c r="P163" s="61" t="str">
        <f t="shared" si="9"/>
        <v>-</v>
      </c>
      <c r="Q163" s="28" t="e">
        <f>#REF!</f>
        <v>#REF!</v>
      </c>
    </row>
    <row r="164" spans="1:17">
      <c r="A164" s="52" t="str">
        <f t="shared" si="8"/>
        <v>-</v>
      </c>
      <c r="B164" s="35"/>
      <c r="C164" s="35"/>
      <c r="D164" s="35"/>
      <c r="E164" s="39"/>
      <c r="F164" s="37"/>
      <c r="G164" s="43"/>
      <c r="H164" s="43"/>
      <c r="I164" s="43"/>
      <c r="J164" s="40"/>
      <c r="K164" s="38"/>
      <c r="L164" s="36"/>
      <c r="M164" s="41"/>
      <c r="N164" s="41" t="str">
        <f t="shared" si="10"/>
        <v/>
      </c>
      <c r="O164" s="42"/>
      <c r="P164" s="61" t="str">
        <f t="shared" si="9"/>
        <v>-</v>
      </c>
      <c r="Q164" s="28" t="e">
        <f>#REF!</f>
        <v>#REF!</v>
      </c>
    </row>
    <row r="165" spans="1:17">
      <c r="A165" s="52" t="str">
        <f t="shared" si="8"/>
        <v>-</v>
      </c>
      <c r="B165" s="35"/>
      <c r="C165" s="35"/>
      <c r="D165" s="35"/>
      <c r="E165" s="39"/>
      <c r="F165" s="37"/>
      <c r="G165" s="43"/>
      <c r="H165" s="43"/>
      <c r="I165" s="43"/>
      <c r="J165" s="40"/>
      <c r="K165" s="38"/>
      <c r="L165" s="36"/>
      <c r="M165" s="41"/>
      <c r="N165" s="41" t="str">
        <f t="shared" si="10"/>
        <v/>
      </c>
      <c r="O165" s="42"/>
      <c r="P165" s="61" t="str">
        <f t="shared" si="9"/>
        <v>-</v>
      </c>
      <c r="Q165" s="28" t="e">
        <f>#REF!</f>
        <v>#REF!</v>
      </c>
    </row>
    <row r="166" spans="1:17">
      <c r="A166" s="52" t="str">
        <f t="shared" si="8"/>
        <v>-</v>
      </c>
      <c r="B166" s="35"/>
      <c r="C166" s="35"/>
      <c r="D166" s="35"/>
      <c r="E166" s="39"/>
      <c r="F166" s="37"/>
      <c r="G166" s="43"/>
      <c r="H166" s="43"/>
      <c r="I166" s="43"/>
      <c r="J166" s="40"/>
      <c r="K166" s="38"/>
      <c r="L166" s="36"/>
      <c r="M166" s="41"/>
      <c r="N166" s="41" t="str">
        <f t="shared" si="10"/>
        <v/>
      </c>
      <c r="O166" s="42"/>
      <c r="P166" s="61" t="str">
        <f t="shared" si="9"/>
        <v>-</v>
      </c>
      <c r="Q166" s="28" t="e">
        <f>#REF!</f>
        <v>#REF!</v>
      </c>
    </row>
    <row r="167" spans="1:17">
      <c r="A167" s="52" t="str">
        <f t="shared" si="8"/>
        <v>-</v>
      </c>
      <c r="B167" s="35"/>
      <c r="C167" s="35"/>
      <c r="D167" s="35"/>
      <c r="E167" s="39"/>
      <c r="F167" s="37"/>
      <c r="G167" s="43"/>
      <c r="H167" s="43"/>
      <c r="I167" s="43"/>
      <c r="J167" s="40"/>
      <c r="K167" s="38"/>
      <c r="L167" s="36"/>
      <c r="M167" s="41"/>
      <c r="N167" s="41" t="str">
        <f t="shared" si="10"/>
        <v/>
      </c>
      <c r="O167" s="42"/>
      <c r="P167" s="61" t="str">
        <f t="shared" si="9"/>
        <v>-</v>
      </c>
      <c r="Q167" s="28" t="e">
        <f>#REF!</f>
        <v>#REF!</v>
      </c>
    </row>
    <row r="168" spans="1:17">
      <c r="A168" s="52" t="str">
        <f t="shared" si="8"/>
        <v>-</v>
      </c>
      <c r="B168" s="35"/>
      <c r="C168" s="35"/>
      <c r="D168" s="35"/>
      <c r="E168" s="39"/>
      <c r="F168" s="37"/>
      <c r="G168" s="43"/>
      <c r="H168" s="43"/>
      <c r="I168" s="43"/>
      <c r="J168" s="40"/>
      <c r="K168" s="38"/>
      <c r="L168" s="36"/>
      <c r="M168" s="41"/>
      <c r="N168" s="41" t="str">
        <f t="shared" si="10"/>
        <v/>
      </c>
      <c r="O168" s="42"/>
      <c r="P168" s="61" t="str">
        <f t="shared" si="9"/>
        <v>-</v>
      </c>
      <c r="Q168" s="28" t="e">
        <f>#REF!</f>
        <v>#REF!</v>
      </c>
    </row>
    <row r="169" spans="1:17">
      <c r="A169" s="52" t="str">
        <f t="shared" si="8"/>
        <v>-</v>
      </c>
      <c r="B169" s="35"/>
      <c r="C169" s="35"/>
      <c r="D169" s="35"/>
      <c r="E169" s="39"/>
      <c r="F169" s="37"/>
      <c r="G169" s="43"/>
      <c r="H169" s="43"/>
      <c r="I169" s="43"/>
      <c r="J169" s="40"/>
      <c r="K169" s="38"/>
      <c r="L169" s="36"/>
      <c r="M169" s="41"/>
      <c r="N169" s="41" t="str">
        <f t="shared" si="10"/>
        <v/>
      </c>
      <c r="O169" s="42"/>
      <c r="P169" s="61" t="str">
        <f t="shared" si="9"/>
        <v>-</v>
      </c>
      <c r="Q169" s="28" t="e">
        <f>#REF!</f>
        <v>#REF!</v>
      </c>
    </row>
    <row r="170" spans="1:17">
      <c r="A170" s="52" t="str">
        <f t="shared" si="8"/>
        <v>-</v>
      </c>
      <c r="B170" s="35"/>
      <c r="C170" s="35"/>
      <c r="D170" s="35"/>
      <c r="E170" s="39"/>
      <c r="F170" s="37"/>
      <c r="G170" s="43"/>
      <c r="H170" s="43"/>
      <c r="I170" s="43"/>
      <c r="J170" s="40"/>
      <c r="K170" s="38"/>
      <c r="L170" s="36"/>
      <c r="M170" s="41"/>
      <c r="N170" s="41" t="str">
        <f t="shared" si="10"/>
        <v/>
      </c>
      <c r="O170" s="42"/>
      <c r="P170" s="61" t="str">
        <f t="shared" si="9"/>
        <v>-</v>
      </c>
      <c r="Q170" s="28" t="e">
        <f>#REF!</f>
        <v>#REF!</v>
      </c>
    </row>
    <row r="171" spans="1:17">
      <c r="A171" s="52" t="str">
        <f t="shared" si="8"/>
        <v>-</v>
      </c>
      <c r="B171" s="35"/>
      <c r="C171" s="35"/>
      <c r="D171" s="35"/>
      <c r="E171" s="39"/>
      <c r="F171" s="37"/>
      <c r="G171" s="43"/>
      <c r="H171" s="43"/>
      <c r="I171" s="43"/>
      <c r="J171" s="40"/>
      <c r="K171" s="38"/>
      <c r="L171" s="36"/>
      <c r="M171" s="41"/>
      <c r="N171" s="41" t="str">
        <f t="shared" si="10"/>
        <v/>
      </c>
      <c r="O171" s="42"/>
      <c r="P171" s="61" t="str">
        <f t="shared" si="9"/>
        <v>-</v>
      </c>
      <c r="Q171" s="28" t="e">
        <f>#REF!</f>
        <v>#REF!</v>
      </c>
    </row>
    <row r="172" spans="1:17">
      <c r="A172" s="52" t="str">
        <f t="shared" si="8"/>
        <v>-</v>
      </c>
      <c r="B172" s="35"/>
      <c r="C172" s="35"/>
      <c r="D172" s="35"/>
      <c r="E172" s="39"/>
      <c r="F172" s="37"/>
      <c r="G172" s="43"/>
      <c r="H172" s="43"/>
      <c r="I172" s="43"/>
      <c r="J172" s="40"/>
      <c r="K172" s="38"/>
      <c r="L172" s="36"/>
      <c r="M172" s="41"/>
      <c r="N172" s="41" t="str">
        <f t="shared" si="10"/>
        <v/>
      </c>
      <c r="O172" s="42"/>
      <c r="P172" s="61" t="str">
        <f t="shared" si="9"/>
        <v>-</v>
      </c>
      <c r="Q172" s="28" t="e">
        <f>#REF!</f>
        <v>#REF!</v>
      </c>
    </row>
    <row r="173" spans="1:17">
      <c r="A173" s="52" t="str">
        <f t="shared" si="8"/>
        <v>-</v>
      </c>
      <c r="B173" s="35"/>
      <c r="C173" s="35"/>
      <c r="D173" s="35"/>
      <c r="E173" s="39"/>
      <c r="F173" s="37"/>
      <c r="G173" s="43"/>
      <c r="H173" s="43"/>
      <c r="I173" s="43"/>
      <c r="J173" s="40"/>
      <c r="K173" s="38"/>
      <c r="L173" s="36"/>
      <c r="M173" s="41"/>
      <c r="N173" s="41" t="str">
        <f t="shared" si="10"/>
        <v/>
      </c>
      <c r="O173" s="42"/>
      <c r="P173" s="61" t="str">
        <f t="shared" si="9"/>
        <v>-</v>
      </c>
      <c r="Q173" s="28" t="e">
        <f>#REF!</f>
        <v>#REF!</v>
      </c>
    </row>
    <row r="174" spans="1:17">
      <c r="A174" s="52" t="str">
        <f t="shared" si="8"/>
        <v>-</v>
      </c>
      <c r="B174" s="35"/>
      <c r="C174" s="35"/>
      <c r="D174" s="35"/>
      <c r="E174" s="39"/>
      <c r="F174" s="37"/>
      <c r="G174" s="43"/>
      <c r="H174" s="43"/>
      <c r="I174" s="43"/>
      <c r="J174" s="40"/>
      <c r="K174" s="38"/>
      <c r="L174" s="36"/>
      <c r="M174" s="41"/>
      <c r="N174" s="41" t="str">
        <f t="shared" si="10"/>
        <v/>
      </c>
      <c r="O174" s="42"/>
      <c r="P174" s="61" t="str">
        <f t="shared" si="9"/>
        <v>-</v>
      </c>
      <c r="Q174" s="28" t="e">
        <f>#REF!</f>
        <v>#REF!</v>
      </c>
    </row>
    <row r="175" spans="1:17">
      <c r="A175" s="52" t="str">
        <f t="shared" ref="A175:A238" si="11">CONCATENATE(B175,"-",C175)</f>
        <v>-</v>
      </c>
      <c r="B175" s="35"/>
      <c r="C175" s="35"/>
      <c r="D175" s="35"/>
      <c r="E175" s="39"/>
      <c r="F175" s="37"/>
      <c r="G175" s="43"/>
      <c r="H175" s="43"/>
      <c r="I175" s="43"/>
      <c r="J175" s="40"/>
      <c r="K175" s="38"/>
      <c r="L175" s="36"/>
      <c r="M175" s="41"/>
      <c r="N175" s="41" t="str">
        <f t="shared" si="10"/>
        <v/>
      </c>
      <c r="O175" s="42"/>
      <c r="P175" s="61" t="str">
        <f t="shared" si="9"/>
        <v>-</v>
      </c>
      <c r="Q175" s="28" t="e">
        <f>#REF!</f>
        <v>#REF!</v>
      </c>
    </row>
    <row r="176" spans="1:17">
      <c r="A176" s="52" t="str">
        <f t="shared" si="11"/>
        <v>-</v>
      </c>
      <c r="B176" s="35"/>
      <c r="C176" s="35"/>
      <c r="D176" s="35"/>
      <c r="E176" s="39"/>
      <c r="F176" s="37"/>
      <c r="G176" s="43"/>
      <c r="H176" s="43"/>
      <c r="I176" s="43"/>
      <c r="J176" s="40"/>
      <c r="K176" s="38"/>
      <c r="L176" s="36"/>
      <c r="M176" s="41"/>
      <c r="N176" s="41" t="str">
        <f t="shared" si="10"/>
        <v/>
      </c>
      <c r="O176" s="42"/>
      <c r="P176" s="61" t="str">
        <f t="shared" si="9"/>
        <v>-</v>
      </c>
      <c r="Q176" s="28" t="e">
        <f>#REF!</f>
        <v>#REF!</v>
      </c>
    </row>
    <row r="177" spans="1:17">
      <c r="A177" s="52" t="str">
        <f t="shared" si="11"/>
        <v>-</v>
      </c>
      <c r="B177" s="35"/>
      <c r="C177" s="35"/>
      <c r="D177" s="35"/>
      <c r="E177" s="39"/>
      <c r="F177" s="37"/>
      <c r="G177" s="43"/>
      <c r="H177" s="43"/>
      <c r="I177" s="43"/>
      <c r="J177" s="40"/>
      <c r="K177" s="38"/>
      <c r="L177" s="36"/>
      <c r="M177" s="41"/>
      <c r="N177" s="41" t="str">
        <f t="shared" si="10"/>
        <v/>
      </c>
      <c r="O177" s="42"/>
      <c r="P177" s="61" t="str">
        <f t="shared" si="9"/>
        <v>-</v>
      </c>
      <c r="Q177" s="28" t="e">
        <f>#REF!</f>
        <v>#REF!</v>
      </c>
    </row>
    <row r="178" spans="1:17">
      <c r="A178" s="52" t="str">
        <f t="shared" si="11"/>
        <v>-</v>
      </c>
      <c r="B178" s="35"/>
      <c r="C178" s="35"/>
      <c r="D178" s="35"/>
      <c r="E178" s="39"/>
      <c r="F178" s="37"/>
      <c r="G178" s="43"/>
      <c r="H178" s="43"/>
      <c r="I178" s="43"/>
      <c r="J178" s="40"/>
      <c r="K178" s="38"/>
      <c r="L178" s="36"/>
      <c r="M178" s="41"/>
      <c r="N178" s="41" t="str">
        <f t="shared" si="10"/>
        <v/>
      </c>
      <c r="O178" s="42"/>
      <c r="P178" s="61" t="str">
        <f t="shared" si="9"/>
        <v>-</v>
      </c>
      <c r="Q178" s="28" t="e">
        <f>#REF!</f>
        <v>#REF!</v>
      </c>
    </row>
    <row r="179" spans="1:17">
      <c r="A179" s="52" t="str">
        <f t="shared" si="11"/>
        <v>-</v>
      </c>
      <c r="B179" s="35"/>
      <c r="C179" s="35"/>
      <c r="D179" s="35"/>
      <c r="E179" s="39"/>
      <c r="F179" s="37"/>
      <c r="G179" s="43"/>
      <c r="H179" s="43"/>
      <c r="I179" s="43"/>
      <c r="J179" s="40"/>
      <c r="K179" s="38"/>
      <c r="L179" s="36"/>
      <c r="M179" s="41"/>
      <c r="N179" s="41" t="str">
        <f t="shared" si="10"/>
        <v/>
      </c>
      <c r="O179" s="42"/>
      <c r="P179" s="61" t="str">
        <f t="shared" si="9"/>
        <v>-</v>
      </c>
      <c r="Q179" s="28" t="e">
        <f>#REF!</f>
        <v>#REF!</v>
      </c>
    </row>
    <row r="180" spans="1:17">
      <c r="A180" s="52" t="str">
        <f t="shared" si="11"/>
        <v>-</v>
      </c>
      <c r="B180" s="35"/>
      <c r="C180" s="35"/>
      <c r="D180" s="35"/>
      <c r="E180" s="39"/>
      <c r="F180" s="37"/>
      <c r="G180" s="43"/>
      <c r="H180" s="43"/>
      <c r="I180" s="43"/>
      <c r="J180" s="40"/>
      <c r="K180" s="38"/>
      <c r="L180" s="36"/>
      <c r="M180" s="41"/>
      <c r="N180" s="41" t="str">
        <f t="shared" si="10"/>
        <v/>
      </c>
      <c r="O180" s="42"/>
      <c r="P180" s="61" t="str">
        <f t="shared" si="9"/>
        <v>-</v>
      </c>
      <c r="Q180" s="28" t="e">
        <f>#REF!</f>
        <v>#REF!</v>
      </c>
    </row>
    <row r="181" spans="1:17">
      <c r="A181" s="52" t="str">
        <f t="shared" si="11"/>
        <v>-</v>
      </c>
      <c r="B181" s="35"/>
      <c r="C181" s="35"/>
      <c r="D181" s="35"/>
      <c r="E181" s="39"/>
      <c r="F181" s="37"/>
      <c r="G181" s="43"/>
      <c r="H181" s="43"/>
      <c r="I181" s="43"/>
      <c r="J181" s="40"/>
      <c r="K181" s="38"/>
      <c r="L181" s="36"/>
      <c r="M181" s="41"/>
      <c r="N181" s="41" t="str">
        <f t="shared" si="10"/>
        <v/>
      </c>
      <c r="O181" s="42"/>
      <c r="P181" s="61" t="str">
        <f t="shared" si="9"/>
        <v>-</v>
      </c>
      <c r="Q181" s="28" t="e">
        <f>#REF!</f>
        <v>#REF!</v>
      </c>
    </row>
    <row r="182" spans="1:17">
      <c r="A182" s="52" t="str">
        <f t="shared" si="11"/>
        <v>-</v>
      </c>
      <c r="B182" s="35"/>
      <c r="C182" s="35"/>
      <c r="D182" s="35"/>
      <c r="E182" s="39"/>
      <c r="F182" s="37"/>
      <c r="G182" s="43"/>
      <c r="H182" s="43"/>
      <c r="I182" s="43"/>
      <c r="J182" s="40"/>
      <c r="K182" s="38"/>
      <c r="L182" s="36"/>
      <c r="M182" s="41"/>
      <c r="N182" s="41" t="str">
        <f t="shared" si="10"/>
        <v/>
      </c>
      <c r="O182" s="42"/>
      <c r="P182" s="61" t="str">
        <f t="shared" si="9"/>
        <v>-</v>
      </c>
      <c r="Q182" s="28" t="e">
        <f>#REF!</f>
        <v>#REF!</v>
      </c>
    </row>
    <row r="183" spans="1:17">
      <c r="A183" s="52" t="str">
        <f t="shared" si="11"/>
        <v>-</v>
      </c>
      <c r="B183" s="35"/>
      <c r="C183" s="35"/>
      <c r="D183" s="35"/>
      <c r="E183" s="39"/>
      <c r="F183" s="37"/>
      <c r="G183" s="43"/>
      <c r="H183" s="43"/>
      <c r="I183" s="43"/>
      <c r="J183" s="40"/>
      <c r="K183" s="38"/>
      <c r="L183" s="36"/>
      <c r="M183" s="41"/>
      <c r="N183" s="41" t="str">
        <f t="shared" si="10"/>
        <v/>
      </c>
      <c r="O183" s="42"/>
      <c r="P183" s="61" t="str">
        <f t="shared" si="9"/>
        <v>-</v>
      </c>
      <c r="Q183" s="28" t="e">
        <f>#REF!</f>
        <v>#REF!</v>
      </c>
    </row>
    <row r="184" spans="1:17">
      <c r="A184" s="52" t="str">
        <f t="shared" si="11"/>
        <v>-</v>
      </c>
      <c r="B184" s="35"/>
      <c r="C184" s="35"/>
      <c r="D184" s="35"/>
      <c r="E184" s="39"/>
      <c r="F184" s="37"/>
      <c r="G184" s="43"/>
      <c r="H184" s="43"/>
      <c r="I184" s="43"/>
      <c r="J184" s="40"/>
      <c r="K184" s="38"/>
      <c r="L184" s="36"/>
      <c r="M184" s="41"/>
      <c r="N184" s="41" t="str">
        <f t="shared" si="10"/>
        <v/>
      </c>
      <c r="O184" s="42"/>
      <c r="P184" s="61" t="str">
        <f t="shared" si="9"/>
        <v>-</v>
      </c>
      <c r="Q184" s="28" t="e">
        <f>#REF!</f>
        <v>#REF!</v>
      </c>
    </row>
    <row r="185" spans="1:17">
      <c r="A185" s="52" t="str">
        <f t="shared" si="11"/>
        <v>-</v>
      </c>
      <c r="B185" s="35"/>
      <c r="C185" s="35"/>
      <c r="D185" s="35"/>
      <c r="E185" s="39"/>
      <c r="F185" s="37"/>
      <c r="G185" s="43"/>
      <c r="H185" s="43"/>
      <c r="I185" s="43"/>
      <c r="J185" s="40"/>
      <c r="K185" s="38"/>
      <c r="L185" s="36"/>
      <c r="M185" s="41"/>
      <c r="N185" s="41" t="str">
        <f t="shared" si="10"/>
        <v/>
      </c>
      <c r="O185" s="42"/>
      <c r="P185" s="61" t="str">
        <f t="shared" si="9"/>
        <v>-</v>
      </c>
      <c r="Q185" s="28" t="e">
        <f>#REF!</f>
        <v>#REF!</v>
      </c>
    </row>
    <row r="186" spans="1:17">
      <c r="A186" s="52" t="str">
        <f t="shared" si="11"/>
        <v>-</v>
      </c>
      <c r="B186" s="35"/>
      <c r="C186" s="35"/>
      <c r="D186" s="35"/>
      <c r="E186" s="39"/>
      <c r="F186" s="37"/>
      <c r="G186" s="43"/>
      <c r="H186" s="43"/>
      <c r="I186" s="43"/>
      <c r="J186" s="40"/>
      <c r="K186" s="38"/>
      <c r="L186" s="36"/>
      <c r="M186" s="41"/>
      <c r="N186" s="41" t="str">
        <f t="shared" si="10"/>
        <v/>
      </c>
      <c r="O186" s="42"/>
      <c r="P186" s="61" t="str">
        <f t="shared" si="9"/>
        <v>-</v>
      </c>
      <c r="Q186" s="28" t="e">
        <f>#REF!</f>
        <v>#REF!</v>
      </c>
    </row>
    <row r="187" spans="1:17">
      <c r="A187" s="52" t="str">
        <f t="shared" si="11"/>
        <v>-</v>
      </c>
      <c r="B187" s="35"/>
      <c r="C187" s="35"/>
      <c r="D187" s="35"/>
      <c r="E187" s="39"/>
      <c r="F187" s="37"/>
      <c r="G187" s="43"/>
      <c r="H187" s="43"/>
      <c r="I187" s="43"/>
      <c r="J187" s="40"/>
      <c r="K187" s="38"/>
      <c r="L187" s="36"/>
      <c r="M187" s="41"/>
      <c r="N187" s="41" t="str">
        <f t="shared" si="10"/>
        <v/>
      </c>
      <c r="O187" s="42"/>
      <c r="P187" s="61" t="str">
        <f t="shared" si="9"/>
        <v>-</v>
      </c>
      <c r="Q187" s="28" t="e">
        <f>#REF!</f>
        <v>#REF!</v>
      </c>
    </row>
    <row r="188" spans="1:17">
      <c r="A188" s="52" t="str">
        <f t="shared" si="11"/>
        <v>-</v>
      </c>
      <c r="B188" s="35"/>
      <c r="C188" s="35"/>
      <c r="D188" s="35"/>
      <c r="E188" s="39"/>
      <c r="F188" s="37"/>
      <c r="G188" s="43"/>
      <c r="H188" s="43"/>
      <c r="I188" s="43"/>
      <c r="J188" s="40"/>
      <c r="K188" s="38"/>
      <c r="L188" s="36"/>
      <c r="M188" s="41"/>
      <c r="N188" s="41" t="str">
        <f t="shared" si="10"/>
        <v/>
      </c>
      <c r="O188" s="42"/>
      <c r="P188" s="61" t="str">
        <f t="shared" si="9"/>
        <v>-</v>
      </c>
      <c r="Q188" s="28" t="e">
        <f>#REF!</f>
        <v>#REF!</v>
      </c>
    </row>
    <row r="189" spans="1:17">
      <c r="A189" s="52" t="str">
        <f t="shared" si="11"/>
        <v>-</v>
      </c>
      <c r="B189" s="35"/>
      <c r="C189" s="35"/>
      <c r="D189" s="35"/>
      <c r="E189" s="39"/>
      <c r="F189" s="37"/>
      <c r="G189" s="43"/>
      <c r="H189" s="43"/>
      <c r="I189" s="43"/>
      <c r="J189" s="40"/>
      <c r="K189" s="38"/>
      <c r="L189" s="36"/>
      <c r="M189" s="41"/>
      <c r="N189" s="41" t="str">
        <f t="shared" si="10"/>
        <v/>
      </c>
      <c r="O189" s="42"/>
      <c r="P189" s="61" t="str">
        <f t="shared" si="9"/>
        <v>-</v>
      </c>
      <c r="Q189" s="28" t="e">
        <f>#REF!</f>
        <v>#REF!</v>
      </c>
    </row>
    <row r="190" spans="1:17">
      <c r="A190" s="52" t="str">
        <f t="shared" si="11"/>
        <v>-</v>
      </c>
      <c r="B190" s="35"/>
      <c r="C190" s="35"/>
      <c r="D190" s="35"/>
      <c r="E190" s="39"/>
      <c r="F190" s="37"/>
      <c r="G190" s="43"/>
      <c r="H190" s="43"/>
      <c r="I190" s="43"/>
      <c r="J190" s="40"/>
      <c r="K190" s="38"/>
      <c r="L190" s="36"/>
      <c r="M190" s="41"/>
      <c r="N190" s="41" t="str">
        <f t="shared" si="10"/>
        <v/>
      </c>
      <c r="O190" s="42"/>
      <c r="P190" s="61" t="str">
        <f t="shared" si="9"/>
        <v>-</v>
      </c>
      <c r="Q190" s="28" t="e">
        <f>#REF!</f>
        <v>#REF!</v>
      </c>
    </row>
    <row r="191" spans="1:17">
      <c r="A191" s="52" t="str">
        <f t="shared" si="11"/>
        <v>-</v>
      </c>
      <c r="B191" s="35"/>
      <c r="C191" s="35"/>
      <c r="D191" s="35"/>
      <c r="E191" s="39"/>
      <c r="F191" s="37"/>
      <c r="G191" s="43"/>
      <c r="H191" s="43"/>
      <c r="I191" s="43"/>
      <c r="J191" s="40"/>
      <c r="K191" s="38"/>
      <c r="L191" s="36"/>
      <c r="M191" s="41"/>
      <c r="N191" s="41" t="str">
        <f t="shared" si="10"/>
        <v/>
      </c>
      <c r="O191" s="42"/>
      <c r="P191" s="61" t="str">
        <f t="shared" si="9"/>
        <v>-</v>
      </c>
      <c r="Q191" s="28" t="e">
        <f>#REF!</f>
        <v>#REF!</v>
      </c>
    </row>
    <row r="192" spans="1:17">
      <c r="A192" s="52" t="str">
        <f t="shared" si="11"/>
        <v>-</v>
      </c>
      <c r="B192" s="35"/>
      <c r="C192" s="35"/>
      <c r="D192" s="35"/>
      <c r="E192" s="39"/>
      <c r="F192" s="37"/>
      <c r="G192" s="43"/>
      <c r="H192" s="43"/>
      <c r="I192" s="43"/>
      <c r="J192" s="40"/>
      <c r="K192" s="38"/>
      <c r="L192" s="36"/>
      <c r="M192" s="41"/>
      <c r="N192" s="41" t="str">
        <f t="shared" si="10"/>
        <v/>
      </c>
      <c r="O192" s="42"/>
      <c r="P192" s="61" t="str">
        <f t="shared" si="9"/>
        <v>-</v>
      </c>
      <c r="Q192" s="28" t="e">
        <f>#REF!</f>
        <v>#REF!</v>
      </c>
    </row>
    <row r="193" spans="1:17">
      <c r="A193" s="52" t="str">
        <f t="shared" si="11"/>
        <v>-</v>
      </c>
      <c r="B193" s="35"/>
      <c r="C193" s="35"/>
      <c r="D193" s="35"/>
      <c r="E193" s="39"/>
      <c r="F193" s="37"/>
      <c r="G193" s="43"/>
      <c r="H193" s="43"/>
      <c r="I193" s="43"/>
      <c r="J193" s="40"/>
      <c r="K193" s="38"/>
      <c r="L193" s="36"/>
      <c r="M193" s="41"/>
      <c r="N193" s="41" t="str">
        <f t="shared" si="10"/>
        <v/>
      </c>
      <c r="O193" s="42"/>
      <c r="P193" s="61" t="str">
        <f t="shared" si="9"/>
        <v>-</v>
      </c>
      <c r="Q193" s="28" t="e">
        <f>#REF!</f>
        <v>#REF!</v>
      </c>
    </row>
    <row r="194" spans="1:17">
      <c r="A194" s="52" t="str">
        <f t="shared" si="11"/>
        <v>-</v>
      </c>
      <c r="B194" s="35"/>
      <c r="C194" s="35"/>
      <c r="D194" s="35"/>
      <c r="E194" s="39"/>
      <c r="F194" s="37"/>
      <c r="G194" s="43"/>
      <c r="H194" s="43"/>
      <c r="I194" s="43"/>
      <c r="J194" s="40"/>
      <c r="K194" s="38"/>
      <c r="L194" s="36"/>
      <c r="M194" s="41"/>
      <c r="N194" s="41" t="str">
        <f t="shared" si="10"/>
        <v/>
      </c>
      <c r="O194" s="42"/>
      <c r="P194" s="61" t="str">
        <f t="shared" si="9"/>
        <v>-</v>
      </c>
      <c r="Q194" s="28" t="e">
        <f>#REF!</f>
        <v>#REF!</v>
      </c>
    </row>
    <row r="195" spans="1:17">
      <c r="A195" s="52" t="str">
        <f t="shared" si="11"/>
        <v>-</v>
      </c>
      <c r="B195" s="35"/>
      <c r="C195" s="35"/>
      <c r="D195" s="35"/>
      <c r="E195" s="39"/>
      <c r="F195" s="37"/>
      <c r="G195" s="43"/>
      <c r="H195" s="43"/>
      <c r="I195" s="43"/>
      <c r="J195" s="40"/>
      <c r="K195" s="38"/>
      <c r="L195" s="36"/>
      <c r="M195" s="41"/>
      <c r="N195" s="41" t="str">
        <f t="shared" si="10"/>
        <v/>
      </c>
      <c r="O195" s="42"/>
      <c r="P195" s="61" t="str">
        <f t="shared" si="9"/>
        <v>-</v>
      </c>
      <c r="Q195" s="28" t="e">
        <f>#REF!</f>
        <v>#REF!</v>
      </c>
    </row>
    <row r="196" spans="1:17">
      <c r="A196" s="52" t="str">
        <f t="shared" si="11"/>
        <v>-</v>
      </c>
      <c r="B196" s="35"/>
      <c r="C196" s="35"/>
      <c r="D196" s="35"/>
      <c r="E196" s="39"/>
      <c r="F196" s="37"/>
      <c r="G196" s="43"/>
      <c r="H196" s="43"/>
      <c r="I196" s="43"/>
      <c r="J196" s="40"/>
      <c r="K196" s="38"/>
      <c r="L196" s="36"/>
      <c r="M196" s="41"/>
      <c r="N196" s="41" t="str">
        <f t="shared" si="10"/>
        <v/>
      </c>
      <c r="O196" s="42"/>
      <c r="P196" s="61" t="str">
        <f t="shared" si="9"/>
        <v>-</v>
      </c>
      <c r="Q196" s="28" t="e">
        <f>#REF!</f>
        <v>#REF!</v>
      </c>
    </row>
    <row r="197" spans="1:17">
      <c r="A197" s="52" t="str">
        <f t="shared" si="11"/>
        <v>-</v>
      </c>
      <c r="B197" s="35"/>
      <c r="C197" s="35"/>
      <c r="D197" s="35"/>
      <c r="E197" s="39"/>
      <c r="F197" s="37"/>
      <c r="G197" s="43"/>
      <c r="H197" s="43"/>
      <c r="I197" s="43"/>
      <c r="J197" s="40"/>
      <c r="K197" s="38"/>
      <c r="L197" s="36"/>
      <c r="M197" s="41"/>
      <c r="N197" s="41" t="str">
        <f t="shared" si="10"/>
        <v/>
      </c>
      <c r="O197" s="42"/>
      <c r="P197" s="61" t="str">
        <f t="shared" si="9"/>
        <v>-</v>
      </c>
      <c r="Q197" s="28" t="e">
        <f>#REF!</f>
        <v>#REF!</v>
      </c>
    </row>
    <row r="198" spans="1:17">
      <c r="A198" s="52" t="str">
        <f t="shared" si="11"/>
        <v>-</v>
      </c>
      <c r="B198" s="35"/>
      <c r="C198" s="35"/>
      <c r="D198" s="35"/>
      <c r="E198" s="39"/>
      <c r="F198" s="37"/>
      <c r="G198" s="43"/>
      <c r="H198" s="43"/>
      <c r="I198" s="43"/>
      <c r="J198" s="40"/>
      <c r="K198" s="38"/>
      <c r="L198" s="36"/>
      <c r="M198" s="41"/>
      <c r="N198" s="41" t="str">
        <f t="shared" si="10"/>
        <v/>
      </c>
      <c r="O198" s="42"/>
      <c r="P198" s="61" t="str">
        <f t="shared" si="9"/>
        <v>-</v>
      </c>
      <c r="Q198" s="28" t="e">
        <f>#REF!</f>
        <v>#REF!</v>
      </c>
    </row>
    <row r="199" spans="1:17">
      <c r="A199" s="52" t="str">
        <f t="shared" si="11"/>
        <v>-</v>
      </c>
      <c r="B199" s="35"/>
      <c r="C199" s="35"/>
      <c r="D199" s="35"/>
      <c r="E199" s="39"/>
      <c r="F199" s="37"/>
      <c r="G199" s="43"/>
      <c r="H199" s="43"/>
      <c r="I199" s="43"/>
      <c r="J199" s="40"/>
      <c r="K199" s="38"/>
      <c r="L199" s="36"/>
      <c r="M199" s="41"/>
      <c r="N199" s="41" t="str">
        <f t="shared" si="10"/>
        <v/>
      </c>
      <c r="O199" s="42"/>
      <c r="P199" s="61" t="str">
        <f t="shared" si="9"/>
        <v>-</v>
      </c>
      <c r="Q199" s="28" t="e">
        <f>#REF!</f>
        <v>#REF!</v>
      </c>
    </row>
    <row r="200" spans="1:17">
      <c r="A200" s="52" t="str">
        <f t="shared" si="11"/>
        <v>-</v>
      </c>
      <c r="B200" s="35"/>
      <c r="C200" s="35"/>
      <c r="D200" s="35"/>
      <c r="E200" s="39"/>
      <c r="F200" s="37"/>
      <c r="G200" s="43"/>
      <c r="H200" s="43"/>
      <c r="I200" s="43"/>
      <c r="J200" s="40"/>
      <c r="K200" s="38"/>
      <c r="L200" s="36"/>
      <c r="M200" s="41"/>
      <c r="N200" s="41" t="str">
        <f t="shared" si="10"/>
        <v/>
      </c>
      <c r="O200" s="42"/>
      <c r="P200" s="61" t="str">
        <f t="shared" si="9"/>
        <v>-</v>
      </c>
      <c r="Q200" s="28" t="e">
        <f>#REF!</f>
        <v>#REF!</v>
      </c>
    </row>
    <row r="201" spans="1:17">
      <c r="A201" s="52" t="str">
        <f t="shared" si="11"/>
        <v>-</v>
      </c>
      <c r="B201" s="35"/>
      <c r="C201" s="35"/>
      <c r="D201" s="35"/>
      <c r="E201" s="39"/>
      <c r="F201" s="37"/>
      <c r="G201" s="43"/>
      <c r="H201" s="43"/>
      <c r="I201" s="43"/>
      <c r="J201" s="40"/>
      <c r="K201" s="38"/>
      <c r="L201" s="36"/>
      <c r="M201" s="41"/>
      <c r="N201" s="41" t="str">
        <f t="shared" si="10"/>
        <v/>
      </c>
      <c r="O201" s="42"/>
      <c r="P201" s="61" t="str">
        <f t="shared" si="9"/>
        <v>-</v>
      </c>
      <c r="Q201" s="28" t="e">
        <f>#REF!</f>
        <v>#REF!</v>
      </c>
    </row>
    <row r="202" spans="1:17">
      <c r="A202" s="52" t="str">
        <f t="shared" si="11"/>
        <v>-</v>
      </c>
      <c r="B202" s="35"/>
      <c r="C202" s="35"/>
      <c r="D202" s="35"/>
      <c r="E202" s="39"/>
      <c r="F202" s="37"/>
      <c r="G202" s="43"/>
      <c r="H202" s="43"/>
      <c r="I202" s="43"/>
      <c r="J202" s="40"/>
      <c r="K202" s="38"/>
      <c r="L202" s="36"/>
      <c r="M202" s="41"/>
      <c r="N202" s="41" t="str">
        <f t="shared" si="10"/>
        <v/>
      </c>
      <c r="O202" s="42"/>
      <c r="P202" s="61" t="str">
        <f t="shared" si="9"/>
        <v>-</v>
      </c>
      <c r="Q202" s="28" t="e">
        <f>#REF!</f>
        <v>#REF!</v>
      </c>
    </row>
    <row r="203" spans="1:17">
      <c r="A203" s="52" t="str">
        <f t="shared" si="11"/>
        <v>-</v>
      </c>
      <c r="B203" s="35"/>
      <c r="C203" s="35"/>
      <c r="D203" s="35"/>
      <c r="E203" s="39"/>
      <c r="F203" s="37"/>
      <c r="G203" s="43"/>
      <c r="H203" s="43"/>
      <c r="I203" s="43"/>
      <c r="J203" s="40"/>
      <c r="K203" s="38"/>
      <c r="L203" s="36"/>
      <c r="M203" s="41"/>
      <c r="N203" s="41" t="str">
        <f t="shared" si="10"/>
        <v/>
      </c>
      <c r="O203" s="42"/>
      <c r="P203" s="61" t="str">
        <f t="shared" si="9"/>
        <v>-</v>
      </c>
      <c r="Q203" s="28" t="e">
        <f>#REF!</f>
        <v>#REF!</v>
      </c>
    </row>
    <row r="204" spans="1:17">
      <c r="A204" s="52" t="str">
        <f t="shared" si="11"/>
        <v>-</v>
      </c>
      <c r="B204" s="35"/>
      <c r="C204" s="35"/>
      <c r="D204" s="35"/>
      <c r="E204" s="39"/>
      <c r="F204" s="37"/>
      <c r="G204" s="43"/>
      <c r="H204" s="43"/>
      <c r="I204" s="43"/>
      <c r="J204" s="40"/>
      <c r="K204" s="38"/>
      <c r="L204" s="36"/>
      <c r="M204" s="41"/>
      <c r="N204" s="41" t="str">
        <f t="shared" si="10"/>
        <v/>
      </c>
      <c r="O204" s="42"/>
      <c r="P204" s="61" t="str">
        <f t="shared" si="9"/>
        <v>-</v>
      </c>
      <c r="Q204" s="28" t="e">
        <f>#REF!</f>
        <v>#REF!</v>
      </c>
    </row>
    <row r="205" spans="1:17">
      <c r="A205" s="52" t="str">
        <f t="shared" si="11"/>
        <v>-</v>
      </c>
      <c r="B205" s="35"/>
      <c r="C205" s="35"/>
      <c r="D205" s="35"/>
      <c r="E205" s="39"/>
      <c r="F205" s="37"/>
      <c r="G205" s="43"/>
      <c r="H205" s="43"/>
      <c r="I205" s="43"/>
      <c r="J205" s="40"/>
      <c r="K205" s="38"/>
      <c r="L205" s="36"/>
      <c r="M205" s="41"/>
      <c r="N205" s="41" t="str">
        <f t="shared" si="10"/>
        <v/>
      </c>
      <c r="O205" s="42"/>
      <c r="P205" s="61" t="str">
        <f t="shared" si="9"/>
        <v>-</v>
      </c>
      <c r="Q205" s="28" t="e">
        <f>#REF!</f>
        <v>#REF!</v>
      </c>
    </row>
    <row r="206" spans="1:17">
      <c r="A206" s="52" t="str">
        <f t="shared" si="11"/>
        <v>-</v>
      </c>
      <c r="B206" s="35"/>
      <c r="C206" s="35"/>
      <c r="D206" s="35"/>
      <c r="E206" s="39"/>
      <c r="F206" s="37"/>
      <c r="G206" s="43"/>
      <c r="H206" s="43"/>
      <c r="I206" s="43"/>
      <c r="J206" s="40"/>
      <c r="K206" s="38"/>
      <c r="L206" s="36"/>
      <c r="M206" s="41"/>
      <c r="N206" s="41" t="str">
        <f t="shared" si="10"/>
        <v/>
      </c>
      <c r="O206" s="42"/>
      <c r="P206" s="61" t="str">
        <f t="shared" si="9"/>
        <v>-</v>
      </c>
      <c r="Q206" s="28" t="e">
        <f>#REF!</f>
        <v>#REF!</v>
      </c>
    </row>
    <row r="207" spans="1:17">
      <c r="A207" s="52" t="str">
        <f t="shared" si="11"/>
        <v>-</v>
      </c>
      <c r="B207" s="35"/>
      <c r="C207" s="35"/>
      <c r="D207" s="35"/>
      <c r="E207" s="39"/>
      <c r="F207" s="37"/>
      <c r="G207" s="43"/>
      <c r="H207" s="43"/>
      <c r="I207" s="43"/>
      <c r="J207" s="40"/>
      <c r="K207" s="38"/>
      <c r="L207" s="36"/>
      <c r="M207" s="41"/>
      <c r="N207" s="41" t="str">
        <f t="shared" si="10"/>
        <v/>
      </c>
      <c r="O207" s="42"/>
      <c r="P207" s="61" t="str">
        <f t="shared" ref="P207:P270" si="12">A207</f>
        <v>-</v>
      </c>
      <c r="Q207" s="28" t="e">
        <f>#REF!</f>
        <v>#REF!</v>
      </c>
    </row>
    <row r="208" spans="1:17">
      <c r="A208" s="52" t="str">
        <f t="shared" si="11"/>
        <v>-</v>
      </c>
      <c r="B208" s="35"/>
      <c r="C208" s="35"/>
      <c r="D208" s="35"/>
      <c r="E208" s="39"/>
      <c r="F208" s="37"/>
      <c r="G208" s="43"/>
      <c r="H208" s="43"/>
      <c r="I208" s="43"/>
      <c r="J208" s="40"/>
      <c r="K208" s="38"/>
      <c r="L208" s="36"/>
      <c r="M208" s="41"/>
      <c r="N208" s="41" t="str">
        <f t="shared" si="10"/>
        <v/>
      </c>
      <c r="O208" s="42"/>
      <c r="P208" s="61" t="str">
        <f t="shared" si="12"/>
        <v>-</v>
      </c>
      <c r="Q208" s="28" t="e">
        <f>#REF!</f>
        <v>#REF!</v>
      </c>
    </row>
    <row r="209" spans="1:17">
      <c r="A209" s="52" t="str">
        <f t="shared" si="11"/>
        <v>-</v>
      </c>
      <c r="B209" s="35"/>
      <c r="C209" s="35"/>
      <c r="D209" s="35"/>
      <c r="E209" s="39"/>
      <c r="F209" s="37"/>
      <c r="G209" s="43"/>
      <c r="H209" s="43"/>
      <c r="I209" s="43"/>
      <c r="J209" s="40"/>
      <c r="K209" s="38"/>
      <c r="L209" s="36"/>
      <c r="M209" s="41"/>
      <c r="N209" s="41" t="str">
        <f t="shared" si="10"/>
        <v/>
      </c>
      <c r="O209" s="42"/>
      <c r="P209" s="61" t="str">
        <f t="shared" si="12"/>
        <v>-</v>
      </c>
      <c r="Q209" s="28" t="e">
        <f>#REF!</f>
        <v>#REF!</v>
      </c>
    </row>
    <row r="210" spans="1:17">
      <c r="A210" s="52" t="str">
        <f t="shared" si="11"/>
        <v>-</v>
      </c>
      <c r="B210" s="35"/>
      <c r="C210" s="35"/>
      <c r="D210" s="35"/>
      <c r="E210" s="39"/>
      <c r="F210" s="37"/>
      <c r="G210" s="43"/>
      <c r="H210" s="43"/>
      <c r="I210" s="43"/>
      <c r="J210" s="40"/>
      <c r="K210" s="38"/>
      <c r="L210" s="36"/>
      <c r="M210" s="41"/>
      <c r="N210" s="41" t="str">
        <f t="shared" si="10"/>
        <v/>
      </c>
      <c r="O210" s="42"/>
      <c r="P210" s="61" t="str">
        <f t="shared" si="12"/>
        <v>-</v>
      </c>
      <c r="Q210" s="28" t="e">
        <f>#REF!</f>
        <v>#REF!</v>
      </c>
    </row>
    <row r="211" spans="1:17">
      <c r="A211" s="52" t="str">
        <f t="shared" si="11"/>
        <v>-</v>
      </c>
      <c r="B211" s="35"/>
      <c r="C211" s="35"/>
      <c r="D211" s="35"/>
      <c r="E211" s="39"/>
      <c r="F211" s="37"/>
      <c r="G211" s="43"/>
      <c r="H211" s="43"/>
      <c r="I211" s="43"/>
      <c r="J211" s="40"/>
      <c r="K211" s="38"/>
      <c r="L211" s="36"/>
      <c r="M211" s="41"/>
      <c r="N211" s="41" t="str">
        <f t="shared" si="10"/>
        <v/>
      </c>
      <c r="O211" s="42"/>
      <c r="P211" s="61" t="str">
        <f t="shared" si="12"/>
        <v>-</v>
      </c>
      <c r="Q211" s="28" t="e">
        <f>#REF!</f>
        <v>#REF!</v>
      </c>
    </row>
    <row r="212" spans="1:17">
      <c r="A212" s="52" t="str">
        <f t="shared" si="11"/>
        <v>-</v>
      </c>
      <c r="B212" s="35"/>
      <c r="C212" s="35"/>
      <c r="D212" s="35"/>
      <c r="E212" s="39"/>
      <c r="F212" s="37"/>
      <c r="G212" s="43"/>
      <c r="H212" s="43"/>
      <c r="I212" s="43"/>
      <c r="J212" s="40"/>
      <c r="K212" s="38"/>
      <c r="L212" s="36"/>
      <c r="M212" s="41"/>
      <c r="N212" s="41" t="str">
        <f t="shared" si="10"/>
        <v/>
      </c>
      <c r="O212" s="42"/>
      <c r="P212" s="61" t="str">
        <f t="shared" si="12"/>
        <v>-</v>
      </c>
      <c r="Q212" s="28" t="e">
        <f>#REF!</f>
        <v>#REF!</v>
      </c>
    </row>
    <row r="213" spans="1:17">
      <c r="A213" s="52" t="str">
        <f t="shared" si="11"/>
        <v>-</v>
      </c>
      <c r="B213" s="35"/>
      <c r="C213" s="35"/>
      <c r="D213" s="35"/>
      <c r="E213" s="39"/>
      <c r="F213" s="37"/>
      <c r="G213" s="43"/>
      <c r="H213" s="43"/>
      <c r="I213" s="43"/>
      <c r="J213" s="40"/>
      <c r="K213" s="38"/>
      <c r="L213" s="36"/>
      <c r="M213" s="41"/>
      <c r="N213" s="41" t="str">
        <f t="shared" si="10"/>
        <v/>
      </c>
      <c r="O213" s="42"/>
      <c r="P213" s="61" t="str">
        <f t="shared" si="12"/>
        <v>-</v>
      </c>
      <c r="Q213" s="28" t="e">
        <f>#REF!</f>
        <v>#REF!</v>
      </c>
    </row>
    <row r="214" spans="1:17">
      <c r="A214" s="52" t="str">
        <f t="shared" si="11"/>
        <v>-</v>
      </c>
      <c r="B214" s="35"/>
      <c r="C214" s="35"/>
      <c r="D214" s="35"/>
      <c r="E214" s="39"/>
      <c r="F214" s="37"/>
      <c r="G214" s="43"/>
      <c r="H214" s="43"/>
      <c r="I214" s="43"/>
      <c r="J214" s="40"/>
      <c r="K214" s="38"/>
      <c r="L214" s="36"/>
      <c r="M214" s="41"/>
      <c r="N214" s="41" t="str">
        <f t="shared" ref="N214:N277" si="13">IF(L214&lt;&gt;"",EDATE(M214,L214),"")</f>
        <v/>
      </c>
      <c r="O214" s="42"/>
      <c r="P214" s="61" t="str">
        <f t="shared" si="12"/>
        <v>-</v>
      </c>
      <c r="Q214" s="28" t="e">
        <f>#REF!</f>
        <v>#REF!</v>
      </c>
    </row>
    <row r="215" spans="1:17">
      <c r="A215" s="52" t="str">
        <f t="shared" si="11"/>
        <v>-</v>
      </c>
      <c r="B215" s="35"/>
      <c r="C215" s="35"/>
      <c r="D215" s="35"/>
      <c r="E215" s="39"/>
      <c r="F215" s="37"/>
      <c r="G215" s="43"/>
      <c r="H215" s="43"/>
      <c r="I215" s="43"/>
      <c r="J215" s="40"/>
      <c r="K215" s="38"/>
      <c r="L215" s="36"/>
      <c r="M215" s="41"/>
      <c r="N215" s="41" t="str">
        <f t="shared" si="13"/>
        <v/>
      </c>
      <c r="O215" s="42"/>
      <c r="P215" s="61" t="str">
        <f t="shared" si="12"/>
        <v>-</v>
      </c>
      <c r="Q215" s="28" t="e">
        <f>#REF!</f>
        <v>#REF!</v>
      </c>
    </row>
    <row r="216" spans="1:17">
      <c r="A216" s="52" t="str">
        <f t="shared" si="11"/>
        <v>-</v>
      </c>
      <c r="B216" s="35"/>
      <c r="C216" s="35"/>
      <c r="D216" s="35"/>
      <c r="E216" s="39"/>
      <c r="F216" s="37"/>
      <c r="G216" s="43"/>
      <c r="H216" s="43"/>
      <c r="I216" s="43"/>
      <c r="J216" s="40"/>
      <c r="K216" s="38"/>
      <c r="L216" s="36"/>
      <c r="M216" s="41"/>
      <c r="N216" s="41" t="str">
        <f t="shared" si="13"/>
        <v/>
      </c>
      <c r="O216" s="42"/>
      <c r="P216" s="61" t="str">
        <f t="shared" si="12"/>
        <v>-</v>
      </c>
      <c r="Q216" s="28" t="e">
        <f>#REF!</f>
        <v>#REF!</v>
      </c>
    </row>
    <row r="217" spans="1:17">
      <c r="A217" s="52" t="str">
        <f t="shared" si="11"/>
        <v>-</v>
      </c>
      <c r="B217" s="35"/>
      <c r="C217" s="35"/>
      <c r="D217" s="35"/>
      <c r="E217" s="39"/>
      <c r="F217" s="37"/>
      <c r="G217" s="43"/>
      <c r="H217" s="43"/>
      <c r="I217" s="43"/>
      <c r="J217" s="40"/>
      <c r="K217" s="38"/>
      <c r="L217" s="36"/>
      <c r="M217" s="41"/>
      <c r="N217" s="41" t="str">
        <f t="shared" si="13"/>
        <v/>
      </c>
      <c r="O217" s="42"/>
      <c r="P217" s="61" t="str">
        <f t="shared" si="12"/>
        <v>-</v>
      </c>
      <c r="Q217" s="28" t="e">
        <f>#REF!</f>
        <v>#REF!</v>
      </c>
    </row>
    <row r="218" spans="1:17">
      <c r="A218" s="52" t="str">
        <f t="shared" si="11"/>
        <v>-</v>
      </c>
      <c r="B218" s="35"/>
      <c r="C218" s="35"/>
      <c r="D218" s="35"/>
      <c r="E218" s="39"/>
      <c r="F218" s="37"/>
      <c r="G218" s="43"/>
      <c r="H218" s="43"/>
      <c r="I218" s="43"/>
      <c r="J218" s="40"/>
      <c r="K218" s="38"/>
      <c r="L218" s="36"/>
      <c r="M218" s="41"/>
      <c r="N218" s="41" t="str">
        <f t="shared" si="13"/>
        <v/>
      </c>
      <c r="O218" s="42"/>
      <c r="P218" s="61" t="str">
        <f t="shared" si="12"/>
        <v>-</v>
      </c>
      <c r="Q218" s="28" t="e">
        <f>#REF!</f>
        <v>#REF!</v>
      </c>
    </row>
    <row r="219" spans="1:17">
      <c r="A219" s="52" t="str">
        <f t="shared" si="11"/>
        <v>-</v>
      </c>
      <c r="B219" s="35"/>
      <c r="C219" s="35"/>
      <c r="D219" s="35"/>
      <c r="E219" s="39"/>
      <c r="F219" s="37"/>
      <c r="G219" s="43"/>
      <c r="H219" s="43"/>
      <c r="I219" s="43"/>
      <c r="J219" s="40"/>
      <c r="K219" s="38"/>
      <c r="L219" s="36"/>
      <c r="M219" s="41"/>
      <c r="N219" s="41" t="str">
        <f t="shared" si="13"/>
        <v/>
      </c>
      <c r="O219" s="42"/>
      <c r="P219" s="61" t="str">
        <f t="shared" si="12"/>
        <v>-</v>
      </c>
      <c r="Q219" s="28" t="e">
        <f>#REF!</f>
        <v>#REF!</v>
      </c>
    </row>
    <row r="220" spans="1:17">
      <c r="A220" s="52" t="str">
        <f t="shared" si="11"/>
        <v>-</v>
      </c>
      <c r="B220" s="35"/>
      <c r="C220" s="35"/>
      <c r="D220" s="35"/>
      <c r="E220" s="39"/>
      <c r="F220" s="37"/>
      <c r="G220" s="43"/>
      <c r="H220" s="43"/>
      <c r="I220" s="43"/>
      <c r="J220" s="40"/>
      <c r="K220" s="38"/>
      <c r="L220" s="36"/>
      <c r="M220" s="41"/>
      <c r="N220" s="41" t="str">
        <f t="shared" si="13"/>
        <v/>
      </c>
      <c r="O220" s="42"/>
      <c r="P220" s="61" t="str">
        <f t="shared" si="12"/>
        <v>-</v>
      </c>
      <c r="Q220" s="28" t="e">
        <f>#REF!</f>
        <v>#REF!</v>
      </c>
    </row>
    <row r="221" spans="1:17">
      <c r="A221" s="52" t="str">
        <f t="shared" si="11"/>
        <v>-</v>
      </c>
      <c r="B221" s="35"/>
      <c r="C221" s="35"/>
      <c r="D221" s="35"/>
      <c r="E221" s="39"/>
      <c r="F221" s="37"/>
      <c r="G221" s="43"/>
      <c r="H221" s="43"/>
      <c r="I221" s="43"/>
      <c r="J221" s="40"/>
      <c r="K221" s="38"/>
      <c r="L221" s="36"/>
      <c r="M221" s="41"/>
      <c r="N221" s="41" t="str">
        <f t="shared" si="13"/>
        <v/>
      </c>
      <c r="O221" s="42"/>
      <c r="P221" s="61" t="str">
        <f t="shared" si="12"/>
        <v>-</v>
      </c>
      <c r="Q221" s="28" t="e">
        <f>#REF!</f>
        <v>#REF!</v>
      </c>
    </row>
    <row r="222" spans="1:17">
      <c r="A222" s="52" t="str">
        <f t="shared" si="11"/>
        <v>-</v>
      </c>
      <c r="B222" s="35"/>
      <c r="C222" s="35"/>
      <c r="D222" s="35"/>
      <c r="E222" s="39"/>
      <c r="F222" s="37"/>
      <c r="G222" s="43"/>
      <c r="H222" s="43"/>
      <c r="I222" s="43"/>
      <c r="J222" s="40"/>
      <c r="K222" s="38"/>
      <c r="L222" s="36"/>
      <c r="M222" s="41"/>
      <c r="N222" s="41" t="str">
        <f t="shared" si="13"/>
        <v/>
      </c>
      <c r="O222" s="42"/>
      <c r="P222" s="61" t="str">
        <f t="shared" si="12"/>
        <v>-</v>
      </c>
      <c r="Q222" s="28" t="e">
        <f>#REF!</f>
        <v>#REF!</v>
      </c>
    </row>
    <row r="223" spans="1:17">
      <c r="A223" s="52" t="str">
        <f t="shared" si="11"/>
        <v>-</v>
      </c>
      <c r="B223" s="35"/>
      <c r="C223" s="35"/>
      <c r="D223" s="35"/>
      <c r="E223" s="39"/>
      <c r="F223" s="37"/>
      <c r="G223" s="43"/>
      <c r="H223" s="43"/>
      <c r="I223" s="43"/>
      <c r="J223" s="40"/>
      <c r="K223" s="38"/>
      <c r="L223" s="36"/>
      <c r="M223" s="41"/>
      <c r="N223" s="41" t="str">
        <f t="shared" si="13"/>
        <v/>
      </c>
      <c r="O223" s="42"/>
      <c r="P223" s="61" t="str">
        <f t="shared" si="12"/>
        <v>-</v>
      </c>
      <c r="Q223" s="28" t="e">
        <f>#REF!</f>
        <v>#REF!</v>
      </c>
    </row>
    <row r="224" spans="1:17">
      <c r="A224" s="52" t="str">
        <f t="shared" si="11"/>
        <v>-</v>
      </c>
      <c r="B224" s="35"/>
      <c r="C224" s="35"/>
      <c r="D224" s="35"/>
      <c r="E224" s="39"/>
      <c r="F224" s="37"/>
      <c r="G224" s="43"/>
      <c r="H224" s="43"/>
      <c r="I224" s="43"/>
      <c r="J224" s="40"/>
      <c r="K224" s="38"/>
      <c r="L224" s="36"/>
      <c r="M224" s="41"/>
      <c r="N224" s="41" t="str">
        <f t="shared" si="13"/>
        <v/>
      </c>
      <c r="O224" s="42"/>
      <c r="P224" s="61" t="str">
        <f t="shared" si="12"/>
        <v>-</v>
      </c>
      <c r="Q224" s="28" t="e">
        <f>#REF!</f>
        <v>#REF!</v>
      </c>
    </row>
    <row r="225" spans="1:17">
      <c r="A225" s="52" t="str">
        <f t="shared" si="11"/>
        <v>-</v>
      </c>
      <c r="B225" s="35"/>
      <c r="C225" s="35"/>
      <c r="D225" s="35"/>
      <c r="E225" s="39"/>
      <c r="F225" s="37"/>
      <c r="G225" s="43"/>
      <c r="H225" s="43"/>
      <c r="I225" s="43"/>
      <c r="J225" s="40"/>
      <c r="K225" s="38"/>
      <c r="L225" s="36"/>
      <c r="M225" s="41"/>
      <c r="N225" s="41" t="str">
        <f t="shared" si="13"/>
        <v/>
      </c>
      <c r="O225" s="42"/>
      <c r="P225" s="61" t="str">
        <f t="shared" si="12"/>
        <v>-</v>
      </c>
      <c r="Q225" s="28" t="e">
        <f>#REF!</f>
        <v>#REF!</v>
      </c>
    </row>
    <row r="226" spans="1:17">
      <c r="A226" s="52" t="str">
        <f t="shared" si="11"/>
        <v>-</v>
      </c>
      <c r="B226" s="35"/>
      <c r="C226" s="35"/>
      <c r="D226" s="35"/>
      <c r="E226" s="39"/>
      <c r="F226" s="37"/>
      <c r="G226" s="43"/>
      <c r="H226" s="43"/>
      <c r="I226" s="43"/>
      <c r="J226" s="40"/>
      <c r="K226" s="38"/>
      <c r="L226" s="36"/>
      <c r="M226" s="41"/>
      <c r="N226" s="41" t="str">
        <f t="shared" si="13"/>
        <v/>
      </c>
      <c r="O226" s="42"/>
      <c r="P226" s="61" t="str">
        <f t="shared" si="12"/>
        <v>-</v>
      </c>
      <c r="Q226" s="28" t="e">
        <f>#REF!</f>
        <v>#REF!</v>
      </c>
    </row>
    <row r="227" spans="1:17">
      <c r="A227" s="52" t="str">
        <f t="shared" si="11"/>
        <v>-</v>
      </c>
      <c r="B227" s="35"/>
      <c r="C227" s="35"/>
      <c r="D227" s="35"/>
      <c r="E227" s="39"/>
      <c r="F227" s="37"/>
      <c r="G227" s="43"/>
      <c r="H227" s="43"/>
      <c r="I227" s="43"/>
      <c r="J227" s="40"/>
      <c r="K227" s="38"/>
      <c r="L227" s="36"/>
      <c r="M227" s="41"/>
      <c r="N227" s="41" t="str">
        <f t="shared" si="13"/>
        <v/>
      </c>
      <c r="O227" s="42"/>
      <c r="P227" s="61" t="str">
        <f t="shared" si="12"/>
        <v>-</v>
      </c>
      <c r="Q227" s="28" t="e">
        <f>#REF!</f>
        <v>#REF!</v>
      </c>
    </row>
    <row r="228" spans="1:17">
      <c r="A228" s="52" t="str">
        <f t="shared" si="11"/>
        <v>-</v>
      </c>
      <c r="B228" s="35"/>
      <c r="C228" s="35"/>
      <c r="D228" s="35"/>
      <c r="E228" s="39"/>
      <c r="F228" s="37"/>
      <c r="G228" s="43"/>
      <c r="H228" s="43"/>
      <c r="I228" s="43"/>
      <c r="J228" s="40"/>
      <c r="K228" s="38"/>
      <c r="L228" s="36"/>
      <c r="M228" s="41"/>
      <c r="N228" s="41" t="str">
        <f t="shared" si="13"/>
        <v/>
      </c>
      <c r="O228" s="42"/>
      <c r="P228" s="61" t="str">
        <f t="shared" si="12"/>
        <v>-</v>
      </c>
      <c r="Q228" s="28" t="e">
        <f>#REF!</f>
        <v>#REF!</v>
      </c>
    </row>
    <row r="229" spans="1:17">
      <c r="A229" s="52" t="str">
        <f t="shared" si="11"/>
        <v>-</v>
      </c>
      <c r="B229" s="35"/>
      <c r="C229" s="35"/>
      <c r="D229" s="35"/>
      <c r="E229" s="39"/>
      <c r="F229" s="37"/>
      <c r="G229" s="43"/>
      <c r="H229" s="43"/>
      <c r="I229" s="43"/>
      <c r="J229" s="40"/>
      <c r="K229" s="38"/>
      <c r="L229" s="36"/>
      <c r="M229" s="41"/>
      <c r="N229" s="41" t="str">
        <f t="shared" si="13"/>
        <v/>
      </c>
      <c r="O229" s="42"/>
      <c r="P229" s="61" t="str">
        <f t="shared" si="12"/>
        <v>-</v>
      </c>
      <c r="Q229" s="28" t="e">
        <f>#REF!</f>
        <v>#REF!</v>
      </c>
    </row>
    <row r="230" spans="1:17">
      <c r="A230" s="52" t="str">
        <f t="shared" si="11"/>
        <v>-</v>
      </c>
      <c r="B230" s="35"/>
      <c r="C230" s="35"/>
      <c r="D230" s="35"/>
      <c r="E230" s="39"/>
      <c r="F230" s="37"/>
      <c r="G230" s="43"/>
      <c r="H230" s="43"/>
      <c r="I230" s="43"/>
      <c r="J230" s="40"/>
      <c r="K230" s="38"/>
      <c r="L230" s="36"/>
      <c r="M230" s="41"/>
      <c r="N230" s="41" t="str">
        <f t="shared" si="13"/>
        <v/>
      </c>
      <c r="O230" s="42"/>
      <c r="P230" s="61" t="str">
        <f t="shared" si="12"/>
        <v>-</v>
      </c>
      <c r="Q230" s="28" t="e">
        <f>#REF!</f>
        <v>#REF!</v>
      </c>
    </row>
    <row r="231" spans="1:17">
      <c r="A231" s="52" t="str">
        <f t="shared" si="11"/>
        <v>-</v>
      </c>
      <c r="B231" s="35"/>
      <c r="C231" s="35"/>
      <c r="D231" s="35"/>
      <c r="E231" s="39"/>
      <c r="F231" s="37"/>
      <c r="G231" s="43"/>
      <c r="H231" s="43"/>
      <c r="I231" s="43"/>
      <c r="J231" s="40"/>
      <c r="K231" s="38"/>
      <c r="L231" s="36"/>
      <c r="M231" s="41"/>
      <c r="N231" s="41" t="str">
        <f t="shared" si="13"/>
        <v/>
      </c>
      <c r="O231" s="42"/>
      <c r="P231" s="61" t="str">
        <f t="shared" si="12"/>
        <v>-</v>
      </c>
      <c r="Q231" s="28" t="e">
        <f>#REF!</f>
        <v>#REF!</v>
      </c>
    </row>
    <row r="232" spans="1:17">
      <c r="A232" s="52" t="str">
        <f t="shared" si="11"/>
        <v>-</v>
      </c>
      <c r="B232" s="35"/>
      <c r="C232" s="35"/>
      <c r="D232" s="35"/>
      <c r="E232" s="39"/>
      <c r="F232" s="37"/>
      <c r="G232" s="43"/>
      <c r="H232" s="43"/>
      <c r="I232" s="43"/>
      <c r="J232" s="40"/>
      <c r="K232" s="38"/>
      <c r="L232" s="36"/>
      <c r="M232" s="41"/>
      <c r="N232" s="41" t="str">
        <f t="shared" si="13"/>
        <v/>
      </c>
      <c r="O232" s="42"/>
      <c r="P232" s="61" t="str">
        <f t="shared" si="12"/>
        <v>-</v>
      </c>
      <c r="Q232" s="28" t="e">
        <f>#REF!</f>
        <v>#REF!</v>
      </c>
    </row>
    <row r="233" spans="1:17">
      <c r="A233" s="52" t="str">
        <f t="shared" si="11"/>
        <v>-</v>
      </c>
      <c r="B233" s="35"/>
      <c r="C233" s="35"/>
      <c r="D233" s="35"/>
      <c r="E233" s="39"/>
      <c r="F233" s="37"/>
      <c r="G233" s="43"/>
      <c r="H233" s="43"/>
      <c r="I233" s="43"/>
      <c r="J233" s="40"/>
      <c r="K233" s="38"/>
      <c r="L233" s="36"/>
      <c r="M233" s="41"/>
      <c r="N233" s="41" t="str">
        <f t="shared" si="13"/>
        <v/>
      </c>
      <c r="O233" s="42"/>
      <c r="P233" s="61" t="str">
        <f t="shared" si="12"/>
        <v>-</v>
      </c>
      <c r="Q233" s="28" t="e">
        <f>#REF!</f>
        <v>#REF!</v>
      </c>
    </row>
    <row r="234" spans="1:17">
      <c r="A234" s="52" t="str">
        <f t="shared" si="11"/>
        <v>-</v>
      </c>
      <c r="B234" s="35"/>
      <c r="C234" s="35"/>
      <c r="D234" s="35"/>
      <c r="E234" s="39"/>
      <c r="F234" s="37"/>
      <c r="G234" s="43"/>
      <c r="H234" s="43"/>
      <c r="I234" s="43"/>
      <c r="J234" s="40"/>
      <c r="K234" s="38"/>
      <c r="L234" s="36"/>
      <c r="M234" s="41"/>
      <c r="N234" s="41" t="str">
        <f t="shared" si="13"/>
        <v/>
      </c>
      <c r="O234" s="42"/>
      <c r="P234" s="61" t="str">
        <f t="shared" si="12"/>
        <v>-</v>
      </c>
      <c r="Q234" s="28" t="e">
        <f>#REF!</f>
        <v>#REF!</v>
      </c>
    </row>
    <row r="235" spans="1:17">
      <c r="A235" s="52" t="str">
        <f t="shared" si="11"/>
        <v>-</v>
      </c>
      <c r="B235" s="35"/>
      <c r="C235" s="35"/>
      <c r="D235" s="35"/>
      <c r="E235" s="39"/>
      <c r="F235" s="37"/>
      <c r="G235" s="43"/>
      <c r="H235" s="43"/>
      <c r="I235" s="43"/>
      <c r="J235" s="40"/>
      <c r="K235" s="38"/>
      <c r="L235" s="36"/>
      <c r="M235" s="41"/>
      <c r="N235" s="41" t="str">
        <f t="shared" si="13"/>
        <v/>
      </c>
      <c r="O235" s="42"/>
      <c r="P235" s="61" t="str">
        <f t="shared" si="12"/>
        <v>-</v>
      </c>
      <c r="Q235" s="28" t="e">
        <f>#REF!</f>
        <v>#REF!</v>
      </c>
    </row>
    <row r="236" spans="1:17">
      <c r="A236" s="52" t="str">
        <f t="shared" si="11"/>
        <v>-</v>
      </c>
      <c r="B236" s="35"/>
      <c r="C236" s="35"/>
      <c r="D236" s="35"/>
      <c r="E236" s="39"/>
      <c r="F236" s="37"/>
      <c r="G236" s="43"/>
      <c r="H236" s="43"/>
      <c r="I236" s="43"/>
      <c r="J236" s="40"/>
      <c r="K236" s="38"/>
      <c r="L236" s="36"/>
      <c r="M236" s="41"/>
      <c r="N236" s="41" t="str">
        <f t="shared" si="13"/>
        <v/>
      </c>
      <c r="O236" s="42"/>
      <c r="P236" s="61" t="str">
        <f t="shared" si="12"/>
        <v>-</v>
      </c>
      <c r="Q236" s="28" t="e">
        <f>#REF!</f>
        <v>#REF!</v>
      </c>
    </row>
    <row r="237" spans="1:17">
      <c r="A237" s="52" t="str">
        <f t="shared" si="11"/>
        <v>-</v>
      </c>
      <c r="B237" s="35"/>
      <c r="C237" s="35"/>
      <c r="D237" s="35"/>
      <c r="E237" s="39"/>
      <c r="F237" s="37"/>
      <c r="G237" s="43"/>
      <c r="H237" s="43"/>
      <c r="I237" s="43"/>
      <c r="J237" s="40"/>
      <c r="K237" s="38"/>
      <c r="L237" s="36"/>
      <c r="M237" s="41"/>
      <c r="N237" s="41" t="str">
        <f t="shared" si="13"/>
        <v/>
      </c>
      <c r="O237" s="42"/>
      <c r="P237" s="61" t="str">
        <f t="shared" si="12"/>
        <v>-</v>
      </c>
      <c r="Q237" s="28" t="e">
        <f>#REF!</f>
        <v>#REF!</v>
      </c>
    </row>
    <row r="238" spans="1:17">
      <c r="A238" s="52" t="str">
        <f t="shared" si="11"/>
        <v>-</v>
      </c>
      <c r="B238" s="35"/>
      <c r="C238" s="35"/>
      <c r="D238" s="35"/>
      <c r="E238" s="39"/>
      <c r="F238" s="37"/>
      <c r="G238" s="43"/>
      <c r="H238" s="43"/>
      <c r="I238" s="43"/>
      <c r="J238" s="40"/>
      <c r="K238" s="38"/>
      <c r="L238" s="36"/>
      <c r="M238" s="41"/>
      <c r="N238" s="41" t="str">
        <f t="shared" si="13"/>
        <v/>
      </c>
      <c r="O238" s="42"/>
      <c r="P238" s="61" t="str">
        <f t="shared" si="12"/>
        <v>-</v>
      </c>
      <c r="Q238" s="28" t="e">
        <f>#REF!</f>
        <v>#REF!</v>
      </c>
    </row>
    <row r="239" spans="1:17">
      <c r="A239" s="52" t="str">
        <f t="shared" ref="A239:A302" si="14">CONCATENATE(B239,"-",C239)</f>
        <v>-</v>
      </c>
      <c r="B239" s="35"/>
      <c r="C239" s="35"/>
      <c r="D239" s="35"/>
      <c r="E239" s="39"/>
      <c r="F239" s="37"/>
      <c r="G239" s="43"/>
      <c r="H239" s="43"/>
      <c r="I239" s="43"/>
      <c r="J239" s="40"/>
      <c r="K239" s="38"/>
      <c r="L239" s="36"/>
      <c r="M239" s="41"/>
      <c r="N239" s="41" t="str">
        <f t="shared" si="13"/>
        <v/>
      </c>
      <c r="O239" s="42"/>
      <c r="P239" s="61" t="str">
        <f t="shared" si="12"/>
        <v>-</v>
      </c>
      <c r="Q239" s="28" t="e">
        <f>#REF!</f>
        <v>#REF!</v>
      </c>
    </row>
    <row r="240" spans="1:17">
      <c r="A240" s="52" t="str">
        <f t="shared" si="14"/>
        <v>-</v>
      </c>
      <c r="B240" s="35"/>
      <c r="C240" s="35"/>
      <c r="D240" s="35"/>
      <c r="E240" s="39"/>
      <c r="F240" s="37"/>
      <c r="G240" s="43"/>
      <c r="H240" s="43"/>
      <c r="I240" s="43"/>
      <c r="J240" s="40"/>
      <c r="K240" s="38"/>
      <c r="L240" s="36"/>
      <c r="M240" s="41"/>
      <c r="N240" s="41" t="str">
        <f t="shared" si="13"/>
        <v/>
      </c>
      <c r="O240" s="42"/>
      <c r="P240" s="61" t="str">
        <f t="shared" si="12"/>
        <v>-</v>
      </c>
      <c r="Q240" s="28" t="e">
        <f>#REF!</f>
        <v>#REF!</v>
      </c>
    </row>
    <row r="241" spans="1:17">
      <c r="A241" s="52" t="str">
        <f t="shared" si="14"/>
        <v>-</v>
      </c>
      <c r="B241" s="35"/>
      <c r="C241" s="35"/>
      <c r="D241" s="35"/>
      <c r="E241" s="39"/>
      <c r="F241" s="37"/>
      <c r="G241" s="43"/>
      <c r="H241" s="43"/>
      <c r="I241" s="43"/>
      <c r="J241" s="40"/>
      <c r="K241" s="38"/>
      <c r="L241" s="36"/>
      <c r="M241" s="41"/>
      <c r="N241" s="41" t="str">
        <f t="shared" si="13"/>
        <v/>
      </c>
      <c r="O241" s="42"/>
      <c r="P241" s="61" t="str">
        <f t="shared" si="12"/>
        <v>-</v>
      </c>
      <c r="Q241" s="28" t="e">
        <f>#REF!</f>
        <v>#REF!</v>
      </c>
    </row>
    <row r="242" spans="1:17">
      <c r="A242" s="52" t="str">
        <f t="shared" si="14"/>
        <v>-</v>
      </c>
      <c r="B242" s="35"/>
      <c r="C242" s="35"/>
      <c r="D242" s="35"/>
      <c r="E242" s="39"/>
      <c r="F242" s="37"/>
      <c r="G242" s="43"/>
      <c r="H242" s="43"/>
      <c r="I242" s="43"/>
      <c r="J242" s="40"/>
      <c r="K242" s="38"/>
      <c r="L242" s="36"/>
      <c r="M242" s="41"/>
      <c r="N242" s="41" t="str">
        <f t="shared" si="13"/>
        <v/>
      </c>
      <c r="O242" s="42"/>
      <c r="P242" s="61" t="str">
        <f t="shared" si="12"/>
        <v>-</v>
      </c>
      <c r="Q242" s="28" t="e">
        <f>#REF!</f>
        <v>#REF!</v>
      </c>
    </row>
    <row r="243" spans="1:17">
      <c r="A243" s="52" t="str">
        <f t="shared" si="14"/>
        <v>-</v>
      </c>
      <c r="B243" s="35"/>
      <c r="C243" s="35"/>
      <c r="D243" s="35"/>
      <c r="E243" s="39"/>
      <c r="F243" s="37"/>
      <c r="G243" s="43"/>
      <c r="H243" s="43"/>
      <c r="I243" s="43"/>
      <c r="J243" s="40"/>
      <c r="K243" s="38"/>
      <c r="L243" s="36"/>
      <c r="M243" s="41"/>
      <c r="N243" s="41" t="str">
        <f t="shared" si="13"/>
        <v/>
      </c>
      <c r="O243" s="42"/>
      <c r="P243" s="61" t="str">
        <f t="shared" si="12"/>
        <v>-</v>
      </c>
      <c r="Q243" s="28" t="e">
        <f>#REF!</f>
        <v>#REF!</v>
      </c>
    </row>
    <row r="244" spans="1:17">
      <c r="A244" s="52" t="str">
        <f t="shared" si="14"/>
        <v>-</v>
      </c>
      <c r="B244" s="35"/>
      <c r="C244" s="35"/>
      <c r="D244" s="35"/>
      <c r="E244" s="39"/>
      <c r="F244" s="37"/>
      <c r="G244" s="43"/>
      <c r="H244" s="43"/>
      <c r="I244" s="43"/>
      <c r="J244" s="40"/>
      <c r="K244" s="38"/>
      <c r="L244" s="36"/>
      <c r="M244" s="41"/>
      <c r="N244" s="41" t="str">
        <f t="shared" si="13"/>
        <v/>
      </c>
      <c r="O244" s="42"/>
      <c r="P244" s="61" t="str">
        <f t="shared" si="12"/>
        <v>-</v>
      </c>
      <c r="Q244" s="28" t="e">
        <f>#REF!</f>
        <v>#REF!</v>
      </c>
    </row>
    <row r="245" spans="1:17">
      <c r="A245" s="52" t="str">
        <f t="shared" si="14"/>
        <v>-</v>
      </c>
      <c r="B245" s="35"/>
      <c r="C245" s="35"/>
      <c r="D245" s="35"/>
      <c r="E245" s="39"/>
      <c r="F245" s="37"/>
      <c r="G245" s="43"/>
      <c r="H245" s="43"/>
      <c r="I245" s="43"/>
      <c r="J245" s="40"/>
      <c r="K245" s="38"/>
      <c r="L245" s="36"/>
      <c r="M245" s="41"/>
      <c r="N245" s="41" t="str">
        <f t="shared" si="13"/>
        <v/>
      </c>
      <c r="O245" s="42"/>
      <c r="P245" s="61" t="str">
        <f t="shared" si="12"/>
        <v>-</v>
      </c>
      <c r="Q245" s="28" t="e">
        <f>#REF!</f>
        <v>#REF!</v>
      </c>
    </row>
    <row r="246" spans="1:17">
      <c r="A246" s="52" t="str">
        <f t="shared" si="14"/>
        <v>-</v>
      </c>
      <c r="B246" s="35"/>
      <c r="C246" s="35"/>
      <c r="D246" s="35"/>
      <c r="E246" s="39"/>
      <c r="F246" s="37"/>
      <c r="G246" s="43"/>
      <c r="H246" s="43"/>
      <c r="I246" s="43"/>
      <c r="J246" s="40"/>
      <c r="K246" s="38"/>
      <c r="L246" s="36"/>
      <c r="M246" s="41"/>
      <c r="N246" s="41" t="str">
        <f t="shared" si="13"/>
        <v/>
      </c>
      <c r="O246" s="42"/>
      <c r="P246" s="61" t="str">
        <f t="shared" si="12"/>
        <v>-</v>
      </c>
      <c r="Q246" s="28" t="e">
        <f>#REF!</f>
        <v>#REF!</v>
      </c>
    </row>
    <row r="247" spans="1:17">
      <c r="A247" s="52" t="str">
        <f t="shared" si="14"/>
        <v>-</v>
      </c>
      <c r="B247" s="35"/>
      <c r="C247" s="35"/>
      <c r="D247" s="35"/>
      <c r="E247" s="39"/>
      <c r="F247" s="37"/>
      <c r="G247" s="43"/>
      <c r="H247" s="43"/>
      <c r="I247" s="43"/>
      <c r="J247" s="40"/>
      <c r="K247" s="38"/>
      <c r="L247" s="36"/>
      <c r="M247" s="41"/>
      <c r="N247" s="41" t="str">
        <f t="shared" si="13"/>
        <v/>
      </c>
      <c r="O247" s="42"/>
      <c r="P247" s="61" t="str">
        <f t="shared" si="12"/>
        <v>-</v>
      </c>
      <c r="Q247" s="28" t="e">
        <f>#REF!</f>
        <v>#REF!</v>
      </c>
    </row>
    <row r="248" spans="1:17">
      <c r="A248" s="52" t="str">
        <f t="shared" si="14"/>
        <v>-</v>
      </c>
      <c r="B248" s="35"/>
      <c r="C248" s="35"/>
      <c r="D248" s="35"/>
      <c r="E248" s="39"/>
      <c r="F248" s="37"/>
      <c r="G248" s="43"/>
      <c r="H248" s="43"/>
      <c r="I248" s="43"/>
      <c r="J248" s="40"/>
      <c r="K248" s="38"/>
      <c r="L248" s="36"/>
      <c r="M248" s="41"/>
      <c r="N248" s="41" t="str">
        <f t="shared" si="13"/>
        <v/>
      </c>
      <c r="O248" s="42"/>
      <c r="P248" s="61" t="str">
        <f t="shared" si="12"/>
        <v>-</v>
      </c>
      <c r="Q248" s="28" t="e">
        <f>#REF!</f>
        <v>#REF!</v>
      </c>
    </row>
    <row r="249" spans="1:17">
      <c r="A249" s="52" t="str">
        <f t="shared" si="14"/>
        <v>-</v>
      </c>
      <c r="B249" s="35"/>
      <c r="C249" s="35"/>
      <c r="D249" s="35"/>
      <c r="E249" s="39"/>
      <c r="F249" s="37"/>
      <c r="G249" s="43"/>
      <c r="H249" s="43"/>
      <c r="I249" s="43"/>
      <c r="J249" s="40"/>
      <c r="K249" s="38"/>
      <c r="L249" s="36"/>
      <c r="M249" s="41"/>
      <c r="N249" s="41" t="str">
        <f t="shared" si="13"/>
        <v/>
      </c>
      <c r="O249" s="42"/>
      <c r="P249" s="61" t="str">
        <f t="shared" si="12"/>
        <v>-</v>
      </c>
      <c r="Q249" s="28" t="e">
        <f>#REF!</f>
        <v>#REF!</v>
      </c>
    </row>
    <row r="250" spans="1:17">
      <c r="A250" s="52" t="str">
        <f t="shared" si="14"/>
        <v>-</v>
      </c>
      <c r="B250" s="35"/>
      <c r="C250" s="35"/>
      <c r="D250" s="35"/>
      <c r="E250" s="39"/>
      <c r="F250" s="37"/>
      <c r="G250" s="43"/>
      <c r="H250" s="43"/>
      <c r="I250" s="43"/>
      <c r="J250" s="40"/>
      <c r="K250" s="38"/>
      <c r="L250" s="36"/>
      <c r="M250" s="41"/>
      <c r="N250" s="41" t="str">
        <f t="shared" si="13"/>
        <v/>
      </c>
      <c r="O250" s="42"/>
      <c r="P250" s="61" t="str">
        <f t="shared" si="12"/>
        <v>-</v>
      </c>
      <c r="Q250" s="28" t="e">
        <f>#REF!</f>
        <v>#REF!</v>
      </c>
    </row>
    <row r="251" spans="1:17">
      <c r="A251" s="52" t="str">
        <f t="shared" si="14"/>
        <v>-</v>
      </c>
      <c r="B251" s="35"/>
      <c r="C251" s="35"/>
      <c r="D251" s="35"/>
      <c r="E251" s="39"/>
      <c r="F251" s="37"/>
      <c r="G251" s="43"/>
      <c r="H251" s="43"/>
      <c r="I251" s="43"/>
      <c r="J251" s="40"/>
      <c r="K251" s="38"/>
      <c r="L251" s="36"/>
      <c r="M251" s="41"/>
      <c r="N251" s="41" t="str">
        <f t="shared" si="13"/>
        <v/>
      </c>
      <c r="O251" s="42"/>
      <c r="P251" s="61" t="str">
        <f t="shared" si="12"/>
        <v>-</v>
      </c>
      <c r="Q251" s="28" t="e">
        <f>#REF!</f>
        <v>#REF!</v>
      </c>
    </row>
    <row r="252" spans="1:17">
      <c r="A252" s="52" t="str">
        <f t="shared" si="14"/>
        <v>-</v>
      </c>
      <c r="B252" s="35"/>
      <c r="C252" s="35"/>
      <c r="D252" s="35"/>
      <c r="E252" s="39"/>
      <c r="F252" s="37"/>
      <c r="G252" s="43"/>
      <c r="H252" s="43"/>
      <c r="I252" s="43"/>
      <c r="J252" s="40"/>
      <c r="K252" s="38"/>
      <c r="L252" s="36"/>
      <c r="M252" s="41"/>
      <c r="N252" s="41" t="str">
        <f t="shared" si="13"/>
        <v/>
      </c>
      <c r="O252" s="42"/>
      <c r="P252" s="61" t="str">
        <f t="shared" si="12"/>
        <v>-</v>
      </c>
      <c r="Q252" s="28" t="e">
        <f>#REF!</f>
        <v>#REF!</v>
      </c>
    </row>
    <row r="253" spans="1:17">
      <c r="A253" s="52" t="str">
        <f t="shared" si="14"/>
        <v>-</v>
      </c>
      <c r="B253" s="35"/>
      <c r="C253" s="35"/>
      <c r="D253" s="35"/>
      <c r="E253" s="39"/>
      <c r="F253" s="37"/>
      <c r="G253" s="43"/>
      <c r="H253" s="43"/>
      <c r="I253" s="43"/>
      <c r="J253" s="40"/>
      <c r="K253" s="38"/>
      <c r="L253" s="36"/>
      <c r="M253" s="41"/>
      <c r="N253" s="41" t="str">
        <f t="shared" si="13"/>
        <v/>
      </c>
      <c r="O253" s="42"/>
      <c r="P253" s="61" t="str">
        <f t="shared" si="12"/>
        <v>-</v>
      </c>
      <c r="Q253" s="28" t="e">
        <f>#REF!</f>
        <v>#REF!</v>
      </c>
    </row>
    <row r="254" spans="1:17">
      <c r="A254" s="52" t="str">
        <f t="shared" si="14"/>
        <v>-</v>
      </c>
      <c r="B254" s="35"/>
      <c r="C254" s="35"/>
      <c r="D254" s="35"/>
      <c r="E254" s="39"/>
      <c r="F254" s="37"/>
      <c r="G254" s="43"/>
      <c r="H254" s="43"/>
      <c r="I254" s="43"/>
      <c r="J254" s="40"/>
      <c r="K254" s="38"/>
      <c r="L254" s="36"/>
      <c r="M254" s="41"/>
      <c r="N254" s="41" t="str">
        <f t="shared" si="13"/>
        <v/>
      </c>
      <c r="O254" s="42"/>
      <c r="P254" s="61" t="str">
        <f t="shared" si="12"/>
        <v>-</v>
      </c>
      <c r="Q254" s="28" t="e">
        <f>#REF!</f>
        <v>#REF!</v>
      </c>
    </row>
    <row r="255" spans="1:17">
      <c r="A255" s="52" t="str">
        <f t="shared" si="14"/>
        <v>-</v>
      </c>
      <c r="B255" s="35"/>
      <c r="C255" s="35"/>
      <c r="D255" s="35"/>
      <c r="E255" s="39"/>
      <c r="F255" s="37"/>
      <c r="G255" s="43"/>
      <c r="H255" s="43"/>
      <c r="I255" s="43"/>
      <c r="J255" s="40"/>
      <c r="K255" s="38"/>
      <c r="L255" s="36"/>
      <c r="M255" s="41"/>
      <c r="N255" s="41" t="str">
        <f t="shared" si="13"/>
        <v/>
      </c>
      <c r="O255" s="42"/>
      <c r="P255" s="61" t="str">
        <f t="shared" si="12"/>
        <v>-</v>
      </c>
      <c r="Q255" s="28" t="e">
        <f>#REF!</f>
        <v>#REF!</v>
      </c>
    </row>
    <row r="256" spans="1:17">
      <c r="A256" s="52" t="str">
        <f t="shared" si="14"/>
        <v>-</v>
      </c>
      <c r="B256" s="35"/>
      <c r="C256" s="35"/>
      <c r="D256" s="35"/>
      <c r="E256" s="39"/>
      <c r="F256" s="37"/>
      <c r="G256" s="43"/>
      <c r="H256" s="43"/>
      <c r="I256" s="43"/>
      <c r="J256" s="40"/>
      <c r="K256" s="38"/>
      <c r="L256" s="36"/>
      <c r="M256" s="41"/>
      <c r="N256" s="41" t="str">
        <f t="shared" si="13"/>
        <v/>
      </c>
      <c r="O256" s="42"/>
      <c r="P256" s="61" t="str">
        <f t="shared" si="12"/>
        <v>-</v>
      </c>
      <c r="Q256" s="28" t="e">
        <f>#REF!</f>
        <v>#REF!</v>
      </c>
    </row>
    <row r="257" spans="1:17">
      <c r="A257" s="52" t="str">
        <f t="shared" si="14"/>
        <v>-</v>
      </c>
      <c r="B257" s="35"/>
      <c r="C257" s="35"/>
      <c r="D257" s="35"/>
      <c r="E257" s="39"/>
      <c r="F257" s="37"/>
      <c r="G257" s="43"/>
      <c r="H257" s="43"/>
      <c r="I257" s="43"/>
      <c r="J257" s="40"/>
      <c r="K257" s="38"/>
      <c r="L257" s="36"/>
      <c r="M257" s="41"/>
      <c r="N257" s="41" t="str">
        <f t="shared" si="13"/>
        <v/>
      </c>
      <c r="O257" s="42"/>
      <c r="P257" s="61" t="str">
        <f t="shared" si="12"/>
        <v>-</v>
      </c>
      <c r="Q257" s="28" t="e">
        <f>#REF!</f>
        <v>#REF!</v>
      </c>
    </row>
    <row r="258" spans="1:17">
      <c r="A258" s="52" t="str">
        <f t="shared" si="14"/>
        <v>-</v>
      </c>
      <c r="B258" s="35"/>
      <c r="C258" s="35"/>
      <c r="D258" s="35"/>
      <c r="E258" s="39"/>
      <c r="F258" s="37"/>
      <c r="G258" s="43"/>
      <c r="H258" s="43"/>
      <c r="I258" s="43"/>
      <c r="J258" s="40"/>
      <c r="K258" s="38"/>
      <c r="L258" s="36"/>
      <c r="M258" s="41"/>
      <c r="N258" s="41" t="str">
        <f t="shared" si="13"/>
        <v/>
      </c>
      <c r="O258" s="42"/>
      <c r="P258" s="61" t="str">
        <f t="shared" si="12"/>
        <v>-</v>
      </c>
      <c r="Q258" s="28" t="e">
        <f>#REF!</f>
        <v>#REF!</v>
      </c>
    </row>
    <row r="259" spans="1:17">
      <c r="A259" s="52" t="str">
        <f t="shared" si="14"/>
        <v>-</v>
      </c>
      <c r="B259" s="35"/>
      <c r="C259" s="35"/>
      <c r="D259" s="35"/>
      <c r="E259" s="39"/>
      <c r="F259" s="37"/>
      <c r="G259" s="43"/>
      <c r="H259" s="43"/>
      <c r="I259" s="43"/>
      <c r="J259" s="40"/>
      <c r="K259" s="38"/>
      <c r="L259" s="36"/>
      <c r="M259" s="41"/>
      <c r="N259" s="41" t="str">
        <f t="shared" si="13"/>
        <v/>
      </c>
      <c r="O259" s="42"/>
      <c r="P259" s="61" t="str">
        <f t="shared" si="12"/>
        <v>-</v>
      </c>
      <c r="Q259" s="28" t="e">
        <f>#REF!</f>
        <v>#REF!</v>
      </c>
    </row>
    <row r="260" spans="1:17">
      <c r="A260" s="52" t="str">
        <f t="shared" si="14"/>
        <v>-</v>
      </c>
      <c r="B260" s="35"/>
      <c r="C260" s="35"/>
      <c r="D260" s="35"/>
      <c r="E260" s="39"/>
      <c r="F260" s="37"/>
      <c r="G260" s="43"/>
      <c r="H260" s="43"/>
      <c r="I260" s="43"/>
      <c r="J260" s="40"/>
      <c r="K260" s="38"/>
      <c r="L260" s="36"/>
      <c r="M260" s="41"/>
      <c r="N260" s="41" t="str">
        <f t="shared" si="13"/>
        <v/>
      </c>
      <c r="O260" s="42"/>
      <c r="P260" s="61" t="str">
        <f t="shared" si="12"/>
        <v>-</v>
      </c>
      <c r="Q260" s="28" t="e">
        <f>#REF!</f>
        <v>#REF!</v>
      </c>
    </row>
    <row r="261" spans="1:17">
      <c r="A261" s="52" t="str">
        <f t="shared" si="14"/>
        <v>-</v>
      </c>
      <c r="B261" s="35"/>
      <c r="C261" s="35"/>
      <c r="D261" s="35"/>
      <c r="E261" s="39"/>
      <c r="F261" s="37"/>
      <c r="G261" s="43"/>
      <c r="H261" s="43"/>
      <c r="I261" s="43"/>
      <c r="J261" s="40"/>
      <c r="K261" s="38"/>
      <c r="L261" s="36"/>
      <c r="M261" s="41"/>
      <c r="N261" s="41" t="str">
        <f t="shared" si="13"/>
        <v/>
      </c>
      <c r="O261" s="42"/>
      <c r="P261" s="61" t="str">
        <f t="shared" si="12"/>
        <v>-</v>
      </c>
      <c r="Q261" s="28" t="e">
        <f>#REF!</f>
        <v>#REF!</v>
      </c>
    </row>
    <row r="262" spans="1:17">
      <c r="A262" s="52" t="str">
        <f t="shared" si="14"/>
        <v>-</v>
      </c>
      <c r="B262" s="35"/>
      <c r="C262" s="35"/>
      <c r="D262" s="35"/>
      <c r="E262" s="39"/>
      <c r="F262" s="37"/>
      <c r="G262" s="43"/>
      <c r="H262" s="43"/>
      <c r="I262" s="43"/>
      <c r="J262" s="40"/>
      <c r="K262" s="38"/>
      <c r="L262" s="36"/>
      <c r="M262" s="41"/>
      <c r="N262" s="41" t="str">
        <f t="shared" si="13"/>
        <v/>
      </c>
      <c r="O262" s="42"/>
      <c r="P262" s="61" t="str">
        <f t="shared" si="12"/>
        <v>-</v>
      </c>
      <c r="Q262" s="28" t="e">
        <f>#REF!</f>
        <v>#REF!</v>
      </c>
    </row>
    <row r="263" spans="1:17">
      <c r="A263" s="52" t="str">
        <f t="shared" si="14"/>
        <v>-</v>
      </c>
      <c r="B263" s="35"/>
      <c r="C263" s="35"/>
      <c r="D263" s="35"/>
      <c r="E263" s="39"/>
      <c r="F263" s="37"/>
      <c r="G263" s="43"/>
      <c r="H263" s="43"/>
      <c r="I263" s="43"/>
      <c r="J263" s="40"/>
      <c r="K263" s="38"/>
      <c r="L263" s="36"/>
      <c r="M263" s="41"/>
      <c r="N263" s="41" t="str">
        <f t="shared" si="13"/>
        <v/>
      </c>
      <c r="O263" s="42"/>
      <c r="P263" s="61" t="str">
        <f t="shared" si="12"/>
        <v>-</v>
      </c>
      <c r="Q263" s="28" t="e">
        <f>#REF!</f>
        <v>#REF!</v>
      </c>
    </row>
    <row r="264" spans="1:17">
      <c r="A264" s="52" t="str">
        <f t="shared" si="14"/>
        <v>-</v>
      </c>
      <c r="B264" s="35"/>
      <c r="C264" s="35"/>
      <c r="D264" s="35"/>
      <c r="E264" s="39"/>
      <c r="F264" s="37"/>
      <c r="G264" s="43"/>
      <c r="H264" s="43"/>
      <c r="I264" s="43"/>
      <c r="J264" s="40"/>
      <c r="K264" s="38"/>
      <c r="L264" s="36"/>
      <c r="M264" s="41"/>
      <c r="N264" s="41" t="str">
        <f t="shared" si="13"/>
        <v/>
      </c>
      <c r="O264" s="42"/>
      <c r="P264" s="61" t="str">
        <f t="shared" si="12"/>
        <v>-</v>
      </c>
      <c r="Q264" s="28" t="e">
        <f>#REF!</f>
        <v>#REF!</v>
      </c>
    </row>
    <row r="265" spans="1:17">
      <c r="A265" s="52" t="str">
        <f t="shared" si="14"/>
        <v>-</v>
      </c>
      <c r="B265" s="35"/>
      <c r="C265" s="35"/>
      <c r="D265" s="35"/>
      <c r="E265" s="39"/>
      <c r="F265" s="37"/>
      <c r="G265" s="43"/>
      <c r="H265" s="43"/>
      <c r="I265" s="43"/>
      <c r="J265" s="40"/>
      <c r="K265" s="38"/>
      <c r="L265" s="36"/>
      <c r="M265" s="41"/>
      <c r="N265" s="41" t="str">
        <f t="shared" si="13"/>
        <v/>
      </c>
      <c r="O265" s="42"/>
      <c r="P265" s="61" t="str">
        <f t="shared" si="12"/>
        <v>-</v>
      </c>
      <c r="Q265" s="28" t="e">
        <f>#REF!</f>
        <v>#REF!</v>
      </c>
    </row>
    <row r="266" spans="1:17">
      <c r="A266" s="52" t="str">
        <f t="shared" si="14"/>
        <v>-</v>
      </c>
      <c r="B266" s="35"/>
      <c r="C266" s="35"/>
      <c r="D266" s="35"/>
      <c r="E266" s="39"/>
      <c r="F266" s="37"/>
      <c r="G266" s="43"/>
      <c r="H266" s="43"/>
      <c r="I266" s="43"/>
      <c r="J266" s="40"/>
      <c r="K266" s="38"/>
      <c r="L266" s="36"/>
      <c r="M266" s="41"/>
      <c r="N266" s="41" t="str">
        <f t="shared" si="13"/>
        <v/>
      </c>
      <c r="O266" s="42"/>
      <c r="P266" s="61" t="str">
        <f t="shared" si="12"/>
        <v>-</v>
      </c>
      <c r="Q266" s="28" t="e">
        <f>#REF!</f>
        <v>#REF!</v>
      </c>
    </row>
    <row r="267" spans="1:17">
      <c r="A267" s="52" t="str">
        <f t="shared" si="14"/>
        <v>-</v>
      </c>
      <c r="B267" s="35"/>
      <c r="C267" s="35"/>
      <c r="D267" s="35"/>
      <c r="E267" s="39"/>
      <c r="F267" s="37"/>
      <c r="G267" s="43"/>
      <c r="H267" s="43"/>
      <c r="I267" s="43"/>
      <c r="J267" s="40"/>
      <c r="K267" s="38"/>
      <c r="L267" s="36"/>
      <c r="M267" s="41"/>
      <c r="N267" s="41" t="str">
        <f t="shared" si="13"/>
        <v/>
      </c>
      <c r="O267" s="42"/>
      <c r="P267" s="61" t="str">
        <f t="shared" si="12"/>
        <v>-</v>
      </c>
      <c r="Q267" s="28" t="e">
        <f>#REF!</f>
        <v>#REF!</v>
      </c>
    </row>
    <row r="268" spans="1:17">
      <c r="A268" s="52" t="str">
        <f t="shared" si="14"/>
        <v>-</v>
      </c>
      <c r="B268" s="35"/>
      <c r="C268" s="35"/>
      <c r="D268" s="35"/>
      <c r="E268" s="39"/>
      <c r="F268" s="37"/>
      <c r="G268" s="43"/>
      <c r="H268" s="43"/>
      <c r="I268" s="43"/>
      <c r="J268" s="40"/>
      <c r="K268" s="38"/>
      <c r="L268" s="36"/>
      <c r="M268" s="41"/>
      <c r="N268" s="41" t="str">
        <f t="shared" si="13"/>
        <v/>
      </c>
      <c r="O268" s="42"/>
      <c r="P268" s="61" t="str">
        <f t="shared" si="12"/>
        <v>-</v>
      </c>
      <c r="Q268" s="28" t="e">
        <f>#REF!</f>
        <v>#REF!</v>
      </c>
    </row>
    <row r="269" spans="1:17">
      <c r="A269" s="52" t="str">
        <f t="shared" si="14"/>
        <v>-</v>
      </c>
      <c r="B269" s="35"/>
      <c r="C269" s="35"/>
      <c r="D269" s="35"/>
      <c r="E269" s="39"/>
      <c r="F269" s="37"/>
      <c r="G269" s="43"/>
      <c r="H269" s="43"/>
      <c r="I269" s="43"/>
      <c r="J269" s="40"/>
      <c r="K269" s="38"/>
      <c r="L269" s="36"/>
      <c r="M269" s="41"/>
      <c r="N269" s="41" t="str">
        <f t="shared" si="13"/>
        <v/>
      </c>
      <c r="O269" s="42"/>
      <c r="P269" s="61" t="str">
        <f t="shared" si="12"/>
        <v>-</v>
      </c>
      <c r="Q269" s="28" t="e">
        <f>#REF!</f>
        <v>#REF!</v>
      </c>
    </row>
    <row r="270" spans="1:17">
      <c r="A270" s="52" t="str">
        <f t="shared" si="14"/>
        <v>-</v>
      </c>
      <c r="B270" s="35"/>
      <c r="C270" s="35"/>
      <c r="D270" s="35"/>
      <c r="E270" s="39"/>
      <c r="F270" s="37"/>
      <c r="G270" s="43"/>
      <c r="H270" s="43"/>
      <c r="I270" s="43"/>
      <c r="J270" s="40"/>
      <c r="K270" s="38"/>
      <c r="L270" s="36"/>
      <c r="M270" s="41"/>
      <c r="N270" s="41" t="str">
        <f t="shared" si="13"/>
        <v/>
      </c>
      <c r="O270" s="42"/>
      <c r="P270" s="61" t="str">
        <f t="shared" si="12"/>
        <v>-</v>
      </c>
      <c r="Q270" s="28" t="e">
        <f>#REF!</f>
        <v>#REF!</v>
      </c>
    </row>
    <row r="271" spans="1:17">
      <c r="A271" s="52" t="str">
        <f t="shared" si="14"/>
        <v>-</v>
      </c>
      <c r="B271" s="35"/>
      <c r="C271" s="35"/>
      <c r="D271" s="35"/>
      <c r="E271" s="39"/>
      <c r="F271" s="37"/>
      <c r="G271" s="43"/>
      <c r="H271" s="43"/>
      <c r="I271" s="43"/>
      <c r="J271" s="40"/>
      <c r="K271" s="38"/>
      <c r="L271" s="36"/>
      <c r="M271" s="41"/>
      <c r="N271" s="41" t="str">
        <f t="shared" si="13"/>
        <v/>
      </c>
      <c r="O271" s="42"/>
      <c r="P271" s="61" t="str">
        <f t="shared" ref="P271:P334" si="15">A271</f>
        <v>-</v>
      </c>
      <c r="Q271" s="28" t="e">
        <f>#REF!</f>
        <v>#REF!</v>
      </c>
    </row>
    <row r="272" spans="1:17">
      <c r="A272" s="52" t="str">
        <f t="shared" si="14"/>
        <v>-</v>
      </c>
      <c r="B272" s="35"/>
      <c r="C272" s="35"/>
      <c r="D272" s="35"/>
      <c r="E272" s="39"/>
      <c r="F272" s="37"/>
      <c r="G272" s="43"/>
      <c r="H272" s="43"/>
      <c r="I272" s="43"/>
      <c r="J272" s="40"/>
      <c r="K272" s="38"/>
      <c r="L272" s="36"/>
      <c r="M272" s="41"/>
      <c r="N272" s="41" t="str">
        <f t="shared" si="13"/>
        <v/>
      </c>
      <c r="O272" s="42"/>
      <c r="P272" s="61" t="str">
        <f t="shared" si="15"/>
        <v>-</v>
      </c>
      <c r="Q272" s="28" t="e">
        <f>#REF!</f>
        <v>#REF!</v>
      </c>
    </row>
    <row r="273" spans="1:17">
      <c r="A273" s="52" t="str">
        <f t="shared" si="14"/>
        <v>-</v>
      </c>
      <c r="B273" s="35"/>
      <c r="C273" s="35"/>
      <c r="D273" s="35"/>
      <c r="E273" s="39"/>
      <c r="F273" s="37"/>
      <c r="G273" s="43"/>
      <c r="H273" s="43"/>
      <c r="I273" s="43"/>
      <c r="J273" s="40"/>
      <c r="K273" s="38"/>
      <c r="L273" s="36"/>
      <c r="M273" s="41"/>
      <c r="N273" s="41" t="str">
        <f t="shared" si="13"/>
        <v/>
      </c>
      <c r="O273" s="42"/>
      <c r="P273" s="61" t="str">
        <f t="shared" si="15"/>
        <v>-</v>
      </c>
      <c r="Q273" s="28" t="e">
        <f>#REF!</f>
        <v>#REF!</v>
      </c>
    </row>
    <row r="274" spans="1:17">
      <c r="A274" s="52" t="str">
        <f t="shared" si="14"/>
        <v>-</v>
      </c>
      <c r="B274" s="35"/>
      <c r="C274" s="35"/>
      <c r="D274" s="35"/>
      <c r="E274" s="39"/>
      <c r="F274" s="37"/>
      <c r="G274" s="43"/>
      <c r="H274" s="43"/>
      <c r="I274" s="43"/>
      <c r="J274" s="40"/>
      <c r="K274" s="38"/>
      <c r="L274" s="36"/>
      <c r="M274" s="41"/>
      <c r="N274" s="41" t="str">
        <f t="shared" si="13"/>
        <v/>
      </c>
      <c r="O274" s="42"/>
      <c r="P274" s="61" t="str">
        <f t="shared" si="15"/>
        <v>-</v>
      </c>
      <c r="Q274" s="28" t="e">
        <f>#REF!</f>
        <v>#REF!</v>
      </c>
    </row>
    <row r="275" spans="1:17">
      <c r="A275" s="52" t="str">
        <f t="shared" si="14"/>
        <v>-</v>
      </c>
      <c r="B275" s="35"/>
      <c r="C275" s="35"/>
      <c r="D275" s="35"/>
      <c r="E275" s="39"/>
      <c r="F275" s="37"/>
      <c r="G275" s="43"/>
      <c r="H275" s="43"/>
      <c r="I275" s="43"/>
      <c r="J275" s="40"/>
      <c r="K275" s="38"/>
      <c r="L275" s="36"/>
      <c r="M275" s="41"/>
      <c r="N275" s="41" t="str">
        <f t="shared" si="13"/>
        <v/>
      </c>
      <c r="O275" s="42"/>
      <c r="P275" s="61" t="str">
        <f t="shared" si="15"/>
        <v>-</v>
      </c>
      <c r="Q275" s="28" t="e">
        <f>#REF!</f>
        <v>#REF!</v>
      </c>
    </row>
    <row r="276" spans="1:17">
      <c r="A276" s="52" t="str">
        <f t="shared" si="14"/>
        <v>-</v>
      </c>
      <c r="B276" s="35"/>
      <c r="C276" s="35"/>
      <c r="D276" s="35"/>
      <c r="E276" s="39"/>
      <c r="F276" s="37"/>
      <c r="G276" s="43"/>
      <c r="H276" s="43"/>
      <c r="I276" s="43"/>
      <c r="J276" s="40"/>
      <c r="K276" s="38"/>
      <c r="L276" s="36"/>
      <c r="M276" s="41"/>
      <c r="N276" s="41" t="str">
        <f t="shared" si="13"/>
        <v/>
      </c>
      <c r="O276" s="42"/>
      <c r="P276" s="61" t="str">
        <f t="shared" si="15"/>
        <v>-</v>
      </c>
      <c r="Q276" s="28" t="e">
        <f>#REF!</f>
        <v>#REF!</v>
      </c>
    </row>
    <row r="277" spans="1:17">
      <c r="A277" s="52" t="str">
        <f t="shared" si="14"/>
        <v>-</v>
      </c>
      <c r="B277" s="35"/>
      <c r="C277" s="35"/>
      <c r="D277" s="35"/>
      <c r="E277" s="39"/>
      <c r="F277" s="37"/>
      <c r="G277" s="43"/>
      <c r="H277" s="43"/>
      <c r="I277" s="43"/>
      <c r="J277" s="40"/>
      <c r="K277" s="38"/>
      <c r="L277" s="36"/>
      <c r="M277" s="41"/>
      <c r="N277" s="41" t="str">
        <f t="shared" si="13"/>
        <v/>
      </c>
      <c r="O277" s="42"/>
      <c r="P277" s="61" t="str">
        <f t="shared" si="15"/>
        <v>-</v>
      </c>
      <c r="Q277" s="28" t="e">
        <f>#REF!</f>
        <v>#REF!</v>
      </c>
    </row>
    <row r="278" spans="1:17">
      <c r="A278" s="52" t="str">
        <f t="shared" si="14"/>
        <v>-</v>
      </c>
      <c r="B278" s="35"/>
      <c r="C278" s="35"/>
      <c r="D278" s="35"/>
      <c r="E278" s="39"/>
      <c r="F278" s="37"/>
      <c r="G278" s="43"/>
      <c r="H278" s="43"/>
      <c r="I278" s="43"/>
      <c r="J278" s="40"/>
      <c r="K278" s="38"/>
      <c r="L278" s="36"/>
      <c r="M278" s="41"/>
      <c r="N278" s="41" t="str">
        <f t="shared" ref="N278:N341" si="16">IF(L278&lt;&gt;"",EDATE(M278,L278),"")</f>
        <v/>
      </c>
      <c r="O278" s="42"/>
      <c r="P278" s="61" t="str">
        <f t="shared" si="15"/>
        <v>-</v>
      </c>
      <c r="Q278" s="28" t="e">
        <f>#REF!</f>
        <v>#REF!</v>
      </c>
    </row>
    <row r="279" spans="1:17">
      <c r="A279" s="52" t="str">
        <f t="shared" si="14"/>
        <v>-</v>
      </c>
      <c r="B279" s="35"/>
      <c r="C279" s="35"/>
      <c r="D279" s="35"/>
      <c r="E279" s="39"/>
      <c r="F279" s="37"/>
      <c r="G279" s="43"/>
      <c r="H279" s="43"/>
      <c r="I279" s="43"/>
      <c r="J279" s="40"/>
      <c r="K279" s="38"/>
      <c r="L279" s="36"/>
      <c r="M279" s="41"/>
      <c r="N279" s="41" t="str">
        <f t="shared" si="16"/>
        <v/>
      </c>
      <c r="O279" s="42"/>
      <c r="P279" s="61" t="str">
        <f t="shared" si="15"/>
        <v>-</v>
      </c>
      <c r="Q279" s="28" t="e">
        <f>#REF!</f>
        <v>#REF!</v>
      </c>
    </row>
    <row r="280" spans="1:17">
      <c r="A280" s="52" t="str">
        <f t="shared" si="14"/>
        <v>-</v>
      </c>
      <c r="B280" s="35"/>
      <c r="C280" s="35"/>
      <c r="D280" s="35"/>
      <c r="E280" s="39"/>
      <c r="F280" s="37"/>
      <c r="G280" s="43"/>
      <c r="H280" s="43"/>
      <c r="I280" s="43"/>
      <c r="J280" s="40"/>
      <c r="K280" s="38"/>
      <c r="L280" s="36"/>
      <c r="M280" s="41"/>
      <c r="N280" s="41" t="str">
        <f t="shared" si="16"/>
        <v/>
      </c>
      <c r="O280" s="42"/>
      <c r="P280" s="61" t="str">
        <f t="shared" si="15"/>
        <v>-</v>
      </c>
      <c r="Q280" s="28" t="e">
        <f>#REF!</f>
        <v>#REF!</v>
      </c>
    </row>
    <row r="281" spans="1:17">
      <c r="A281" s="52" t="str">
        <f t="shared" si="14"/>
        <v>-</v>
      </c>
      <c r="B281" s="35"/>
      <c r="C281" s="35"/>
      <c r="D281" s="35"/>
      <c r="E281" s="39"/>
      <c r="F281" s="37"/>
      <c r="G281" s="43"/>
      <c r="H281" s="43"/>
      <c r="I281" s="43"/>
      <c r="J281" s="40"/>
      <c r="K281" s="38"/>
      <c r="L281" s="36"/>
      <c r="M281" s="41"/>
      <c r="N281" s="41" t="str">
        <f t="shared" si="16"/>
        <v/>
      </c>
      <c r="O281" s="42"/>
      <c r="P281" s="61" t="str">
        <f t="shared" si="15"/>
        <v>-</v>
      </c>
      <c r="Q281" s="28" t="e">
        <f>#REF!</f>
        <v>#REF!</v>
      </c>
    </row>
    <row r="282" spans="1:17">
      <c r="A282" s="52" t="str">
        <f t="shared" si="14"/>
        <v>-</v>
      </c>
      <c r="B282" s="35"/>
      <c r="C282" s="35"/>
      <c r="D282" s="35"/>
      <c r="E282" s="39"/>
      <c r="F282" s="37"/>
      <c r="G282" s="43"/>
      <c r="H282" s="43"/>
      <c r="I282" s="43"/>
      <c r="J282" s="40"/>
      <c r="K282" s="38"/>
      <c r="L282" s="36"/>
      <c r="M282" s="41"/>
      <c r="N282" s="41" t="str">
        <f t="shared" si="16"/>
        <v/>
      </c>
      <c r="O282" s="42"/>
      <c r="P282" s="61" t="str">
        <f t="shared" si="15"/>
        <v>-</v>
      </c>
      <c r="Q282" s="28" t="e">
        <f>#REF!</f>
        <v>#REF!</v>
      </c>
    </row>
    <row r="283" spans="1:17">
      <c r="A283" s="52" t="str">
        <f t="shared" si="14"/>
        <v>-</v>
      </c>
      <c r="B283" s="35"/>
      <c r="C283" s="35"/>
      <c r="D283" s="35"/>
      <c r="E283" s="39"/>
      <c r="F283" s="37"/>
      <c r="G283" s="43"/>
      <c r="H283" s="43"/>
      <c r="I283" s="43"/>
      <c r="J283" s="40"/>
      <c r="K283" s="38"/>
      <c r="L283" s="36"/>
      <c r="M283" s="41"/>
      <c r="N283" s="41" t="str">
        <f t="shared" si="16"/>
        <v/>
      </c>
      <c r="O283" s="42"/>
      <c r="P283" s="61" t="str">
        <f t="shared" si="15"/>
        <v>-</v>
      </c>
      <c r="Q283" s="28" t="e">
        <f>#REF!</f>
        <v>#REF!</v>
      </c>
    </row>
    <row r="284" spans="1:17">
      <c r="A284" s="52" t="str">
        <f t="shared" si="14"/>
        <v>-</v>
      </c>
      <c r="B284" s="35"/>
      <c r="C284" s="35"/>
      <c r="D284" s="35"/>
      <c r="E284" s="39"/>
      <c r="F284" s="37"/>
      <c r="G284" s="43"/>
      <c r="H284" s="43"/>
      <c r="I284" s="43"/>
      <c r="J284" s="40"/>
      <c r="K284" s="38"/>
      <c r="L284" s="36"/>
      <c r="M284" s="41"/>
      <c r="N284" s="41" t="str">
        <f t="shared" si="16"/>
        <v/>
      </c>
      <c r="O284" s="42"/>
      <c r="P284" s="61" t="str">
        <f t="shared" si="15"/>
        <v>-</v>
      </c>
      <c r="Q284" s="28" t="e">
        <f>#REF!</f>
        <v>#REF!</v>
      </c>
    </row>
    <row r="285" spans="1:17">
      <c r="A285" s="52" t="str">
        <f t="shared" si="14"/>
        <v>-</v>
      </c>
      <c r="B285" s="35"/>
      <c r="C285" s="35"/>
      <c r="D285" s="35"/>
      <c r="E285" s="39"/>
      <c r="F285" s="37"/>
      <c r="G285" s="43"/>
      <c r="H285" s="43"/>
      <c r="I285" s="43"/>
      <c r="J285" s="40"/>
      <c r="K285" s="38"/>
      <c r="L285" s="36"/>
      <c r="M285" s="41"/>
      <c r="N285" s="41" t="str">
        <f t="shared" si="16"/>
        <v/>
      </c>
      <c r="O285" s="42"/>
      <c r="P285" s="61" t="str">
        <f t="shared" si="15"/>
        <v>-</v>
      </c>
      <c r="Q285" s="28" t="e">
        <f>#REF!</f>
        <v>#REF!</v>
      </c>
    </row>
    <row r="286" spans="1:17">
      <c r="A286" s="52" t="str">
        <f t="shared" si="14"/>
        <v>-</v>
      </c>
      <c r="B286" s="35"/>
      <c r="C286" s="35"/>
      <c r="D286" s="35"/>
      <c r="E286" s="39"/>
      <c r="F286" s="37"/>
      <c r="G286" s="43"/>
      <c r="H286" s="43"/>
      <c r="I286" s="43"/>
      <c r="J286" s="40"/>
      <c r="K286" s="38"/>
      <c r="L286" s="36"/>
      <c r="M286" s="41"/>
      <c r="N286" s="41" t="str">
        <f t="shared" si="16"/>
        <v/>
      </c>
      <c r="O286" s="42"/>
      <c r="P286" s="61" t="str">
        <f t="shared" si="15"/>
        <v>-</v>
      </c>
      <c r="Q286" s="28" t="e">
        <f>#REF!</f>
        <v>#REF!</v>
      </c>
    </row>
    <row r="287" spans="1:17">
      <c r="A287" s="52" t="str">
        <f t="shared" si="14"/>
        <v>-</v>
      </c>
      <c r="B287" s="35"/>
      <c r="C287" s="35"/>
      <c r="D287" s="35"/>
      <c r="E287" s="39"/>
      <c r="F287" s="37"/>
      <c r="G287" s="43"/>
      <c r="H287" s="43"/>
      <c r="I287" s="43"/>
      <c r="J287" s="40"/>
      <c r="K287" s="38"/>
      <c r="L287" s="36"/>
      <c r="M287" s="41"/>
      <c r="N287" s="41" t="str">
        <f t="shared" si="16"/>
        <v/>
      </c>
      <c r="O287" s="42"/>
      <c r="P287" s="61" t="str">
        <f t="shared" si="15"/>
        <v>-</v>
      </c>
      <c r="Q287" s="28" t="e">
        <f>#REF!</f>
        <v>#REF!</v>
      </c>
    </row>
    <row r="288" spans="1:17">
      <c r="A288" s="52" t="str">
        <f t="shared" si="14"/>
        <v>-</v>
      </c>
      <c r="B288" s="35"/>
      <c r="C288" s="35"/>
      <c r="D288" s="35"/>
      <c r="E288" s="39"/>
      <c r="F288" s="37"/>
      <c r="G288" s="43"/>
      <c r="H288" s="43"/>
      <c r="I288" s="43"/>
      <c r="J288" s="40"/>
      <c r="K288" s="38"/>
      <c r="L288" s="36"/>
      <c r="M288" s="41"/>
      <c r="N288" s="41" t="str">
        <f t="shared" si="16"/>
        <v/>
      </c>
      <c r="O288" s="42"/>
      <c r="P288" s="61" t="str">
        <f t="shared" si="15"/>
        <v>-</v>
      </c>
      <c r="Q288" s="28" t="e">
        <f>#REF!</f>
        <v>#REF!</v>
      </c>
    </row>
    <row r="289" spans="1:17">
      <c r="A289" s="52" t="str">
        <f t="shared" si="14"/>
        <v>-</v>
      </c>
      <c r="B289" s="35"/>
      <c r="C289" s="35"/>
      <c r="D289" s="35"/>
      <c r="E289" s="39"/>
      <c r="F289" s="37"/>
      <c r="G289" s="43"/>
      <c r="H289" s="43"/>
      <c r="I289" s="43"/>
      <c r="J289" s="40"/>
      <c r="K289" s="38"/>
      <c r="L289" s="36"/>
      <c r="M289" s="41"/>
      <c r="N289" s="41" t="str">
        <f t="shared" si="16"/>
        <v/>
      </c>
      <c r="O289" s="42"/>
      <c r="P289" s="61" t="str">
        <f t="shared" si="15"/>
        <v>-</v>
      </c>
      <c r="Q289" s="28" t="e">
        <f>#REF!</f>
        <v>#REF!</v>
      </c>
    </row>
    <row r="290" spans="1:17">
      <c r="A290" s="52" t="str">
        <f t="shared" si="14"/>
        <v>-</v>
      </c>
      <c r="B290" s="35"/>
      <c r="C290" s="35"/>
      <c r="D290" s="35"/>
      <c r="E290" s="39"/>
      <c r="F290" s="37"/>
      <c r="G290" s="43"/>
      <c r="H290" s="43"/>
      <c r="I290" s="43"/>
      <c r="J290" s="40"/>
      <c r="K290" s="38"/>
      <c r="L290" s="36"/>
      <c r="M290" s="41"/>
      <c r="N290" s="41" t="str">
        <f t="shared" si="16"/>
        <v/>
      </c>
      <c r="O290" s="42"/>
      <c r="P290" s="61" t="str">
        <f t="shared" si="15"/>
        <v>-</v>
      </c>
      <c r="Q290" s="28" t="e">
        <f>#REF!</f>
        <v>#REF!</v>
      </c>
    </row>
    <row r="291" spans="1:17">
      <c r="A291" s="52" t="str">
        <f t="shared" si="14"/>
        <v>-</v>
      </c>
      <c r="B291" s="35"/>
      <c r="C291" s="35"/>
      <c r="D291" s="35"/>
      <c r="E291" s="39"/>
      <c r="F291" s="37"/>
      <c r="G291" s="43"/>
      <c r="H291" s="43"/>
      <c r="I291" s="43"/>
      <c r="J291" s="40"/>
      <c r="K291" s="38"/>
      <c r="L291" s="36"/>
      <c r="M291" s="41"/>
      <c r="N291" s="41" t="str">
        <f t="shared" si="16"/>
        <v/>
      </c>
      <c r="O291" s="42"/>
      <c r="P291" s="61" t="str">
        <f t="shared" si="15"/>
        <v>-</v>
      </c>
      <c r="Q291" s="28" t="e">
        <f>#REF!</f>
        <v>#REF!</v>
      </c>
    </row>
    <row r="292" spans="1:17">
      <c r="A292" s="52" t="str">
        <f t="shared" si="14"/>
        <v>-</v>
      </c>
      <c r="B292" s="35"/>
      <c r="C292" s="35"/>
      <c r="D292" s="35"/>
      <c r="E292" s="39"/>
      <c r="F292" s="37"/>
      <c r="G292" s="43"/>
      <c r="H292" s="43"/>
      <c r="I292" s="43"/>
      <c r="J292" s="40"/>
      <c r="K292" s="38"/>
      <c r="L292" s="36"/>
      <c r="M292" s="41"/>
      <c r="N292" s="41" t="str">
        <f t="shared" si="16"/>
        <v/>
      </c>
      <c r="O292" s="42"/>
      <c r="P292" s="61" t="str">
        <f t="shared" si="15"/>
        <v>-</v>
      </c>
      <c r="Q292" s="28" t="e">
        <f>#REF!</f>
        <v>#REF!</v>
      </c>
    </row>
    <row r="293" spans="1:17">
      <c r="A293" s="52" t="str">
        <f t="shared" si="14"/>
        <v>-</v>
      </c>
      <c r="B293" s="35"/>
      <c r="C293" s="35"/>
      <c r="D293" s="35"/>
      <c r="E293" s="39"/>
      <c r="F293" s="37"/>
      <c r="G293" s="43"/>
      <c r="H293" s="43"/>
      <c r="I293" s="43"/>
      <c r="J293" s="40"/>
      <c r="K293" s="38"/>
      <c r="L293" s="36"/>
      <c r="M293" s="41"/>
      <c r="N293" s="41" t="str">
        <f t="shared" si="16"/>
        <v/>
      </c>
      <c r="O293" s="42"/>
      <c r="P293" s="61" t="str">
        <f t="shared" si="15"/>
        <v>-</v>
      </c>
      <c r="Q293" s="28" t="e">
        <f>#REF!</f>
        <v>#REF!</v>
      </c>
    </row>
    <row r="294" spans="1:17">
      <c r="A294" s="52" t="str">
        <f t="shared" si="14"/>
        <v>-</v>
      </c>
      <c r="B294" s="35"/>
      <c r="C294" s="35"/>
      <c r="D294" s="35"/>
      <c r="E294" s="39"/>
      <c r="F294" s="37"/>
      <c r="G294" s="43"/>
      <c r="H294" s="43"/>
      <c r="I294" s="43"/>
      <c r="J294" s="40"/>
      <c r="K294" s="38"/>
      <c r="L294" s="36"/>
      <c r="M294" s="41"/>
      <c r="N294" s="41" t="str">
        <f t="shared" si="16"/>
        <v/>
      </c>
      <c r="O294" s="42"/>
      <c r="P294" s="61" t="str">
        <f t="shared" si="15"/>
        <v>-</v>
      </c>
      <c r="Q294" s="28" t="e">
        <f>#REF!</f>
        <v>#REF!</v>
      </c>
    </row>
    <row r="295" spans="1:17">
      <c r="A295" s="52" t="str">
        <f t="shared" si="14"/>
        <v>-</v>
      </c>
      <c r="B295" s="35"/>
      <c r="C295" s="35"/>
      <c r="D295" s="35"/>
      <c r="E295" s="39"/>
      <c r="F295" s="37"/>
      <c r="G295" s="43"/>
      <c r="H295" s="43"/>
      <c r="I295" s="43"/>
      <c r="J295" s="40"/>
      <c r="K295" s="38"/>
      <c r="L295" s="36"/>
      <c r="M295" s="41"/>
      <c r="N295" s="41" t="str">
        <f t="shared" si="16"/>
        <v/>
      </c>
      <c r="O295" s="42"/>
      <c r="P295" s="61" t="str">
        <f t="shared" si="15"/>
        <v>-</v>
      </c>
      <c r="Q295" s="28" t="e">
        <f>#REF!</f>
        <v>#REF!</v>
      </c>
    </row>
    <row r="296" spans="1:17">
      <c r="A296" s="52" t="str">
        <f t="shared" si="14"/>
        <v>-</v>
      </c>
      <c r="B296" s="35"/>
      <c r="C296" s="35"/>
      <c r="D296" s="35"/>
      <c r="E296" s="39"/>
      <c r="F296" s="37"/>
      <c r="G296" s="43"/>
      <c r="H296" s="43"/>
      <c r="I296" s="43"/>
      <c r="J296" s="40"/>
      <c r="K296" s="38"/>
      <c r="L296" s="36"/>
      <c r="M296" s="41"/>
      <c r="N296" s="41" t="str">
        <f t="shared" si="16"/>
        <v/>
      </c>
      <c r="O296" s="42"/>
      <c r="P296" s="61" t="str">
        <f t="shared" si="15"/>
        <v>-</v>
      </c>
      <c r="Q296" s="28" t="e">
        <f>#REF!</f>
        <v>#REF!</v>
      </c>
    </row>
    <row r="297" spans="1:17">
      <c r="A297" s="52" t="str">
        <f t="shared" si="14"/>
        <v>-</v>
      </c>
      <c r="B297" s="35"/>
      <c r="C297" s="35"/>
      <c r="D297" s="35"/>
      <c r="E297" s="39"/>
      <c r="F297" s="37"/>
      <c r="G297" s="43"/>
      <c r="H297" s="43"/>
      <c r="I297" s="43"/>
      <c r="J297" s="40"/>
      <c r="K297" s="38"/>
      <c r="L297" s="36"/>
      <c r="M297" s="41"/>
      <c r="N297" s="41" t="str">
        <f t="shared" si="16"/>
        <v/>
      </c>
      <c r="O297" s="42"/>
      <c r="P297" s="61" t="str">
        <f t="shared" si="15"/>
        <v>-</v>
      </c>
      <c r="Q297" s="28" t="e">
        <f>#REF!</f>
        <v>#REF!</v>
      </c>
    </row>
    <row r="298" spans="1:17">
      <c r="A298" s="52" t="str">
        <f t="shared" si="14"/>
        <v>-</v>
      </c>
      <c r="B298" s="35"/>
      <c r="C298" s="35"/>
      <c r="D298" s="35"/>
      <c r="E298" s="39"/>
      <c r="F298" s="37"/>
      <c r="G298" s="43"/>
      <c r="H298" s="43"/>
      <c r="I298" s="43"/>
      <c r="J298" s="40"/>
      <c r="K298" s="38"/>
      <c r="L298" s="36"/>
      <c r="M298" s="41"/>
      <c r="N298" s="41" t="str">
        <f t="shared" si="16"/>
        <v/>
      </c>
      <c r="O298" s="42"/>
      <c r="P298" s="61" t="str">
        <f t="shared" si="15"/>
        <v>-</v>
      </c>
      <c r="Q298" s="28" t="e">
        <f>#REF!</f>
        <v>#REF!</v>
      </c>
    </row>
    <row r="299" spans="1:17">
      <c r="A299" s="52" t="str">
        <f t="shared" si="14"/>
        <v>-</v>
      </c>
      <c r="B299" s="35"/>
      <c r="C299" s="35"/>
      <c r="D299" s="35"/>
      <c r="E299" s="39"/>
      <c r="F299" s="37"/>
      <c r="G299" s="43"/>
      <c r="H299" s="43"/>
      <c r="I299" s="43"/>
      <c r="J299" s="40"/>
      <c r="K299" s="38"/>
      <c r="L299" s="36"/>
      <c r="M299" s="41"/>
      <c r="N299" s="41" t="str">
        <f t="shared" si="16"/>
        <v/>
      </c>
      <c r="O299" s="42"/>
      <c r="P299" s="61" t="str">
        <f t="shared" si="15"/>
        <v>-</v>
      </c>
      <c r="Q299" s="28" t="e">
        <f>#REF!</f>
        <v>#REF!</v>
      </c>
    </row>
    <row r="300" spans="1:17">
      <c r="A300" s="52" t="str">
        <f t="shared" si="14"/>
        <v>-</v>
      </c>
      <c r="B300" s="35"/>
      <c r="C300" s="35"/>
      <c r="D300" s="35"/>
      <c r="E300" s="39"/>
      <c r="F300" s="37"/>
      <c r="G300" s="43"/>
      <c r="H300" s="43"/>
      <c r="I300" s="43"/>
      <c r="J300" s="40"/>
      <c r="K300" s="38"/>
      <c r="L300" s="36"/>
      <c r="M300" s="41"/>
      <c r="N300" s="41" t="str">
        <f t="shared" si="16"/>
        <v/>
      </c>
      <c r="O300" s="42"/>
      <c r="P300" s="61" t="str">
        <f t="shared" si="15"/>
        <v>-</v>
      </c>
      <c r="Q300" s="28" t="e">
        <f>#REF!</f>
        <v>#REF!</v>
      </c>
    </row>
    <row r="301" spans="1:17">
      <c r="A301" s="52" t="str">
        <f t="shared" si="14"/>
        <v>-</v>
      </c>
      <c r="B301" s="35"/>
      <c r="C301" s="35"/>
      <c r="D301" s="35"/>
      <c r="E301" s="39"/>
      <c r="F301" s="37"/>
      <c r="G301" s="43"/>
      <c r="H301" s="43"/>
      <c r="I301" s="43"/>
      <c r="J301" s="40"/>
      <c r="K301" s="38"/>
      <c r="L301" s="36"/>
      <c r="M301" s="41"/>
      <c r="N301" s="41" t="str">
        <f t="shared" si="16"/>
        <v/>
      </c>
      <c r="O301" s="42"/>
      <c r="P301" s="61" t="str">
        <f t="shared" si="15"/>
        <v>-</v>
      </c>
      <c r="Q301" s="28" t="e">
        <f>#REF!</f>
        <v>#REF!</v>
      </c>
    </row>
    <row r="302" spans="1:17">
      <c r="A302" s="52" t="str">
        <f t="shared" si="14"/>
        <v>-</v>
      </c>
      <c r="B302" s="35"/>
      <c r="C302" s="35"/>
      <c r="D302" s="35"/>
      <c r="E302" s="39"/>
      <c r="F302" s="37"/>
      <c r="G302" s="43"/>
      <c r="H302" s="43"/>
      <c r="I302" s="43"/>
      <c r="J302" s="40"/>
      <c r="K302" s="38"/>
      <c r="L302" s="36"/>
      <c r="M302" s="41"/>
      <c r="N302" s="41" t="str">
        <f t="shared" si="16"/>
        <v/>
      </c>
      <c r="O302" s="42"/>
      <c r="P302" s="61" t="str">
        <f t="shared" si="15"/>
        <v>-</v>
      </c>
      <c r="Q302" s="28" t="e">
        <f>#REF!</f>
        <v>#REF!</v>
      </c>
    </row>
    <row r="303" spans="1:17">
      <c r="A303" s="52" t="str">
        <f t="shared" ref="A303:A366" si="17">CONCATENATE(B303,"-",C303)</f>
        <v>-</v>
      </c>
      <c r="B303" s="35"/>
      <c r="C303" s="35"/>
      <c r="D303" s="35"/>
      <c r="E303" s="39"/>
      <c r="F303" s="37"/>
      <c r="G303" s="43"/>
      <c r="H303" s="43"/>
      <c r="I303" s="43"/>
      <c r="J303" s="40"/>
      <c r="K303" s="38"/>
      <c r="L303" s="36"/>
      <c r="M303" s="41"/>
      <c r="N303" s="41" t="str">
        <f t="shared" si="16"/>
        <v/>
      </c>
      <c r="O303" s="42"/>
      <c r="P303" s="61" t="str">
        <f t="shared" si="15"/>
        <v>-</v>
      </c>
      <c r="Q303" s="28" t="e">
        <f>#REF!</f>
        <v>#REF!</v>
      </c>
    </row>
    <row r="304" spans="1:17">
      <c r="A304" s="52" t="str">
        <f t="shared" si="17"/>
        <v>-</v>
      </c>
      <c r="B304" s="35"/>
      <c r="C304" s="35"/>
      <c r="D304" s="35"/>
      <c r="E304" s="39"/>
      <c r="F304" s="37"/>
      <c r="G304" s="43"/>
      <c r="H304" s="43"/>
      <c r="I304" s="43"/>
      <c r="J304" s="40"/>
      <c r="K304" s="38"/>
      <c r="L304" s="36"/>
      <c r="M304" s="41"/>
      <c r="N304" s="41" t="str">
        <f t="shared" si="16"/>
        <v/>
      </c>
      <c r="O304" s="42"/>
      <c r="P304" s="61" t="str">
        <f t="shared" si="15"/>
        <v>-</v>
      </c>
      <c r="Q304" s="28" t="e">
        <f>#REF!</f>
        <v>#REF!</v>
      </c>
    </row>
    <row r="305" spans="1:17">
      <c r="A305" s="52" t="str">
        <f t="shared" si="17"/>
        <v>-</v>
      </c>
      <c r="B305" s="35"/>
      <c r="C305" s="35"/>
      <c r="D305" s="35"/>
      <c r="E305" s="39"/>
      <c r="F305" s="37"/>
      <c r="G305" s="43"/>
      <c r="H305" s="43"/>
      <c r="I305" s="43"/>
      <c r="J305" s="40"/>
      <c r="K305" s="38"/>
      <c r="L305" s="36"/>
      <c r="M305" s="41"/>
      <c r="N305" s="41" t="str">
        <f t="shared" si="16"/>
        <v/>
      </c>
      <c r="O305" s="42"/>
      <c r="P305" s="61" t="str">
        <f t="shared" si="15"/>
        <v>-</v>
      </c>
      <c r="Q305" s="28" t="e">
        <f>#REF!</f>
        <v>#REF!</v>
      </c>
    </row>
    <row r="306" spans="1:17">
      <c r="A306" s="52" t="str">
        <f t="shared" si="17"/>
        <v>-</v>
      </c>
      <c r="B306" s="35"/>
      <c r="C306" s="35"/>
      <c r="D306" s="35"/>
      <c r="E306" s="39"/>
      <c r="F306" s="37"/>
      <c r="G306" s="43"/>
      <c r="H306" s="43"/>
      <c r="I306" s="43"/>
      <c r="J306" s="40"/>
      <c r="K306" s="38"/>
      <c r="L306" s="36"/>
      <c r="M306" s="41"/>
      <c r="N306" s="41" t="str">
        <f t="shared" si="16"/>
        <v/>
      </c>
      <c r="O306" s="42"/>
      <c r="P306" s="61" t="str">
        <f t="shared" si="15"/>
        <v>-</v>
      </c>
      <c r="Q306" s="28" t="e">
        <f>#REF!</f>
        <v>#REF!</v>
      </c>
    </row>
    <row r="307" spans="1:17">
      <c r="A307" s="52" t="str">
        <f t="shared" si="17"/>
        <v>-</v>
      </c>
      <c r="B307" s="35"/>
      <c r="C307" s="35"/>
      <c r="D307" s="35"/>
      <c r="E307" s="39"/>
      <c r="F307" s="37"/>
      <c r="G307" s="43"/>
      <c r="H307" s="43"/>
      <c r="I307" s="43"/>
      <c r="J307" s="40"/>
      <c r="K307" s="38"/>
      <c r="L307" s="36"/>
      <c r="M307" s="41"/>
      <c r="N307" s="41" t="str">
        <f t="shared" si="16"/>
        <v/>
      </c>
      <c r="O307" s="42"/>
      <c r="P307" s="61" t="str">
        <f t="shared" si="15"/>
        <v>-</v>
      </c>
      <c r="Q307" s="28" t="e">
        <f>#REF!</f>
        <v>#REF!</v>
      </c>
    </row>
    <row r="308" spans="1:17">
      <c r="A308" s="52" t="str">
        <f t="shared" si="17"/>
        <v>-</v>
      </c>
      <c r="B308" s="35"/>
      <c r="C308" s="35"/>
      <c r="D308" s="35"/>
      <c r="E308" s="39"/>
      <c r="F308" s="37"/>
      <c r="G308" s="43"/>
      <c r="H308" s="43"/>
      <c r="I308" s="43"/>
      <c r="J308" s="40"/>
      <c r="K308" s="38"/>
      <c r="L308" s="36"/>
      <c r="M308" s="41"/>
      <c r="N308" s="41" t="str">
        <f t="shared" si="16"/>
        <v/>
      </c>
      <c r="O308" s="42"/>
      <c r="P308" s="61" t="str">
        <f t="shared" si="15"/>
        <v>-</v>
      </c>
      <c r="Q308" s="28" t="e">
        <f>#REF!</f>
        <v>#REF!</v>
      </c>
    </row>
    <row r="309" spans="1:17">
      <c r="A309" s="52" t="str">
        <f t="shared" si="17"/>
        <v>-</v>
      </c>
      <c r="B309" s="35"/>
      <c r="C309" s="35"/>
      <c r="D309" s="35"/>
      <c r="E309" s="39"/>
      <c r="F309" s="37"/>
      <c r="G309" s="43"/>
      <c r="H309" s="43"/>
      <c r="I309" s="43"/>
      <c r="J309" s="40"/>
      <c r="K309" s="38"/>
      <c r="L309" s="36"/>
      <c r="M309" s="41"/>
      <c r="N309" s="41" t="str">
        <f t="shared" si="16"/>
        <v/>
      </c>
      <c r="O309" s="42"/>
      <c r="P309" s="61" t="str">
        <f t="shared" si="15"/>
        <v>-</v>
      </c>
      <c r="Q309" s="28" t="e">
        <f>#REF!</f>
        <v>#REF!</v>
      </c>
    </row>
    <row r="310" spans="1:17">
      <c r="A310" s="52" t="str">
        <f t="shared" si="17"/>
        <v>-</v>
      </c>
      <c r="B310" s="35"/>
      <c r="C310" s="35"/>
      <c r="D310" s="35"/>
      <c r="E310" s="39"/>
      <c r="F310" s="37"/>
      <c r="G310" s="43"/>
      <c r="H310" s="43"/>
      <c r="I310" s="43"/>
      <c r="J310" s="40"/>
      <c r="K310" s="38"/>
      <c r="L310" s="36"/>
      <c r="M310" s="41"/>
      <c r="N310" s="41" t="str">
        <f t="shared" si="16"/>
        <v/>
      </c>
      <c r="O310" s="42"/>
      <c r="P310" s="61" t="str">
        <f t="shared" si="15"/>
        <v>-</v>
      </c>
      <c r="Q310" s="28" t="e">
        <f>#REF!</f>
        <v>#REF!</v>
      </c>
    </row>
    <row r="311" spans="1:17">
      <c r="A311" s="52" t="str">
        <f t="shared" si="17"/>
        <v>-</v>
      </c>
      <c r="B311" s="35"/>
      <c r="C311" s="35"/>
      <c r="D311" s="35"/>
      <c r="E311" s="39"/>
      <c r="F311" s="37"/>
      <c r="G311" s="43"/>
      <c r="H311" s="43"/>
      <c r="I311" s="43"/>
      <c r="J311" s="40"/>
      <c r="K311" s="38"/>
      <c r="L311" s="36"/>
      <c r="M311" s="41"/>
      <c r="N311" s="41" t="str">
        <f t="shared" si="16"/>
        <v/>
      </c>
      <c r="O311" s="42"/>
      <c r="P311" s="61" t="str">
        <f t="shared" si="15"/>
        <v>-</v>
      </c>
      <c r="Q311" s="28" t="e">
        <f>#REF!</f>
        <v>#REF!</v>
      </c>
    </row>
    <row r="312" spans="1:17">
      <c r="A312" s="52" t="str">
        <f t="shared" si="17"/>
        <v>-</v>
      </c>
      <c r="B312" s="35"/>
      <c r="C312" s="35"/>
      <c r="D312" s="35"/>
      <c r="E312" s="39"/>
      <c r="F312" s="37"/>
      <c r="G312" s="43"/>
      <c r="H312" s="43"/>
      <c r="I312" s="43"/>
      <c r="J312" s="40"/>
      <c r="K312" s="38"/>
      <c r="L312" s="36"/>
      <c r="M312" s="41"/>
      <c r="N312" s="41" t="str">
        <f t="shared" si="16"/>
        <v/>
      </c>
      <c r="O312" s="42"/>
      <c r="P312" s="61" t="str">
        <f t="shared" si="15"/>
        <v>-</v>
      </c>
      <c r="Q312" s="28" t="e">
        <f>#REF!</f>
        <v>#REF!</v>
      </c>
    </row>
    <row r="313" spans="1:17">
      <c r="A313" s="52" t="str">
        <f t="shared" si="17"/>
        <v>-</v>
      </c>
      <c r="B313" s="35"/>
      <c r="C313" s="35"/>
      <c r="D313" s="35"/>
      <c r="E313" s="39"/>
      <c r="F313" s="37"/>
      <c r="G313" s="43"/>
      <c r="H313" s="43"/>
      <c r="I313" s="43"/>
      <c r="J313" s="40"/>
      <c r="K313" s="38"/>
      <c r="L313" s="36"/>
      <c r="M313" s="41"/>
      <c r="N313" s="41" t="str">
        <f t="shared" si="16"/>
        <v/>
      </c>
      <c r="O313" s="42"/>
      <c r="P313" s="61" t="str">
        <f t="shared" si="15"/>
        <v>-</v>
      </c>
      <c r="Q313" s="28" t="e">
        <f>#REF!</f>
        <v>#REF!</v>
      </c>
    </row>
    <row r="314" spans="1:17">
      <c r="A314" s="52" t="str">
        <f t="shared" si="17"/>
        <v>-</v>
      </c>
      <c r="B314" s="35"/>
      <c r="C314" s="35"/>
      <c r="D314" s="35"/>
      <c r="E314" s="39"/>
      <c r="F314" s="37"/>
      <c r="G314" s="43"/>
      <c r="H314" s="43"/>
      <c r="I314" s="43"/>
      <c r="J314" s="40"/>
      <c r="K314" s="38"/>
      <c r="L314" s="36"/>
      <c r="M314" s="41"/>
      <c r="N314" s="41" t="str">
        <f t="shared" si="16"/>
        <v/>
      </c>
      <c r="O314" s="42"/>
      <c r="P314" s="61" t="str">
        <f t="shared" si="15"/>
        <v>-</v>
      </c>
      <c r="Q314" s="28" t="e">
        <f>#REF!</f>
        <v>#REF!</v>
      </c>
    </row>
    <row r="315" spans="1:17">
      <c r="A315" s="52" t="str">
        <f t="shared" si="17"/>
        <v>-</v>
      </c>
      <c r="B315" s="35"/>
      <c r="C315" s="35"/>
      <c r="D315" s="35"/>
      <c r="E315" s="39"/>
      <c r="F315" s="37"/>
      <c r="G315" s="43"/>
      <c r="H315" s="43"/>
      <c r="I315" s="43"/>
      <c r="J315" s="40"/>
      <c r="K315" s="38"/>
      <c r="L315" s="36"/>
      <c r="M315" s="41"/>
      <c r="N315" s="41" t="str">
        <f t="shared" si="16"/>
        <v/>
      </c>
      <c r="O315" s="42"/>
      <c r="P315" s="61" t="str">
        <f t="shared" si="15"/>
        <v>-</v>
      </c>
      <c r="Q315" s="28" t="e">
        <f>#REF!</f>
        <v>#REF!</v>
      </c>
    </row>
    <row r="316" spans="1:17">
      <c r="A316" s="52" t="str">
        <f t="shared" si="17"/>
        <v>-</v>
      </c>
      <c r="B316" s="35"/>
      <c r="C316" s="35"/>
      <c r="D316" s="35"/>
      <c r="E316" s="39"/>
      <c r="F316" s="37"/>
      <c r="G316" s="43"/>
      <c r="H316" s="43"/>
      <c r="I316" s="43"/>
      <c r="J316" s="40"/>
      <c r="K316" s="38"/>
      <c r="L316" s="36"/>
      <c r="M316" s="41"/>
      <c r="N316" s="41" t="str">
        <f t="shared" si="16"/>
        <v/>
      </c>
      <c r="O316" s="42"/>
      <c r="P316" s="61" t="str">
        <f t="shared" si="15"/>
        <v>-</v>
      </c>
      <c r="Q316" s="28" t="e">
        <f>#REF!</f>
        <v>#REF!</v>
      </c>
    </row>
    <row r="317" spans="1:17">
      <c r="A317" s="52" t="str">
        <f t="shared" si="17"/>
        <v>-</v>
      </c>
      <c r="B317" s="35"/>
      <c r="C317" s="35"/>
      <c r="D317" s="35"/>
      <c r="E317" s="39"/>
      <c r="F317" s="37"/>
      <c r="G317" s="43"/>
      <c r="H317" s="43"/>
      <c r="I317" s="43"/>
      <c r="J317" s="40"/>
      <c r="K317" s="38"/>
      <c r="L317" s="36"/>
      <c r="M317" s="41"/>
      <c r="N317" s="41" t="str">
        <f t="shared" si="16"/>
        <v/>
      </c>
      <c r="O317" s="42"/>
      <c r="P317" s="61" t="str">
        <f t="shared" si="15"/>
        <v>-</v>
      </c>
      <c r="Q317" s="28" t="e">
        <f>#REF!</f>
        <v>#REF!</v>
      </c>
    </row>
    <row r="318" spans="1:17">
      <c r="A318" s="52" t="str">
        <f t="shared" si="17"/>
        <v>-</v>
      </c>
      <c r="B318" s="35"/>
      <c r="C318" s="35"/>
      <c r="D318" s="35"/>
      <c r="E318" s="39"/>
      <c r="F318" s="37"/>
      <c r="G318" s="43"/>
      <c r="H318" s="43"/>
      <c r="I318" s="43"/>
      <c r="J318" s="40"/>
      <c r="K318" s="38"/>
      <c r="L318" s="36"/>
      <c r="M318" s="41"/>
      <c r="N318" s="41" t="str">
        <f t="shared" si="16"/>
        <v/>
      </c>
      <c r="O318" s="42"/>
      <c r="P318" s="61" t="str">
        <f t="shared" si="15"/>
        <v>-</v>
      </c>
      <c r="Q318" s="28" t="e">
        <f>#REF!</f>
        <v>#REF!</v>
      </c>
    </row>
    <row r="319" spans="1:17">
      <c r="A319" s="52" t="str">
        <f t="shared" si="17"/>
        <v>-</v>
      </c>
      <c r="B319" s="35"/>
      <c r="C319" s="35"/>
      <c r="D319" s="35"/>
      <c r="E319" s="39"/>
      <c r="F319" s="37"/>
      <c r="G319" s="43"/>
      <c r="H319" s="43"/>
      <c r="I319" s="43"/>
      <c r="J319" s="40"/>
      <c r="K319" s="38"/>
      <c r="L319" s="36"/>
      <c r="M319" s="41"/>
      <c r="N319" s="41" t="str">
        <f t="shared" si="16"/>
        <v/>
      </c>
      <c r="O319" s="42"/>
      <c r="P319" s="61" t="str">
        <f t="shared" si="15"/>
        <v>-</v>
      </c>
      <c r="Q319" s="28" t="e">
        <f>#REF!</f>
        <v>#REF!</v>
      </c>
    </row>
    <row r="320" spans="1:17">
      <c r="A320" s="52" t="str">
        <f t="shared" si="17"/>
        <v>-</v>
      </c>
      <c r="B320" s="35"/>
      <c r="C320" s="35"/>
      <c r="D320" s="35"/>
      <c r="E320" s="39"/>
      <c r="F320" s="37"/>
      <c r="G320" s="43"/>
      <c r="H320" s="43"/>
      <c r="I320" s="43"/>
      <c r="J320" s="40"/>
      <c r="K320" s="38"/>
      <c r="L320" s="36"/>
      <c r="M320" s="41"/>
      <c r="N320" s="41" t="str">
        <f t="shared" si="16"/>
        <v/>
      </c>
      <c r="O320" s="42"/>
      <c r="P320" s="61" t="str">
        <f t="shared" si="15"/>
        <v>-</v>
      </c>
      <c r="Q320" s="28" t="e">
        <f>#REF!</f>
        <v>#REF!</v>
      </c>
    </row>
    <row r="321" spans="1:17">
      <c r="A321" s="52" t="str">
        <f t="shared" si="17"/>
        <v>-</v>
      </c>
      <c r="B321" s="35"/>
      <c r="C321" s="35"/>
      <c r="D321" s="35"/>
      <c r="E321" s="39"/>
      <c r="F321" s="37"/>
      <c r="G321" s="43"/>
      <c r="H321" s="43"/>
      <c r="I321" s="43"/>
      <c r="J321" s="40"/>
      <c r="K321" s="38"/>
      <c r="L321" s="36"/>
      <c r="M321" s="41"/>
      <c r="N321" s="41" t="str">
        <f t="shared" si="16"/>
        <v/>
      </c>
      <c r="O321" s="42"/>
      <c r="P321" s="61" t="str">
        <f t="shared" si="15"/>
        <v>-</v>
      </c>
      <c r="Q321" s="28" t="e">
        <f>#REF!</f>
        <v>#REF!</v>
      </c>
    </row>
    <row r="322" spans="1:17">
      <c r="A322" s="52" t="str">
        <f t="shared" si="17"/>
        <v>-</v>
      </c>
      <c r="B322" s="35"/>
      <c r="C322" s="35"/>
      <c r="D322" s="35"/>
      <c r="E322" s="39"/>
      <c r="F322" s="37"/>
      <c r="G322" s="43"/>
      <c r="H322" s="43"/>
      <c r="I322" s="43"/>
      <c r="J322" s="40"/>
      <c r="K322" s="38"/>
      <c r="L322" s="36"/>
      <c r="M322" s="41"/>
      <c r="N322" s="41" t="str">
        <f t="shared" si="16"/>
        <v/>
      </c>
      <c r="O322" s="42"/>
      <c r="P322" s="61" t="str">
        <f t="shared" si="15"/>
        <v>-</v>
      </c>
      <c r="Q322" s="28" t="e">
        <f>#REF!</f>
        <v>#REF!</v>
      </c>
    </row>
    <row r="323" spans="1:17">
      <c r="A323" s="52" t="str">
        <f t="shared" si="17"/>
        <v>-</v>
      </c>
      <c r="B323" s="35"/>
      <c r="C323" s="35"/>
      <c r="D323" s="35"/>
      <c r="E323" s="39"/>
      <c r="F323" s="37"/>
      <c r="G323" s="43"/>
      <c r="H323" s="43"/>
      <c r="I323" s="43"/>
      <c r="J323" s="40"/>
      <c r="K323" s="38"/>
      <c r="L323" s="36"/>
      <c r="M323" s="41"/>
      <c r="N323" s="41" t="str">
        <f t="shared" si="16"/>
        <v/>
      </c>
      <c r="O323" s="42"/>
      <c r="P323" s="61" t="str">
        <f t="shared" si="15"/>
        <v>-</v>
      </c>
      <c r="Q323" s="28" t="e">
        <f>#REF!</f>
        <v>#REF!</v>
      </c>
    </row>
    <row r="324" spans="1:17">
      <c r="A324" s="52" t="str">
        <f t="shared" si="17"/>
        <v>-</v>
      </c>
      <c r="B324" s="35"/>
      <c r="C324" s="35"/>
      <c r="D324" s="35"/>
      <c r="E324" s="39"/>
      <c r="F324" s="37"/>
      <c r="G324" s="43"/>
      <c r="H324" s="43"/>
      <c r="I324" s="43"/>
      <c r="J324" s="40"/>
      <c r="K324" s="38"/>
      <c r="L324" s="36"/>
      <c r="M324" s="41"/>
      <c r="N324" s="41" t="str">
        <f t="shared" si="16"/>
        <v/>
      </c>
      <c r="O324" s="42"/>
      <c r="P324" s="61" t="str">
        <f t="shared" si="15"/>
        <v>-</v>
      </c>
      <c r="Q324" s="28" t="e">
        <f>#REF!</f>
        <v>#REF!</v>
      </c>
    </row>
    <row r="325" spans="1:17">
      <c r="A325" s="52" t="str">
        <f t="shared" si="17"/>
        <v>-</v>
      </c>
      <c r="B325" s="35"/>
      <c r="C325" s="35"/>
      <c r="D325" s="35"/>
      <c r="E325" s="39"/>
      <c r="F325" s="37"/>
      <c r="G325" s="43"/>
      <c r="H325" s="43"/>
      <c r="I325" s="43"/>
      <c r="J325" s="40"/>
      <c r="K325" s="38"/>
      <c r="L325" s="36"/>
      <c r="M325" s="41"/>
      <c r="N325" s="41" t="str">
        <f t="shared" si="16"/>
        <v/>
      </c>
      <c r="O325" s="42"/>
      <c r="P325" s="61" t="str">
        <f t="shared" si="15"/>
        <v>-</v>
      </c>
      <c r="Q325" s="28" t="e">
        <f>#REF!</f>
        <v>#REF!</v>
      </c>
    </row>
    <row r="326" spans="1:17">
      <c r="A326" s="52" t="str">
        <f t="shared" si="17"/>
        <v>-</v>
      </c>
      <c r="B326" s="35"/>
      <c r="C326" s="35"/>
      <c r="D326" s="35"/>
      <c r="E326" s="39"/>
      <c r="F326" s="37"/>
      <c r="G326" s="43"/>
      <c r="H326" s="43"/>
      <c r="I326" s="43"/>
      <c r="J326" s="40"/>
      <c r="K326" s="38"/>
      <c r="L326" s="36"/>
      <c r="M326" s="41"/>
      <c r="N326" s="41" t="str">
        <f t="shared" si="16"/>
        <v/>
      </c>
      <c r="O326" s="42"/>
      <c r="P326" s="61" t="str">
        <f t="shared" si="15"/>
        <v>-</v>
      </c>
      <c r="Q326" s="28" t="e">
        <f>#REF!</f>
        <v>#REF!</v>
      </c>
    </row>
    <row r="327" spans="1:17">
      <c r="A327" s="52" t="str">
        <f t="shared" si="17"/>
        <v>-</v>
      </c>
      <c r="B327" s="35"/>
      <c r="C327" s="35"/>
      <c r="D327" s="35"/>
      <c r="E327" s="39"/>
      <c r="F327" s="37"/>
      <c r="G327" s="43"/>
      <c r="H327" s="43"/>
      <c r="I327" s="43"/>
      <c r="J327" s="40"/>
      <c r="K327" s="38"/>
      <c r="L327" s="36"/>
      <c r="M327" s="41"/>
      <c r="N327" s="41" t="str">
        <f t="shared" si="16"/>
        <v/>
      </c>
      <c r="O327" s="42"/>
      <c r="P327" s="61" t="str">
        <f t="shared" si="15"/>
        <v>-</v>
      </c>
      <c r="Q327" s="28" t="e">
        <f>#REF!</f>
        <v>#REF!</v>
      </c>
    </row>
    <row r="328" spans="1:17">
      <c r="A328" s="52" t="str">
        <f t="shared" si="17"/>
        <v>-</v>
      </c>
      <c r="B328" s="35"/>
      <c r="C328" s="35"/>
      <c r="D328" s="35"/>
      <c r="E328" s="39"/>
      <c r="F328" s="37"/>
      <c r="G328" s="43"/>
      <c r="H328" s="43"/>
      <c r="I328" s="43"/>
      <c r="J328" s="40"/>
      <c r="K328" s="38"/>
      <c r="L328" s="36"/>
      <c r="M328" s="41"/>
      <c r="N328" s="41" t="str">
        <f t="shared" si="16"/>
        <v/>
      </c>
      <c r="O328" s="42"/>
      <c r="P328" s="61" t="str">
        <f t="shared" si="15"/>
        <v>-</v>
      </c>
      <c r="Q328" s="28" t="e">
        <f>#REF!</f>
        <v>#REF!</v>
      </c>
    </row>
    <row r="329" spans="1:17">
      <c r="A329" s="52" t="str">
        <f t="shared" si="17"/>
        <v>-</v>
      </c>
      <c r="B329" s="35"/>
      <c r="C329" s="35"/>
      <c r="D329" s="35"/>
      <c r="E329" s="39"/>
      <c r="F329" s="37"/>
      <c r="G329" s="43"/>
      <c r="H329" s="43"/>
      <c r="I329" s="43"/>
      <c r="J329" s="40"/>
      <c r="K329" s="38"/>
      <c r="L329" s="36"/>
      <c r="M329" s="41"/>
      <c r="N329" s="41" t="str">
        <f t="shared" si="16"/>
        <v/>
      </c>
      <c r="O329" s="42"/>
      <c r="P329" s="61" t="str">
        <f t="shared" si="15"/>
        <v>-</v>
      </c>
      <c r="Q329" s="28" t="e">
        <f>#REF!</f>
        <v>#REF!</v>
      </c>
    </row>
    <row r="330" spans="1:17">
      <c r="A330" s="52" t="str">
        <f t="shared" si="17"/>
        <v>-</v>
      </c>
      <c r="B330" s="35"/>
      <c r="C330" s="35"/>
      <c r="D330" s="35"/>
      <c r="E330" s="39"/>
      <c r="F330" s="37"/>
      <c r="G330" s="43"/>
      <c r="H330" s="43"/>
      <c r="I330" s="43"/>
      <c r="J330" s="40"/>
      <c r="K330" s="38"/>
      <c r="L330" s="36"/>
      <c r="M330" s="41"/>
      <c r="N330" s="41" t="str">
        <f t="shared" si="16"/>
        <v/>
      </c>
      <c r="O330" s="42"/>
      <c r="P330" s="61" t="str">
        <f t="shared" si="15"/>
        <v>-</v>
      </c>
      <c r="Q330" s="28" t="e">
        <f>#REF!</f>
        <v>#REF!</v>
      </c>
    </row>
    <row r="331" spans="1:17">
      <c r="A331" s="52" t="str">
        <f t="shared" si="17"/>
        <v>-</v>
      </c>
      <c r="B331" s="35"/>
      <c r="C331" s="35"/>
      <c r="D331" s="35"/>
      <c r="E331" s="39"/>
      <c r="F331" s="37"/>
      <c r="G331" s="43"/>
      <c r="H331" s="43"/>
      <c r="I331" s="43"/>
      <c r="J331" s="40"/>
      <c r="K331" s="38"/>
      <c r="L331" s="36"/>
      <c r="M331" s="41"/>
      <c r="N331" s="41" t="str">
        <f t="shared" si="16"/>
        <v/>
      </c>
      <c r="O331" s="42"/>
      <c r="P331" s="61" t="str">
        <f t="shared" si="15"/>
        <v>-</v>
      </c>
      <c r="Q331" s="28" t="e">
        <f>#REF!</f>
        <v>#REF!</v>
      </c>
    </row>
    <row r="332" spans="1:17">
      <c r="A332" s="52" t="str">
        <f t="shared" si="17"/>
        <v>-</v>
      </c>
      <c r="B332" s="35"/>
      <c r="C332" s="35"/>
      <c r="D332" s="35"/>
      <c r="E332" s="39"/>
      <c r="F332" s="37"/>
      <c r="G332" s="43"/>
      <c r="H332" s="43"/>
      <c r="I332" s="43"/>
      <c r="J332" s="40"/>
      <c r="K332" s="38"/>
      <c r="L332" s="36"/>
      <c r="M332" s="41"/>
      <c r="N332" s="41" t="str">
        <f t="shared" si="16"/>
        <v/>
      </c>
      <c r="O332" s="42"/>
      <c r="P332" s="61" t="str">
        <f t="shared" si="15"/>
        <v>-</v>
      </c>
      <c r="Q332" s="28" t="e">
        <f>#REF!</f>
        <v>#REF!</v>
      </c>
    </row>
    <row r="333" spans="1:17">
      <c r="A333" s="52" t="str">
        <f t="shared" si="17"/>
        <v>-</v>
      </c>
      <c r="B333" s="35"/>
      <c r="C333" s="35"/>
      <c r="D333" s="35"/>
      <c r="E333" s="39"/>
      <c r="F333" s="37"/>
      <c r="G333" s="43"/>
      <c r="H333" s="43"/>
      <c r="I333" s="43"/>
      <c r="J333" s="40"/>
      <c r="K333" s="38"/>
      <c r="L333" s="36"/>
      <c r="M333" s="41"/>
      <c r="N333" s="41" t="str">
        <f t="shared" si="16"/>
        <v/>
      </c>
      <c r="O333" s="42"/>
      <c r="P333" s="61" t="str">
        <f t="shared" si="15"/>
        <v>-</v>
      </c>
      <c r="Q333" s="28" t="e">
        <f>#REF!</f>
        <v>#REF!</v>
      </c>
    </row>
    <row r="334" spans="1:17">
      <c r="A334" s="52" t="str">
        <f t="shared" si="17"/>
        <v>-</v>
      </c>
      <c r="B334" s="35"/>
      <c r="C334" s="35"/>
      <c r="D334" s="35"/>
      <c r="E334" s="39"/>
      <c r="F334" s="37"/>
      <c r="G334" s="43"/>
      <c r="H334" s="43"/>
      <c r="I334" s="43"/>
      <c r="J334" s="40"/>
      <c r="K334" s="38"/>
      <c r="L334" s="36"/>
      <c r="M334" s="41"/>
      <c r="N334" s="41" t="str">
        <f t="shared" si="16"/>
        <v/>
      </c>
      <c r="O334" s="42"/>
      <c r="P334" s="61" t="str">
        <f t="shared" si="15"/>
        <v>-</v>
      </c>
      <c r="Q334" s="28" t="e">
        <f>#REF!</f>
        <v>#REF!</v>
      </c>
    </row>
    <row r="335" spans="1:17">
      <c r="A335" s="52" t="str">
        <f t="shared" si="17"/>
        <v>-</v>
      </c>
      <c r="B335" s="35"/>
      <c r="C335" s="35"/>
      <c r="D335" s="35"/>
      <c r="E335" s="39"/>
      <c r="F335" s="37"/>
      <c r="G335" s="43"/>
      <c r="H335" s="43"/>
      <c r="I335" s="43"/>
      <c r="J335" s="40"/>
      <c r="K335" s="38"/>
      <c r="L335" s="36"/>
      <c r="M335" s="41"/>
      <c r="N335" s="41" t="str">
        <f t="shared" si="16"/>
        <v/>
      </c>
      <c r="O335" s="42"/>
      <c r="P335" s="61" t="str">
        <f t="shared" ref="P335:P398" si="18">A335</f>
        <v>-</v>
      </c>
      <c r="Q335" s="28" t="e">
        <f>#REF!</f>
        <v>#REF!</v>
      </c>
    </row>
    <row r="336" spans="1:17">
      <c r="A336" s="52" t="str">
        <f t="shared" si="17"/>
        <v>-</v>
      </c>
      <c r="B336" s="35"/>
      <c r="C336" s="35"/>
      <c r="D336" s="35"/>
      <c r="E336" s="39"/>
      <c r="F336" s="37"/>
      <c r="G336" s="43"/>
      <c r="H336" s="43"/>
      <c r="I336" s="43"/>
      <c r="J336" s="40"/>
      <c r="K336" s="38"/>
      <c r="L336" s="36"/>
      <c r="M336" s="41"/>
      <c r="N336" s="41" t="str">
        <f t="shared" si="16"/>
        <v/>
      </c>
      <c r="O336" s="42"/>
      <c r="P336" s="61" t="str">
        <f t="shared" si="18"/>
        <v>-</v>
      </c>
      <c r="Q336" s="28" t="e">
        <f>#REF!</f>
        <v>#REF!</v>
      </c>
    </row>
    <row r="337" spans="1:17">
      <c r="A337" s="52" t="str">
        <f t="shared" si="17"/>
        <v>-</v>
      </c>
      <c r="B337" s="35"/>
      <c r="C337" s="35"/>
      <c r="D337" s="35"/>
      <c r="E337" s="39"/>
      <c r="F337" s="37"/>
      <c r="G337" s="43"/>
      <c r="H337" s="43"/>
      <c r="I337" s="43"/>
      <c r="J337" s="40"/>
      <c r="K337" s="38"/>
      <c r="L337" s="36"/>
      <c r="M337" s="41"/>
      <c r="N337" s="41" t="str">
        <f t="shared" si="16"/>
        <v/>
      </c>
      <c r="O337" s="42"/>
      <c r="P337" s="61" t="str">
        <f t="shared" si="18"/>
        <v>-</v>
      </c>
      <c r="Q337" s="28" t="e">
        <f>#REF!</f>
        <v>#REF!</v>
      </c>
    </row>
    <row r="338" spans="1:17">
      <c r="A338" s="52" t="str">
        <f t="shared" si="17"/>
        <v>-</v>
      </c>
      <c r="B338" s="35"/>
      <c r="C338" s="35"/>
      <c r="D338" s="35"/>
      <c r="E338" s="39"/>
      <c r="F338" s="37"/>
      <c r="G338" s="43"/>
      <c r="H338" s="43"/>
      <c r="I338" s="43"/>
      <c r="J338" s="40"/>
      <c r="K338" s="38"/>
      <c r="L338" s="36"/>
      <c r="M338" s="41"/>
      <c r="N338" s="41" t="str">
        <f t="shared" si="16"/>
        <v/>
      </c>
      <c r="O338" s="42"/>
      <c r="P338" s="61" t="str">
        <f t="shared" si="18"/>
        <v>-</v>
      </c>
      <c r="Q338" s="28" t="e">
        <f>#REF!</f>
        <v>#REF!</v>
      </c>
    </row>
    <row r="339" spans="1:17">
      <c r="A339" s="52" t="str">
        <f t="shared" si="17"/>
        <v>-</v>
      </c>
      <c r="B339" s="35"/>
      <c r="C339" s="35"/>
      <c r="D339" s="35"/>
      <c r="E339" s="39"/>
      <c r="F339" s="37"/>
      <c r="G339" s="43"/>
      <c r="H339" s="43"/>
      <c r="I339" s="43"/>
      <c r="J339" s="40"/>
      <c r="K339" s="38"/>
      <c r="L339" s="36"/>
      <c r="M339" s="41"/>
      <c r="N339" s="41" t="str">
        <f t="shared" si="16"/>
        <v/>
      </c>
      <c r="O339" s="42"/>
      <c r="P339" s="61" t="str">
        <f t="shared" si="18"/>
        <v>-</v>
      </c>
      <c r="Q339" s="28" t="e">
        <f>#REF!</f>
        <v>#REF!</v>
      </c>
    </row>
    <row r="340" spans="1:17">
      <c r="A340" s="52" t="str">
        <f t="shared" si="17"/>
        <v>-</v>
      </c>
      <c r="B340" s="35"/>
      <c r="C340" s="35"/>
      <c r="D340" s="35"/>
      <c r="E340" s="39"/>
      <c r="F340" s="37"/>
      <c r="G340" s="43"/>
      <c r="H340" s="43"/>
      <c r="I340" s="43"/>
      <c r="J340" s="40"/>
      <c r="K340" s="38"/>
      <c r="L340" s="36"/>
      <c r="M340" s="41"/>
      <c r="N340" s="41" t="str">
        <f t="shared" si="16"/>
        <v/>
      </c>
      <c r="O340" s="42"/>
      <c r="P340" s="61" t="str">
        <f t="shared" si="18"/>
        <v>-</v>
      </c>
      <c r="Q340" s="28" t="e">
        <f>#REF!</f>
        <v>#REF!</v>
      </c>
    </row>
    <row r="341" spans="1:17">
      <c r="A341" s="52" t="str">
        <f t="shared" si="17"/>
        <v>-</v>
      </c>
      <c r="B341" s="35"/>
      <c r="C341" s="35"/>
      <c r="D341" s="35"/>
      <c r="E341" s="39"/>
      <c r="F341" s="37"/>
      <c r="G341" s="43"/>
      <c r="H341" s="43"/>
      <c r="I341" s="43"/>
      <c r="J341" s="40"/>
      <c r="K341" s="38"/>
      <c r="L341" s="36"/>
      <c r="M341" s="41"/>
      <c r="N341" s="41" t="str">
        <f t="shared" si="16"/>
        <v/>
      </c>
      <c r="O341" s="42"/>
      <c r="P341" s="61" t="str">
        <f t="shared" si="18"/>
        <v>-</v>
      </c>
      <c r="Q341" s="28" t="e">
        <f>#REF!</f>
        <v>#REF!</v>
      </c>
    </row>
    <row r="342" spans="1:17">
      <c r="A342" s="52" t="str">
        <f t="shared" si="17"/>
        <v>-</v>
      </c>
      <c r="B342" s="35"/>
      <c r="C342" s="35"/>
      <c r="D342" s="35"/>
      <c r="E342" s="39"/>
      <c r="F342" s="37"/>
      <c r="G342" s="43"/>
      <c r="H342" s="43"/>
      <c r="I342" s="43"/>
      <c r="J342" s="40"/>
      <c r="K342" s="38"/>
      <c r="L342" s="36"/>
      <c r="M342" s="41"/>
      <c r="N342" s="41" t="str">
        <f t="shared" ref="N342:N405" si="19">IF(L342&lt;&gt;"",EDATE(M342,L342),"")</f>
        <v/>
      </c>
      <c r="O342" s="42"/>
      <c r="P342" s="61" t="str">
        <f t="shared" si="18"/>
        <v>-</v>
      </c>
      <c r="Q342" s="28" t="e">
        <f>#REF!</f>
        <v>#REF!</v>
      </c>
    </row>
    <row r="343" spans="1:17">
      <c r="A343" s="52" t="str">
        <f t="shared" si="17"/>
        <v>-</v>
      </c>
      <c r="B343" s="35"/>
      <c r="C343" s="35"/>
      <c r="D343" s="35"/>
      <c r="E343" s="39"/>
      <c r="F343" s="37"/>
      <c r="G343" s="43"/>
      <c r="H343" s="43"/>
      <c r="I343" s="43"/>
      <c r="J343" s="40"/>
      <c r="K343" s="38"/>
      <c r="L343" s="36"/>
      <c r="M343" s="41"/>
      <c r="N343" s="41" t="str">
        <f t="shared" si="19"/>
        <v/>
      </c>
      <c r="O343" s="42"/>
      <c r="P343" s="61" t="str">
        <f t="shared" si="18"/>
        <v>-</v>
      </c>
      <c r="Q343" s="28" t="e">
        <f>#REF!</f>
        <v>#REF!</v>
      </c>
    </row>
    <row r="344" spans="1:17">
      <c r="A344" s="52" t="str">
        <f t="shared" si="17"/>
        <v>-</v>
      </c>
      <c r="B344" s="35"/>
      <c r="C344" s="35"/>
      <c r="D344" s="35"/>
      <c r="E344" s="39"/>
      <c r="F344" s="37"/>
      <c r="G344" s="43"/>
      <c r="H344" s="43"/>
      <c r="I344" s="43"/>
      <c r="J344" s="40"/>
      <c r="K344" s="38"/>
      <c r="L344" s="36"/>
      <c r="M344" s="41"/>
      <c r="N344" s="41" t="str">
        <f t="shared" si="19"/>
        <v/>
      </c>
      <c r="O344" s="42"/>
      <c r="P344" s="61" t="str">
        <f t="shared" si="18"/>
        <v>-</v>
      </c>
      <c r="Q344" s="28" t="e">
        <f>#REF!</f>
        <v>#REF!</v>
      </c>
    </row>
    <row r="345" spans="1:17">
      <c r="A345" s="52" t="str">
        <f t="shared" si="17"/>
        <v>-</v>
      </c>
      <c r="B345" s="35"/>
      <c r="C345" s="35"/>
      <c r="D345" s="35"/>
      <c r="E345" s="39"/>
      <c r="F345" s="37"/>
      <c r="G345" s="43"/>
      <c r="H345" s="43"/>
      <c r="I345" s="43"/>
      <c r="J345" s="40"/>
      <c r="K345" s="38"/>
      <c r="L345" s="36"/>
      <c r="M345" s="41"/>
      <c r="N345" s="41" t="str">
        <f t="shared" si="19"/>
        <v/>
      </c>
      <c r="O345" s="42"/>
      <c r="P345" s="61" t="str">
        <f t="shared" si="18"/>
        <v>-</v>
      </c>
      <c r="Q345" s="28" t="e">
        <f>#REF!</f>
        <v>#REF!</v>
      </c>
    </row>
    <row r="346" spans="1:17">
      <c r="A346" s="52" t="str">
        <f t="shared" si="17"/>
        <v>-</v>
      </c>
      <c r="B346" s="35"/>
      <c r="C346" s="35"/>
      <c r="D346" s="35"/>
      <c r="E346" s="39"/>
      <c r="F346" s="37"/>
      <c r="G346" s="43"/>
      <c r="H346" s="43"/>
      <c r="I346" s="43"/>
      <c r="J346" s="40"/>
      <c r="K346" s="38"/>
      <c r="L346" s="36"/>
      <c r="M346" s="41"/>
      <c r="N346" s="41" t="str">
        <f t="shared" si="19"/>
        <v/>
      </c>
      <c r="O346" s="42"/>
      <c r="P346" s="61" t="str">
        <f t="shared" si="18"/>
        <v>-</v>
      </c>
      <c r="Q346" s="28" t="e">
        <f>#REF!</f>
        <v>#REF!</v>
      </c>
    </row>
    <row r="347" spans="1:17">
      <c r="A347" s="52" t="str">
        <f t="shared" si="17"/>
        <v>-</v>
      </c>
      <c r="B347" s="35"/>
      <c r="C347" s="35"/>
      <c r="D347" s="35"/>
      <c r="E347" s="39"/>
      <c r="F347" s="37"/>
      <c r="G347" s="43"/>
      <c r="H347" s="43"/>
      <c r="I347" s="43"/>
      <c r="J347" s="40"/>
      <c r="K347" s="38"/>
      <c r="L347" s="36"/>
      <c r="M347" s="41"/>
      <c r="N347" s="41" t="str">
        <f t="shared" si="19"/>
        <v/>
      </c>
      <c r="O347" s="42"/>
      <c r="P347" s="61" t="str">
        <f t="shared" si="18"/>
        <v>-</v>
      </c>
      <c r="Q347" s="28" t="e">
        <f>#REF!</f>
        <v>#REF!</v>
      </c>
    </row>
    <row r="348" spans="1:17">
      <c r="A348" s="52" t="str">
        <f t="shared" si="17"/>
        <v>-</v>
      </c>
      <c r="B348" s="35"/>
      <c r="C348" s="35"/>
      <c r="D348" s="35"/>
      <c r="E348" s="39"/>
      <c r="F348" s="37"/>
      <c r="G348" s="43"/>
      <c r="H348" s="43"/>
      <c r="I348" s="43"/>
      <c r="J348" s="40"/>
      <c r="K348" s="38"/>
      <c r="L348" s="36"/>
      <c r="M348" s="41"/>
      <c r="N348" s="41" t="str">
        <f t="shared" si="19"/>
        <v/>
      </c>
      <c r="O348" s="42"/>
      <c r="P348" s="61" t="str">
        <f t="shared" si="18"/>
        <v>-</v>
      </c>
      <c r="Q348" s="28" t="e">
        <f>#REF!</f>
        <v>#REF!</v>
      </c>
    </row>
    <row r="349" spans="1:17">
      <c r="A349" s="52" t="str">
        <f t="shared" si="17"/>
        <v>-</v>
      </c>
      <c r="B349" s="35"/>
      <c r="C349" s="35"/>
      <c r="D349" s="35"/>
      <c r="E349" s="39"/>
      <c r="F349" s="37"/>
      <c r="G349" s="43"/>
      <c r="H349" s="43"/>
      <c r="I349" s="43"/>
      <c r="J349" s="40"/>
      <c r="K349" s="38"/>
      <c r="L349" s="36"/>
      <c r="M349" s="41"/>
      <c r="N349" s="41" t="str">
        <f t="shared" si="19"/>
        <v/>
      </c>
      <c r="O349" s="42"/>
      <c r="P349" s="61" t="str">
        <f t="shared" si="18"/>
        <v>-</v>
      </c>
      <c r="Q349" s="28" t="e">
        <f>#REF!</f>
        <v>#REF!</v>
      </c>
    </row>
    <row r="350" spans="1:17">
      <c r="A350" s="52" t="str">
        <f t="shared" si="17"/>
        <v>-</v>
      </c>
      <c r="B350" s="35"/>
      <c r="C350" s="35"/>
      <c r="D350" s="35"/>
      <c r="E350" s="39"/>
      <c r="F350" s="37"/>
      <c r="G350" s="43"/>
      <c r="H350" s="43"/>
      <c r="I350" s="43"/>
      <c r="J350" s="40"/>
      <c r="K350" s="38"/>
      <c r="L350" s="36"/>
      <c r="M350" s="41"/>
      <c r="N350" s="41" t="str">
        <f t="shared" si="19"/>
        <v/>
      </c>
      <c r="O350" s="42"/>
      <c r="P350" s="61" t="str">
        <f t="shared" si="18"/>
        <v>-</v>
      </c>
      <c r="Q350" s="28" t="e">
        <f>#REF!</f>
        <v>#REF!</v>
      </c>
    </row>
    <row r="351" spans="1:17">
      <c r="A351" s="52" t="str">
        <f t="shared" si="17"/>
        <v>-</v>
      </c>
      <c r="B351" s="35"/>
      <c r="C351" s="35"/>
      <c r="D351" s="35"/>
      <c r="E351" s="39"/>
      <c r="F351" s="37"/>
      <c r="G351" s="43"/>
      <c r="H351" s="43"/>
      <c r="I351" s="43"/>
      <c r="J351" s="40"/>
      <c r="K351" s="38"/>
      <c r="L351" s="36"/>
      <c r="M351" s="41"/>
      <c r="N351" s="41" t="str">
        <f t="shared" si="19"/>
        <v/>
      </c>
      <c r="O351" s="42"/>
      <c r="P351" s="61" t="str">
        <f t="shared" si="18"/>
        <v>-</v>
      </c>
      <c r="Q351" s="28" t="e">
        <f>#REF!</f>
        <v>#REF!</v>
      </c>
    </row>
    <row r="352" spans="1:17">
      <c r="A352" s="52" t="str">
        <f t="shared" si="17"/>
        <v>-</v>
      </c>
      <c r="B352" s="35"/>
      <c r="C352" s="35"/>
      <c r="D352" s="35"/>
      <c r="E352" s="39"/>
      <c r="F352" s="37"/>
      <c r="G352" s="43"/>
      <c r="H352" s="43"/>
      <c r="I352" s="43"/>
      <c r="J352" s="40"/>
      <c r="K352" s="38"/>
      <c r="L352" s="36"/>
      <c r="M352" s="41"/>
      <c r="N352" s="41" t="str">
        <f t="shared" si="19"/>
        <v/>
      </c>
      <c r="O352" s="42"/>
      <c r="P352" s="61" t="str">
        <f t="shared" si="18"/>
        <v>-</v>
      </c>
      <c r="Q352" s="28" t="e">
        <f>#REF!</f>
        <v>#REF!</v>
      </c>
    </row>
    <row r="353" spans="1:17">
      <c r="A353" s="52" t="str">
        <f t="shared" si="17"/>
        <v>-</v>
      </c>
      <c r="B353" s="35"/>
      <c r="C353" s="35"/>
      <c r="D353" s="35"/>
      <c r="E353" s="39"/>
      <c r="F353" s="37"/>
      <c r="G353" s="43"/>
      <c r="H353" s="43"/>
      <c r="I353" s="43"/>
      <c r="J353" s="40"/>
      <c r="K353" s="38"/>
      <c r="L353" s="36"/>
      <c r="M353" s="41"/>
      <c r="N353" s="41" t="str">
        <f t="shared" si="19"/>
        <v/>
      </c>
      <c r="O353" s="42"/>
      <c r="P353" s="61" t="str">
        <f t="shared" si="18"/>
        <v>-</v>
      </c>
      <c r="Q353" s="28" t="e">
        <f>#REF!</f>
        <v>#REF!</v>
      </c>
    </row>
    <row r="354" spans="1:17">
      <c r="A354" s="52" t="str">
        <f t="shared" si="17"/>
        <v>-</v>
      </c>
      <c r="B354" s="35"/>
      <c r="C354" s="35"/>
      <c r="D354" s="35"/>
      <c r="E354" s="39"/>
      <c r="F354" s="37"/>
      <c r="G354" s="43"/>
      <c r="H354" s="43"/>
      <c r="I354" s="43"/>
      <c r="J354" s="40"/>
      <c r="K354" s="38"/>
      <c r="L354" s="36"/>
      <c r="M354" s="41"/>
      <c r="N354" s="41" t="str">
        <f t="shared" si="19"/>
        <v/>
      </c>
      <c r="O354" s="42"/>
      <c r="P354" s="61" t="str">
        <f t="shared" si="18"/>
        <v>-</v>
      </c>
      <c r="Q354" s="28" t="e">
        <f>#REF!</f>
        <v>#REF!</v>
      </c>
    </row>
    <row r="355" spans="1:17">
      <c r="A355" s="52" t="str">
        <f t="shared" si="17"/>
        <v>-</v>
      </c>
      <c r="B355" s="35"/>
      <c r="C355" s="35"/>
      <c r="D355" s="35"/>
      <c r="E355" s="39"/>
      <c r="F355" s="37"/>
      <c r="G355" s="43"/>
      <c r="H355" s="43"/>
      <c r="I355" s="43"/>
      <c r="J355" s="40"/>
      <c r="K355" s="38"/>
      <c r="L355" s="36"/>
      <c r="M355" s="41"/>
      <c r="N355" s="41" t="str">
        <f t="shared" si="19"/>
        <v/>
      </c>
      <c r="O355" s="42"/>
      <c r="P355" s="61" t="str">
        <f t="shared" si="18"/>
        <v>-</v>
      </c>
      <c r="Q355" s="28" t="e">
        <f>#REF!</f>
        <v>#REF!</v>
      </c>
    </row>
    <row r="356" spans="1:17">
      <c r="A356" s="52" t="str">
        <f t="shared" si="17"/>
        <v>-</v>
      </c>
      <c r="B356" s="35"/>
      <c r="C356" s="35"/>
      <c r="D356" s="35"/>
      <c r="E356" s="39"/>
      <c r="F356" s="37"/>
      <c r="G356" s="43"/>
      <c r="H356" s="43"/>
      <c r="I356" s="43"/>
      <c r="J356" s="40"/>
      <c r="K356" s="38"/>
      <c r="L356" s="36"/>
      <c r="M356" s="41"/>
      <c r="N356" s="41" t="str">
        <f t="shared" si="19"/>
        <v/>
      </c>
      <c r="O356" s="42"/>
      <c r="P356" s="61" t="str">
        <f t="shared" si="18"/>
        <v>-</v>
      </c>
      <c r="Q356" s="28" t="e">
        <f>#REF!</f>
        <v>#REF!</v>
      </c>
    </row>
    <row r="357" spans="1:17">
      <c r="A357" s="52" t="str">
        <f t="shared" si="17"/>
        <v>-</v>
      </c>
      <c r="B357" s="35"/>
      <c r="C357" s="35"/>
      <c r="D357" s="35"/>
      <c r="E357" s="39"/>
      <c r="F357" s="37"/>
      <c r="G357" s="43"/>
      <c r="H357" s="43"/>
      <c r="I357" s="43"/>
      <c r="J357" s="40"/>
      <c r="K357" s="38"/>
      <c r="L357" s="36"/>
      <c r="M357" s="41"/>
      <c r="N357" s="41" t="str">
        <f t="shared" si="19"/>
        <v/>
      </c>
      <c r="O357" s="42"/>
      <c r="P357" s="61" t="str">
        <f t="shared" si="18"/>
        <v>-</v>
      </c>
      <c r="Q357" s="28" t="e">
        <f>#REF!</f>
        <v>#REF!</v>
      </c>
    </row>
    <row r="358" spans="1:17">
      <c r="A358" s="52" t="str">
        <f t="shared" si="17"/>
        <v>-</v>
      </c>
      <c r="B358" s="35"/>
      <c r="C358" s="35"/>
      <c r="D358" s="35"/>
      <c r="E358" s="39"/>
      <c r="F358" s="37"/>
      <c r="G358" s="43"/>
      <c r="H358" s="43"/>
      <c r="I358" s="43"/>
      <c r="J358" s="40"/>
      <c r="K358" s="38"/>
      <c r="L358" s="36"/>
      <c r="M358" s="41"/>
      <c r="N358" s="41" t="str">
        <f t="shared" si="19"/>
        <v/>
      </c>
      <c r="O358" s="42"/>
      <c r="P358" s="61" t="str">
        <f t="shared" si="18"/>
        <v>-</v>
      </c>
      <c r="Q358" s="28" t="e">
        <f>#REF!</f>
        <v>#REF!</v>
      </c>
    </row>
    <row r="359" spans="1:17">
      <c r="A359" s="52" t="str">
        <f t="shared" si="17"/>
        <v>-</v>
      </c>
      <c r="B359" s="35"/>
      <c r="C359" s="35"/>
      <c r="D359" s="35"/>
      <c r="E359" s="39"/>
      <c r="F359" s="37"/>
      <c r="G359" s="43"/>
      <c r="H359" s="43"/>
      <c r="I359" s="43"/>
      <c r="J359" s="40"/>
      <c r="K359" s="38"/>
      <c r="L359" s="36"/>
      <c r="M359" s="41"/>
      <c r="N359" s="41" t="str">
        <f t="shared" si="19"/>
        <v/>
      </c>
      <c r="O359" s="42"/>
      <c r="P359" s="61" t="str">
        <f t="shared" si="18"/>
        <v>-</v>
      </c>
      <c r="Q359" s="28" t="e">
        <f>#REF!</f>
        <v>#REF!</v>
      </c>
    </row>
    <row r="360" spans="1:17">
      <c r="A360" s="52" t="str">
        <f t="shared" si="17"/>
        <v>-</v>
      </c>
      <c r="B360" s="35"/>
      <c r="C360" s="35"/>
      <c r="D360" s="35"/>
      <c r="E360" s="39"/>
      <c r="F360" s="37"/>
      <c r="G360" s="43"/>
      <c r="H360" s="43"/>
      <c r="I360" s="43"/>
      <c r="J360" s="40"/>
      <c r="K360" s="38"/>
      <c r="L360" s="36"/>
      <c r="M360" s="41"/>
      <c r="N360" s="41" t="str">
        <f t="shared" si="19"/>
        <v/>
      </c>
      <c r="O360" s="42"/>
      <c r="P360" s="61" t="str">
        <f t="shared" si="18"/>
        <v>-</v>
      </c>
      <c r="Q360" s="28" t="e">
        <f>#REF!</f>
        <v>#REF!</v>
      </c>
    </row>
    <row r="361" spans="1:17">
      <c r="A361" s="52" t="str">
        <f t="shared" si="17"/>
        <v>-</v>
      </c>
      <c r="B361" s="35"/>
      <c r="C361" s="35"/>
      <c r="D361" s="35"/>
      <c r="E361" s="39"/>
      <c r="F361" s="37"/>
      <c r="G361" s="43"/>
      <c r="H361" s="43"/>
      <c r="I361" s="43"/>
      <c r="J361" s="40"/>
      <c r="K361" s="38"/>
      <c r="L361" s="36"/>
      <c r="M361" s="41"/>
      <c r="N361" s="41" t="str">
        <f t="shared" si="19"/>
        <v/>
      </c>
      <c r="O361" s="42"/>
      <c r="P361" s="61" t="str">
        <f t="shared" si="18"/>
        <v>-</v>
      </c>
      <c r="Q361" s="28" t="e">
        <f>#REF!</f>
        <v>#REF!</v>
      </c>
    </row>
    <row r="362" spans="1:17">
      <c r="A362" s="52" t="str">
        <f t="shared" si="17"/>
        <v>-</v>
      </c>
      <c r="B362" s="35"/>
      <c r="C362" s="35"/>
      <c r="D362" s="35"/>
      <c r="E362" s="39"/>
      <c r="F362" s="37"/>
      <c r="G362" s="43"/>
      <c r="H362" s="43"/>
      <c r="I362" s="43"/>
      <c r="J362" s="40"/>
      <c r="K362" s="38"/>
      <c r="L362" s="36"/>
      <c r="M362" s="41"/>
      <c r="N362" s="41" t="str">
        <f t="shared" si="19"/>
        <v/>
      </c>
      <c r="O362" s="42"/>
      <c r="P362" s="61" t="str">
        <f t="shared" si="18"/>
        <v>-</v>
      </c>
      <c r="Q362" s="28" t="e">
        <f>#REF!</f>
        <v>#REF!</v>
      </c>
    </row>
    <row r="363" spans="1:17">
      <c r="A363" s="52" t="str">
        <f t="shared" si="17"/>
        <v>-</v>
      </c>
      <c r="B363" s="35"/>
      <c r="C363" s="35"/>
      <c r="D363" s="35"/>
      <c r="E363" s="39"/>
      <c r="F363" s="37"/>
      <c r="G363" s="43"/>
      <c r="H363" s="43"/>
      <c r="I363" s="43"/>
      <c r="J363" s="40"/>
      <c r="K363" s="38"/>
      <c r="L363" s="36"/>
      <c r="M363" s="41"/>
      <c r="N363" s="41" t="str">
        <f t="shared" si="19"/>
        <v/>
      </c>
      <c r="O363" s="42"/>
      <c r="P363" s="61" t="str">
        <f t="shared" si="18"/>
        <v>-</v>
      </c>
      <c r="Q363" s="28" t="e">
        <f>#REF!</f>
        <v>#REF!</v>
      </c>
    </row>
    <row r="364" spans="1:17">
      <c r="A364" s="52" t="str">
        <f t="shared" si="17"/>
        <v>-</v>
      </c>
      <c r="B364" s="35"/>
      <c r="C364" s="35"/>
      <c r="D364" s="35"/>
      <c r="E364" s="39"/>
      <c r="F364" s="37"/>
      <c r="G364" s="43"/>
      <c r="H364" s="43"/>
      <c r="I364" s="43"/>
      <c r="J364" s="40"/>
      <c r="K364" s="38"/>
      <c r="L364" s="36"/>
      <c r="M364" s="41"/>
      <c r="N364" s="41" t="str">
        <f t="shared" si="19"/>
        <v/>
      </c>
      <c r="O364" s="42"/>
      <c r="P364" s="61" t="str">
        <f t="shared" si="18"/>
        <v>-</v>
      </c>
      <c r="Q364" s="28" t="e">
        <f>#REF!</f>
        <v>#REF!</v>
      </c>
    </row>
    <row r="365" spans="1:17">
      <c r="A365" s="52" t="str">
        <f t="shared" si="17"/>
        <v>-</v>
      </c>
      <c r="B365" s="35"/>
      <c r="C365" s="35"/>
      <c r="D365" s="35"/>
      <c r="E365" s="39"/>
      <c r="F365" s="37"/>
      <c r="G365" s="43"/>
      <c r="H365" s="43"/>
      <c r="I365" s="43"/>
      <c r="J365" s="40"/>
      <c r="K365" s="38"/>
      <c r="L365" s="36"/>
      <c r="M365" s="41"/>
      <c r="N365" s="41" t="str">
        <f t="shared" si="19"/>
        <v/>
      </c>
      <c r="O365" s="42"/>
      <c r="P365" s="61" t="str">
        <f t="shared" si="18"/>
        <v>-</v>
      </c>
      <c r="Q365" s="28" t="e">
        <f>#REF!</f>
        <v>#REF!</v>
      </c>
    </row>
    <row r="366" spans="1:17">
      <c r="A366" s="52" t="str">
        <f t="shared" si="17"/>
        <v>-</v>
      </c>
      <c r="B366" s="35"/>
      <c r="C366" s="35"/>
      <c r="D366" s="35"/>
      <c r="E366" s="39"/>
      <c r="F366" s="37"/>
      <c r="G366" s="43"/>
      <c r="H366" s="43"/>
      <c r="I366" s="43"/>
      <c r="J366" s="40"/>
      <c r="K366" s="38"/>
      <c r="L366" s="36"/>
      <c r="M366" s="41"/>
      <c r="N366" s="41" t="str">
        <f t="shared" si="19"/>
        <v/>
      </c>
      <c r="O366" s="42"/>
      <c r="P366" s="61" t="str">
        <f t="shared" si="18"/>
        <v>-</v>
      </c>
      <c r="Q366" s="28" t="e">
        <f>#REF!</f>
        <v>#REF!</v>
      </c>
    </row>
    <row r="367" spans="1:17">
      <c r="A367" s="52" t="str">
        <f t="shared" ref="A367:A430" si="20">CONCATENATE(B367,"-",C367)</f>
        <v>-</v>
      </c>
      <c r="B367" s="35"/>
      <c r="C367" s="35"/>
      <c r="D367" s="35"/>
      <c r="E367" s="39"/>
      <c r="F367" s="37"/>
      <c r="G367" s="43"/>
      <c r="H367" s="43"/>
      <c r="I367" s="43"/>
      <c r="J367" s="40"/>
      <c r="K367" s="38"/>
      <c r="L367" s="36"/>
      <c r="M367" s="41"/>
      <c r="N367" s="41" t="str">
        <f t="shared" si="19"/>
        <v/>
      </c>
      <c r="O367" s="42"/>
      <c r="P367" s="61" t="str">
        <f t="shared" si="18"/>
        <v>-</v>
      </c>
      <c r="Q367" s="28" t="e">
        <f>#REF!</f>
        <v>#REF!</v>
      </c>
    </row>
    <row r="368" spans="1:17">
      <c r="A368" s="52" t="str">
        <f t="shared" si="20"/>
        <v>-</v>
      </c>
      <c r="B368" s="35"/>
      <c r="C368" s="35"/>
      <c r="D368" s="35"/>
      <c r="E368" s="39"/>
      <c r="F368" s="37"/>
      <c r="G368" s="43"/>
      <c r="H368" s="43"/>
      <c r="I368" s="43"/>
      <c r="J368" s="40"/>
      <c r="K368" s="38"/>
      <c r="L368" s="36"/>
      <c r="M368" s="41"/>
      <c r="N368" s="41" t="str">
        <f t="shared" si="19"/>
        <v/>
      </c>
      <c r="O368" s="42"/>
      <c r="P368" s="61" t="str">
        <f t="shared" si="18"/>
        <v>-</v>
      </c>
      <c r="Q368" s="28" t="e">
        <f>#REF!</f>
        <v>#REF!</v>
      </c>
    </row>
    <row r="369" spans="1:17">
      <c r="A369" s="52" t="str">
        <f t="shared" si="20"/>
        <v>-</v>
      </c>
      <c r="B369" s="35"/>
      <c r="C369" s="35"/>
      <c r="D369" s="35"/>
      <c r="E369" s="39"/>
      <c r="F369" s="37"/>
      <c r="G369" s="43"/>
      <c r="H369" s="43"/>
      <c r="I369" s="43"/>
      <c r="J369" s="40"/>
      <c r="K369" s="38"/>
      <c r="L369" s="36"/>
      <c r="M369" s="41"/>
      <c r="N369" s="41" t="str">
        <f t="shared" si="19"/>
        <v/>
      </c>
      <c r="O369" s="42"/>
      <c r="P369" s="61" t="str">
        <f t="shared" si="18"/>
        <v>-</v>
      </c>
      <c r="Q369" s="28" t="e">
        <f>#REF!</f>
        <v>#REF!</v>
      </c>
    </row>
    <row r="370" spans="1:17">
      <c r="A370" s="52" t="str">
        <f t="shared" si="20"/>
        <v>-</v>
      </c>
      <c r="B370" s="35"/>
      <c r="C370" s="35"/>
      <c r="D370" s="35"/>
      <c r="E370" s="39"/>
      <c r="F370" s="37"/>
      <c r="G370" s="43"/>
      <c r="H370" s="43"/>
      <c r="I370" s="43"/>
      <c r="J370" s="40"/>
      <c r="K370" s="38"/>
      <c r="L370" s="36"/>
      <c r="M370" s="41"/>
      <c r="N370" s="41" t="str">
        <f t="shared" si="19"/>
        <v/>
      </c>
      <c r="O370" s="42"/>
      <c r="P370" s="61" t="str">
        <f t="shared" si="18"/>
        <v>-</v>
      </c>
      <c r="Q370" s="28" t="e">
        <f>#REF!</f>
        <v>#REF!</v>
      </c>
    </row>
    <row r="371" spans="1:17">
      <c r="A371" s="52" t="str">
        <f t="shared" si="20"/>
        <v>-</v>
      </c>
      <c r="B371" s="35"/>
      <c r="C371" s="35"/>
      <c r="D371" s="35"/>
      <c r="E371" s="39"/>
      <c r="F371" s="37"/>
      <c r="G371" s="43"/>
      <c r="H371" s="43"/>
      <c r="I371" s="43"/>
      <c r="J371" s="40"/>
      <c r="K371" s="38"/>
      <c r="L371" s="36"/>
      <c r="M371" s="41"/>
      <c r="N371" s="41" t="str">
        <f t="shared" si="19"/>
        <v/>
      </c>
      <c r="O371" s="42"/>
      <c r="P371" s="61" t="str">
        <f t="shared" si="18"/>
        <v>-</v>
      </c>
      <c r="Q371" s="28" t="e">
        <f>#REF!</f>
        <v>#REF!</v>
      </c>
    </row>
    <row r="372" spans="1:17">
      <c r="A372" s="52" t="str">
        <f t="shared" si="20"/>
        <v>-</v>
      </c>
      <c r="B372" s="35"/>
      <c r="C372" s="35"/>
      <c r="D372" s="35"/>
      <c r="E372" s="39"/>
      <c r="F372" s="37"/>
      <c r="G372" s="43"/>
      <c r="H372" s="43"/>
      <c r="I372" s="43"/>
      <c r="J372" s="40"/>
      <c r="K372" s="38"/>
      <c r="L372" s="36"/>
      <c r="M372" s="41"/>
      <c r="N372" s="41" t="str">
        <f t="shared" si="19"/>
        <v/>
      </c>
      <c r="O372" s="42"/>
      <c r="P372" s="61" t="str">
        <f t="shared" si="18"/>
        <v>-</v>
      </c>
      <c r="Q372" s="28" t="e">
        <f>#REF!</f>
        <v>#REF!</v>
      </c>
    </row>
    <row r="373" spans="1:17">
      <c r="A373" s="52" t="str">
        <f t="shared" si="20"/>
        <v>-</v>
      </c>
      <c r="B373" s="35"/>
      <c r="C373" s="35"/>
      <c r="D373" s="35"/>
      <c r="E373" s="39"/>
      <c r="F373" s="37"/>
      <c r="G373" s="43"/>
      <c r="H373" s="43"/>
      <c r="I373" s="43"/>
      <c r="J373" s="40"/>
      <c r="K373" s="38"/>
      <c r="L373" s="36"/>
      <c r="M373" s="41"/>
      <c r="N373" s="41" t="str">
        <f t="shared" si="19"/>
        <v/>
      </c>
      <c r="O373" s="42"/>
      <c r="P373" s="61" t="str">
        <f t="shared" si="18"/>
        <v>-</v>
      </c>
      <c r="Q373" s="28" t="e">
        <f>#REF!</f>
        <v>#REF!</v>
      </c>
    </row>
    <row r="374" spans="1:17">
      <c r="A374" s="52" t="str">
        <f t="shared" si="20"/>
        <v>-</v>
      </c>
      <c r="B374" s="35"/>
      <c r="C374" s="35"/>
      <c r="D374" s="35"/>
      <c r="E374" s="39"/>
      <c r="F374" s="37"/>
      <c r="G374" s="43"/>
      <c r="H374" s="43"/>
      <c r="I374" s="43"/>
      <c r="J374" s="40"/>
      <c r="K374" s="38"/>
      <c r="L374" s="36"/>
      <c r="M374" s="41"/>
      <c r="N374" s="41" t="str">
        <f t="shared" si="19"/>
        <v/>
      </c>
      <c r="O374" s="42"/>
      <c r="P374" s="61" t="str">
        <f t="shared" si="18"/>
        <v>-</v>
      </c>
      <c r="Q374" s="28" t="e">
        <f>#REF!</f>
        <v>#REF!</v>
      </c>
    </row>
    <row r="375" spans="1:17">
      <c r="A375" s="52" t="str">
        <f t="shared" si="20"/>
        <v>-</v>
      </c>
      <c r="B375" s="35"/>
      <c r="C375" s="35"/>
      <c r="D375" s="35"/>
      <c r="E375" s="39"/>
      <c r="F375" s="37"/>
      <c r="G375" s="43"/>
      <c r="H375" s="43"/>
      <c r="I375" s="43"/>
      <c r="J375" s="40"/>
      <c r="K375" s="38"/>
      <c r="L375" s="36"/>
      <c r="M375" s="41"/>
      <c r="N375" s="41" t="str">
        <f t="shared" si="19"/>
        <v/>
      </c>
      <c r="O375" s="42"/>
      <c r="P375" s="61" t="str">
        <f t="shared" si="18"/>
        <v>-</v>
      </c>
      <c r="Q375" s="28" t="e">
        <f>#REF!</f>
        <v>#REF!</v>
      </c>
    </row>
    <row r="376" spans="1:17">
      <c r="A376" s="52" t="str">
        <f t="shared" si="20"/>
        <v>-</v>
      </c>
      <c r="B376" s="35"/>
      <c r="C376" s="35"/>
      <c r="D376" s="35"/>
      <c r="E376" s="39"/>
      <c r="F376" s="37"/>
      <c r="G376" s="43"/>
      <c r="H376" s="43"/>
      <c r="I376" s="43"/>
      <c r="J376" s="40"/>
      <c r="K376" s="38"/>
      <c r="L376" s="36"/>
      <c r="M376" s="41"/>
      <c r="N376" s="41" t="str">
        <f t="shared" si="19"/>
        <v/>
      </c>
      <c r="O376" s="42"/>
      <c r="P376" s="61" t="str">
        <f t="shared" si="18"/>
        <v>-</v>
      </c>
      <c r="Q376" s="28" t="e">
        <f>#REF!</f>
        <v>#REF!</v>
      </c>
    </row>
    <row r="377" spans="1:17">
      <c r="A377" s="52" t="str">
        <f t="shared" si="20"/>
        <v>-</v>
      </c>
      <c r="B377" s="35"/>
      <c r="C377" s="35"/>
      <c r="D377" s="35"/>
      <c r="E377" s="39"/>
      <c r="F377" s="37"/>
      <c r="G377" s="43"/>
      <c r="H377" s="43"/>
      <c r="I377" s="43"/>
      <c r="J377" s="40"/>
      <c r="K377" s="38"/>
      <c r="L377" s="36"/>
      <c r="M377" s="41"/>
      <c r="N377" s="41" t="str">
        <f t="shared" si="19"/>
        <v/>
      </c>
      <c r="O377" s="42"/>
      <c r="P377" s="61" t="str">
        <f t="shared" si="18"/>
        <v>-</v>
      </c>
      <c r="Q377" s="28" t="e">
        <f>#REF!</f>
        <v>#REF!</v>
      </c>
    </row>
    <row r="378" spans="1:17">
      <c r="A378" s="52" t="str">
        <f t="shared" si="20"/>
        <v>-</v>
      </c>
      <c r="B378" s="35"/>
      <c r="C378" s="35"/>
      <c r="D378" s="35"/>
      <c r="E378" s="39"/>
      <c r="F378" s="37"/>
      <c r="G378" s="43"/>
      <c r="H378" s="43"/>
      <c r="I378" s="43"/>
      <c r="J378" s="40"/>
      <c r="K378" s="38"/>
      <c r="L378" s="36"/>
      <c r="M378" s="41"/>
      <c r="N378" s="41" t="str">
        <f t="shared" si="19"/>
        <v/>
      </c>
      <c r="O378" s="42"/>
      <c r="P378" s="61" t="str">
        <f t="shared" si="18"/>
        <v>-</v>
      </c>
      <c r="Q378" s="28" t="e">
        <f>#REF!</f>
        <v>#REF!</v>
      </c>
    </row>
    <row r="379" spans="1:17">
      <c r="A379" s="52" t="str">
        <f t="shared" si="20"/>
        <v>-</v>
      </c>
      <c r="B379" s="35"/>
      <c r="C379" s="35"/>
      <c r="D379" s="35"/>
      <c r="E379" s="39"/>
      <c r="F379" s="37"/>
      <c r="G379" s="43"/>
      <c r="H379" s="43"/>
      <c r="I379" s="43"/>
      <c r="J379" s="40"/>
      <c r="K379" s="38"/>
      <c r="L379" s="36"/>
      <c r="M379" s="41"/>
      <c r="N379" s="41" t="str">
        <f t="shared" si="19"/>
        <v/>
      </c>
      <c r="O379" s="42"/>
      <c r="P379" s="61" t="str">
        <f t="shared" si="18"/>
        <v>-</v>
      </c>
      <c r="Q379" s="28" t="e">
        <f>#REF!</f>
        <v>#REF!</v>
      </c>
    </row>
    <row r="380" spans="1:17">
      <c r="A380" s="52" t="str">
        <f t="shared" si="20"/>
        <v>-</v>
      </c>
      <c r="B380" s="35"/>
      <c r="C380" s="35"/>
      <c r="D380" s="35"/>
      <c r="E380" s="39"/>
      <c r="F380" s="37"/>
      <c r="G380" s="43"/>
      <c r="H380" s="43"/>
      <c r="I380" s="43"/>
      <c r="J380" s="40"/>
      <c r="K380" s="38"/>
      <c r="L380" s="36"/>
      <c r="M380" s="41"/>
      <c r="N380" s="41" t="str">
        <f t="shared" si="19"/>
        <v/>
      </c>
      <c r="O380" s="42"/>
      <c r="P380" s="61" t="str">
        <f t="shared" si="18"/>
        <v>-</v>
      </c>
      <c r="Q380" s="28" t="e">
        <f>#REF!</f>
        <v>#REF!</v>
      </c>
    </row>
    <row r="381" spans="1:17">
      <c r="A381" s="52" t="str">
        <f t="shared" si="20"/>
        <v>-</v>
      </c>
      <c r="B381" s="35"/>
      <c r="C381" s="35"/>
      <c r="D381" s="35"/>
      <c r="E381" s="39"/>
      <c r="F381" s="37"/>
      <c r="G381" s="43"/>
      <c r="H381" s="43"/>
      <c r="I381" s="43"/>
      <c r="J381" s="40"/>
      <c r="K381" s="38"/>
      <c r="L381" s="36"/>
      <c r="M381" s="41"/>
      <c r="N381" s="41" t="str">
        <f t="shared" si="19"/>
        <v/>
      </c>
      <c r="O381" s="42"/>
      <c r="P381" s="61" t="str">
        <f t="shared" si="18"/>
        <v>-</v>
      </c>
      <c r="Q381" s="28" t="e">
        <f>#REF!</f>
        <v>#REF!</v>
      </c>
    </row>
    <row r="382" spans="1:17">
      <c r="A382" s="52" t="str">
        <f t="shared" si="20"/>
        <v>-</v>
      </c>
      <c r="B382" s="35"/>
      <c r="C382" s="35"/>
      <c r="D382" s="35"/>
      <c r="E382" s="39"/>
      <c r="F382" s="37"/>
      <c r="G382" s="43"/>
      <c r="H382" s="43"/>
      <c r="I382" s="43"/>
      <c r="J382" s="40"/>
      <c r="K382" s="38"/>
      <c r="L382" s="36"/>
      <c r="M382" s="41"/>
      <c r="N382" s="41" t="str">
        <f t="shared" si="19"/>
        <v/>
      </c>
      <c r="O382" s="42"/>
      <c r="P382" s="61" t="str">
        <f t="shared" si="18"/>
        <v>-</v>
      </c>
      <c r="Q382" s="28" t="e">
        <f>#REF!</f>
        <v>#REF!</v>
      </c>
    </row>
    <row r="383" spans="1:17">
      <c r="A383" s="52" t="str">
        <f t="shared" si="20"/>
        <v>-</v>
      </c>
      <c r="B383" s="35"/>
      <c r="C383" s="35"/>
      <c r="D383" s="35"/>
      <c r="E383" s="39"/>
      <c r="F383" s="37"/>
      <c r="G383" s="43"/>
      <c r="H383" s="43"/>
      <c r="I383" s="43"/>
      <c r="J383" s="40"/>
      <c r="K383" s="38"/>
      <c r="L383" s="36"/>
      <c r="M383" s="41"/>
      <c r="N383" s="41" t="str">
        <f t="shared" si="19"/>
        <v/>
      </c>
      <c r="O383" s="42"/>
      <c r="P383" s="61" t="str">
        <f t="shared" si="18"/>
        <v>-</v>
      </c>
      <c r="Q383" s="28" t="e">
        <f>#REF!</f>
        <v>#REF!</v>
      </c>
    </row>
    <row r="384" spans="1:17">
      <c r="A384" s="52" t="str">
        <f t="shared" si="20"/>
        <v>-</v>
      </c>
      <c r="B384" s="35"/>
      <c r="C384" s="35"/>
      <c r="D384" s="35"/>
      <c r="E384" s="39"/>
      <c r="F384" s="37"/>
      <c r="G384" s="43"/>
      <c r="H384" s="43"/>
      <c r="I384" s="43"/>
      <c r="J384" s="40"/>
      <c r="K384" s="38"/>
      <c r="L384" s="36"/>
      <c r="M384" s="41"/>
      <c r="N384" s="41" t="str">
        <f t="shared" si="19"/>
        <v/>
      </c>
      <c r="O384" s="42"/>
      <c r="P384" s="61" t="str">
        <f t="shared" si="18"/>
        <v>-</v>
      </c>
      <c r="Q384" s="28" t="e">
        <f>#REF!</f>
        <v>#REF!</v>
      </c>
    </row>
    <row r="385" spans="1:17">
      <c r="A385" s="52" t="str">
        <f t="shared" si="20"/>
        <v>-</v>
      </c>
      <c r="B385" s="35"/>
      <c r="C385" s="35"/>
      <c r="D385" s="35"/>
      <c r="E385" s="39"/>
      <c r="F385" s="37"/>
      <c r="G385" s="43"/>
      <c r="H385" s="43"/>
      <c r="I385" s="43"/>
      <c r="J385" s="40"/>
      <c r="K385" s="38"/>
      <c r="L385" s="36"/>
      <c r="M385" s="41"/>
      <c r="N385" s="41" t="str">
        <f t="shared" si="19"/>
        <v/>
      </c>
      <c r="O385" s="42"/>
      <c r="P385" s="61" t="str">
        <f t="shared" si="18"/>
        <v>-</v>
      </c>
      <c r="Q385" s="28" t="e">
        <f>#REF!</f>
        <v>#REF!</v>
      </c>
    </row>
    <row r="386" spans="1:17">
      <c r="A386" s="52" t="str">
        <f t="shared" si="20"/>
        <v>-</v>
      </c>
      <c r="B386" s="35"/>
      <c r="C386" s="35"/>
      <c r="D386" s="35"/>
      <c r="E386" s="39"/>
      <c r="F386" s="37"/>
      <c r="G386" s="43"/>
      <c r="H386" s="43"/>
      <c r="I386" s="43"/>
      <c r="J386" s="40"/>
      <c r="K386" s="38"/>
      <c r="L386" s="36"/>
      <c r="M386" s="41"/>
      <c r="N386" s="41" t="str">
        <f t="shared" si="19"/>
        <v/>
      </c>
      <c r="O386" s="42"/>
      <c r="P386" s="61" t="str">
        <f t="shared" si="18"/>
        <v>-</v>
      </c>
      <c r="Q386" s="28" t="e">
        <f>#REF!</f>
        <v>#REF!</v>
      </c>
    </row>
    <row r="387" spans="1:17">
      <c r="A387" s="52" t="str">
        <f t="shared" si="20"/>
        <v>-</v>
      </c>
      <c r="B387" s="35"/>
      <c r="C387" s="35"/>
      <c r="D387" s="35"/>
      <c r="E387" s="39"/>
      <c r="F387" s="37"/>
      <c r="G387" s="43"/>
      <c r="H387" s="43"/>
      <c r="I387" s="43"/>
      <c r="J387" s="40"/>
      <c r="K387" s="38"/>
      <c r="L387" s="36"/>
      <c r="M387" s="41"/>
      <c r="N387" s="41" t="str">
        <f t="shared" si="19"/>
        <v/>
      </c>
      <c r="O387" s="42"/>
      <c r="P387" s="61" t="str">
        <f t="shared" si="18"/>
        <v>-</v>
      </c>
      <c r="Q387" s="28" t="e">
        <f>#REF!</f>
        <v>#REF!</v>
      </c>
    </row>
    <row r="388" spans="1:17">
      <c r="A388" s="52" t="str">
        <f t="shared" si="20"/>
        <v>-</v>
      </c>
      <c r="B388" s="35"/>
      <c r="C388" s="35"/>
      <c r="D388" s="35"/>
      <c r="E388" s="39"/>
      <c r="F388" s="37"/>
      <c r="G388" s="43"/>
      <c r="H388" s="43"/>
      <c r="I388" s="43"/>
      <c r="J388" s="40"/>
      <c r="K388" s="38"/>
      <c r="L388" s="36"/>
      <c r="M388" s="41"/>
      <c r="N388" s="41" t="str">
        <f t="shared" si="19"/>
        <v/>
      </c>
      <c r="O388" s="42"/>
      <c r="P388" s="61" t="str">
        <f t="shared" si="18"/>
        <v>-</v>
      </c>
      <c r="Q388" s="28" t="e">
        <f>#REF!</f>
        <v>#REF!</v>
      </c>
    </row>
    <row r="389" spans="1:17">
      <c r="A389" s="52" t="str">
        <f t="shared" si="20"/>
        <v>-</v>
      </c>
      <c r="B389" s="35"/>
      <c r="C389" s="35"/>
      <c r="D389" s="35"/>
      <c r="E389" s="39"/>
      <c r="F389" s="37"/>
      <c r="G389" s="43"/>
      <c r="H389" s="43"/>
      <c r="I389" s="43"/>
      <c r="J389" s="40"/>
      <c r="K389" s="38"/>
      <c r="L389" s="36"/>
      <c r="M389" s="41"/>
      <c r="N389" s="41" t="str">
        <f t="shared" si="19"/>
        <v/>
      </c>
      <c r="O389" s="42"/>
      <c r="P389" s="61" t="str">
        <f t="shared" si="18"/>
        <v>-</v>
      </c>
      <c r="Q389" s="28" t="e">
        <f>#REF!</f>
        <v>#REF!</v>
      </c>
    </row>
    <row r="390" spans="1:17">
      <c r="A390" s="52" t="str">
        <f t="shared" si="20"/>
        <v>-</v>
      </c>
      <c r="B390" s="35"/>
      <c r="C390" s="35"/>
      <c r="D390" s="35"/>
      <c r="E390" s="39"/>
      <c r="F390" s="37"/>
      <c r="G390" s="43"/>
      <c r="H390" s="43"/>
      <c r="I390" s="43"/>
      <c r="J390" s="40"/>
      <c r="K390" s="38"/>
      <c r="L390" s="36"/>
      <c r="M390" s="41"/>
      <c r="N390" s="41" t="str">
        <f t="shared" si="19"/>
        <v/>
      </c>
      <c r="O390" s="42"/>
      <c r="P390" s="61" t="str">
        <f t="shared" si="18"/>
        <v>-</v>
      </c>
      <c r="Q390" s="28" t="e">
        <f>#REF!</f>
        <v>#REF!</v>
      </c>
    </row>
    <row r="391" spans="1:17">
      <c r="A391" s="52" t="str">
        <f t="shared" si="20"/>
        <v>-</v>
      </c>
      <c r="B391" s="35"/>
      <c r="C391" s="35"/>
      <c r="D391" s="35"/>
      <c r="E391" s="39"/>
      <c r="F391" s="37"/>
      <c r="G391" s="43"/>
      <c r="H391" s="43"/>
      <c r="I391" s="43"/>
      <c r="J391" s="40"/>
      <c r="K391" s="38"/>
      <c r="L391" s="36"/>
      <c r="M391" s="41"/>
      <c r="N391" s="41" t="str">
        <f t="shared" si="19"/>
        <v/>
      </c>
      <c r="O391" s="42"/>
      <c r="P391" s="61" t="str">
        <f t="shared" si="18"/>
        <v>-</v>
      </c>
      <c r="Q391" s="28" t="e">
        <f>#REF!</f>
        <v>#REF!</v>
      </c>
    </row>
    <row r="392" spans="1:17">
      <c r="A392" s="52" t="str">
        <f t="shared" si="20"/>
        <v>-</v>
      </c>
      <c r="B392" s="35"/>
      <c r="C392" s="35"/>
      <c r="D392" s="35"/>
      <c r="E392" s="39"/>
      <c r="F392" s="37"/>
      <c r="G392" s="43"/>
      <c r="H392" s="43"/>
      <c r="I392" s="43"/>
      <c r="J392" s="40"/>
      <c r="K392" s="38"/>
      <c r="L392" s="36"/>
      <c r="M392" s="41"/>
      <c r="N392" s="41" t="str">
        <f t="shared" si="19"/>
        <v/>
      </c>
      <c r="O392" s="42"/>
      <c r="P392" s="61" t="str">
        <f t="shared" si="18"/>
        <v>-</v>
      </c>
      <c r="Q392" s="28" t="e">
        <f>#REF!</f>
        <v>#REF!</v>
      </c>
    </row>
    <row r="393" spans="1:17">
      <c r="A393" s="52" t="str">
        <f t="shared" si="20"/>
        <v>-</v>
      </c>
      <c r="B393" s="35"/>
      <c r="C393" s="35"/>
      <c r="D393" s="35"/>
      <c r="E393" s="39"/>
      <c r="F393" s="37"/>
      <c r="G393" s="43"/>
      <c r="H393" s="43"/>
      <c r="I393" s="43"/>
      <c r="J393" s="40"/>
      <c r="K393" s="38"/>
      <c r="L393" s="36"/>
      <c r="M393" s="41"/>
      <c r="N393" s="41" t="str">
        <f t="shared" si="19"/>
        <v/>
      </c>
      <c r="O393" s="42"/>
      <c r="P393" s="61" t="str">
        <f t="shared" si="18"/>
        <v>-</v>
      </c>
      <c r="Q393" s="28" t="e">
        <f>#REF!</f>
        <v>#REF!</v>
      </c>
    </row>
    <row r="394" spans="1:17">
      <c r="A394" s="52" t="str">
        <f t="shared" si="20"/>
        <v>-</v>
      </c>
      <c r="B394" s="35"/>
      <c r="C394" s="35"/>
      <c r="D394" s="35"/>
      <c r="E394" s="39"/>
      <c r="F394" s="37"/>
      <c r="G394" s="43"/>
      <c r="H394" s="43"/>
      <c r="I394" s="43"/>
      <c r="J394" s="40"/>
      <c r="K394" s="38"/>
      <c r="L394" s="36"/>
      <c r="M394" s="41"/>
      <c r="N394" s="41" t="str">
        <f t="shared" si="19"/>
        <v/>
      </c>
      <c r="O394" s="42"/>
      <c r="P394" s="61" t="str">
        <f t="shared" si="18"/>
        <v>-</v>
      </c>
      <c r="Q394" s="28" t="e">
        <f>#REF!</f>
        <v>#REF!</v>
      </c>
    </row>
    <row r="395" spans="1:17">
      <c r="A395" s="52" t="str">
        <f t="shared" si="20"/>
        <v>-</v>
      </c>
      <c r="B395" s="35"/>
      <c r="C395" s="35"/>
      <c r="D395" s="35"/>
      <c r="E395" s="39"/>
      <c r="F395" s="37"/>
      <c r="G395" s="43"/>
      <c r="H395" s="43"/>
      <c r="I395" s="43"/>
      <c r="J395" s="40"/>
      <c r="K395" s="38"/>
      <c r="L395" s="36"/>
      <c r="M395" s="41"/>
      <c r="N395" s="41" t="str">
        <f t="shared" si="19"/>
        <v/>
      </c>
      <c r="O395" s="42"/>
      <c r="P395" s="61" t="str">
        <f t="shared" si="18"/>
        <v>-</v>
      </c>
      <c r="Q395" s="28" t="e">
        <f>#REF!</f>
        <v>#REF!</v>
      </c>
    </row>
    <row r="396" spans="1:17">
      <c r="A396" s="52" t="str">
        <f t="shared" si="20"/>
        <v>-</v>
      </c>
      <c r="B396" s="35"/>
      <c r="C396" s="35"/>
      <c r="D396" s="35"/>
      <c r="E396" s="39"/>
      <c r="F396" s="37"/>
      <c r="G396" s="43"/>
      <c r="H396" s="43"/>
      <c r="I396" s="43"/>
      <c r="J396" s="40"/>
      <c r="K396" s="38"/>
      <c r="L396" s="36"/>
      <c r="M396" s="41"/>
      <c r="N396" s="41" t="str">
        <f t="shared" si="19"/>
        <v/>
      </c>
      <c r="O396" s="42"/>
      <c r="P396" s="61" t="str">
        <f t="shared" si="18"/>
        <v>-</v>
      </c>
      <c r="Q396" s="28" t="e">
        <f>#REF!</f>
        <v>#REF!</v>
      </c>
    </row>
    <row r="397" spans="1:17">
      <c r="A397" s="52" t="str">
        <f t="shared" si="20"/>
        <v>-</v>
      </c>
      <c r="B397" s="35"/>
      <c r="C397" s="35"/>
      <c r="D397" s="35"/>
      <c r="E397" s="39"/>
      <c r="F397" s="37"/>
      <c r="G397" s="43"/>
      <c r="H397" s="43"/>
      <c r="I397" s="43"/>
      <c r="J397" s="40"/>
      <c r="K397" s="38"/>
      <c r="L397" s="36"/>
      <c r="M397" s="41"/>
      <c r="N397" s="41" t="str">
        <f t="shared" si="19"/>
        <v/>
      </c>
      <c r="O397" s="42"/>
      <c r="P397" s="61" t="str">
        <f t="shared" si="18"/>
        <v>-</v>
      </c>
      <c r="Q397" s="28" t="e">
        <f>#REF!</f>
        <v>#REF!</v>
      </c>
    </row>
    <row r="398" spans="1:17">
      <c r="A398" s="52" t="str">
        <f t="shared" si="20"/>
        <v>-</v>
      </c>
      <c r="B398" s="35"/>
      <c r="C398" s="35"/>
      <c r="D398" s="35"/>
      <c r="E398" s="39"/>
      <c r="F398" s="37"/>
      <c r="G398" s="43"/>
      <c r="H398" s="43"/>
      <c r="I398" s="43"/>
      <c r="J398" s="40"/>
      <c r="K398" s="38"/>
      <c r="L398" s="36"/>
      <c r="M398" s="41"/>
      <c r="N398" s="41" t="str">
        <f t="shared" si="19"/>
        <v/>
      </c>
      <c r="O398" s="42"/>
      <c r="P398" s="61" t="str">
        <f t="shared" si="18"/>
        <v>-</v>
      </c>
      <c r="Q398" s="28" t="e">
        <f>#REF!</f>
        <v>#REF!</v>
      </c>
    </row>
    <row r="399" spans="1:17">
      <c r="A399" s="52" t="str">
        <f t="shared" si="20"/>
        <v>-</v>
      </c>
      <c r="B399" s="35"/>
      <c r="C399" s="35"/>
      <c r="D399" s="35"/>
      <c r="E399" s="39"/>
      <c r="F399" s="37"/>
      <c r="G399" s="43"/>
      <c r="H399" s="43"/>
      <c r="I399" s="43"/>
      <c r="J399" s="40"/>
      <c r="K399" s="38"/>
      <c r="L399" s="36"/>
      <c r="M399" s="41"/>
      <c r="N399" s="41" t="str">
        <f t="shared" si="19"/>
        <v/>
      </c>
      <c r="O399" s="42"/>
      <c r="P399" s="61" t="str">
        <f t="shared" ref="P399:P462" si="21">A399</f>
        <v>-</v>
      </c>
      <c r="Q399" s="28" t="e">
        <f>#REF!</f>
        <v>#REF!</v>
      </c>
    </row>
    <row r="400" spans="1:17">
      <c r="A400" s="52" t="str">
        <f t="shared" si="20"/>
        <v>-</v>
      </c>
      <c r="B400" s="35"/>
      <c r="C400" s="35"/>
      <c r="D400" s="35"/>
      <c r="E400" s="39"/>
      <c r="F400" s="37"/>
      <c r="G400" s="43"/>
      <c r="H400" s="43"/>
      <c r="I400" s="43"/>
      <c r="J400" s="40"/>
      <c r="K400" s="38"/>
      <c r="L400" s="36"/>
      <c r="M400" s="41"/>
      <c r="N400" s="41" t="str">
        <f t="shared" si="19"/>
        <v/>
      </c>
      <c r="O400" s="42"/>
      <c r="P400" s="61" t="str">
        <f t="shared" si="21"/>
        <v>-</v>
      </c>
      <c r="Q400" s="28" t="e">
        <f>#REF!</f>
        <v>#REF!</v>
      </c>
    </row>
    <row r="401" spans="1:17">
      <c r="A401" s="52" t="str">
        <f t="shared" si="20"/>
        <v>-</v>
      </c>
      <c r="B401" s="35"/>
      <c r="C401" s="35"/>
      <c r="D401" s="35"/>
      <c r="E401" s="39"/>
      <c r="F401" s="37"/>
      <c r="G401" s="43"/>
      <c r="H401" s="43"/>
      <c r="I401" s="43"/>
      <c r="J401" s="40"/>
      <c r="K401" s="38"/>
      <c r="L401" s="36"/>
      <c r="M401" s="41"/>
      <c r="N401" s="41" t="str">
        <f t="shared" si="19"/>
        <v/>
      </c>
      <c r="O401" s="42"/>
      <c r="P401" s="61" t="str">
        <f t="shared" si="21"/>
        <v>-</v>
      </c>
      <c r="Q401" s="28" t="e">
        <f>#REF!</f>
        <v>#REF!</v>
      </c>
    </row>
    <row r="402" spans="1:17">
      <c r="A402" s="52" t="str">
        <f t="shared" si="20"/>
        <v>-</v>
      </c>
      <c r="B402" s="35"/>
      <c r="C402" s="35"/>
      <c r="D402" s="35"/>
      <c r="E402" s="39"/>
      <c r="F402" s="37"/>
      <c r="G402" s="43"/>
      <c r="H402" s="43"/>
      <c r="I402" s="43"/>
      <c r="J402" s="40"/>
      <c r="K402" s="38"/>
      <c r="L402" s="36"/>
      <c r="M402" s="41"/>
      <c r="N402" s="41" t="str">
        <f t="shared" si="19"/>
        <v/>
      </c>
      <c r="O402" s="42"/>
      <c r="P402" s="61" t="str">
        <f t="shared" si="21"/>
        <v>-</v>
      </c>
      <c r="Q402" s="28" t="e">
        <f>#REF!</f>
        <v>#REF!</v>
      </c>
    </row>
    <row r="403" spans="1:17">
      <c r="A403" s="52" t="str">
        <f t="shared" si="20"/>
        <v>-</v>
      </c>
      <c r="B403" s="35"/>
      <c r="C403" s="35"/>
      <c r="D403" s="35"/>
      <c r="E403" s="39"/>
      <c r="F403" s="37"/>
      <c r="G403" s="43"/>
      <c r="H403" s="43"/>
      <c r="I403" s="43"/>
      <c r="J403" s="40"/>
      <c r="K403" s="38"/>
      <c r="L403" s="36"/>
      <c r="M403" s="41"/>
      <c r="N403" s="41" t="str">
        <f t="shared" si="19"/>
        <v/>
      </c>
      <c r="O403" s="42"/>
      <c r="P403" s="61" t="str">
        <f t="shared" si="21"/>
        <v>-</v>
      </c>
      <c r="Q403" s="28" t="e">
        <f>#REF!</f>
        <v>#REF!</v>
      </c>
    </row>
    <row r="404" spans="1:17">
      <c r="A404" s="52" t="str">
        <f t="shared" si="20"/>
        <v>-</v>
      </c>
      <c r="B404" s="35"/>
      <c r="C404" s="35"/>
      <c r="D404" s="35"/>
      <c r="E404" s="39"/>
      <c r="F404" s="37"/>
      <c r="G404" s="43"/>
      <c r="H404" s="43"/>
      <c r="I404" s="43"/>
      <c r="J404" s="40"/>
      <c r="K404" s="38"/>
      <c r="L404" s="36"/>
      <c r="M404" s="41"/>
      <c r="N404" s="41" t="str">
        <f t="shared" si="19"/>
        <v/>
      </c>
      <c r="O404" s="42"/>
      <c r="P404" s="61" t="str">
        <f t="shared" si="21"/>
        <v>-</v>
      </c>
      <c r="Q404" s="28" t="e">
        <f>#REF!</f>
        <v>#REF!</v>
      </c>
    </row>
    <row r="405" spans="1:17">
      <c r="A405" s="52" t="str">
        <f t="shared" si="20"/>
        <v>-</v>
      </c>
      <c r="B405" s="35"/>
      <c r="C405" s="35"/>
      <c r="D405" s="35"/>
      <c r="E405" s="39"/>
      <c r="F405" s="37"/>
      <c r="G405" s="43"/>
      <c r="H405" s="43"/>
      <c r="I405" s="43"/>
      <c r="J405" s="40"/>
      <c r="K405" s="38"/>
      <c r="L405" s="36"/>
      <c r="M405" s="41"/>
      <c r="N405" s="41" t="str">
        <f t="shared" si="19"/>
        <v/>
      </c>
      <c r="O405" s="42"/>
      <c r="P405" s="61" t="str">
        <f t="shared" si="21"/>
        <v>-</v>
      </c>
      <c r="Q405" s="28" t="e">
        <f>#REF!</f>
        <v>#REF!</v>
      </c>
    </row>
    <row r="406" spans="1:17">
      <c r="A406" s="52" t="str">
        <f t="shared" si="20"/>
        <v>-</v>
      </c>
      <c r="B406" s="35"/>
      <c r="C406" s="35"/>
      <c r="D406" s="35"/>
      <c r="E406" s="39"/>
      <c r="F406" s="37"/>
      <c r="G406" s="43"/>
      <c r="H406" s="43"/>
      <c r="I406" s="43"/>
      <c r="J406" s="40"/>
      <c r="K406" s="38"/>
      <c r="L406" s="36"/>
      <c r="M406" s="41"/>
      <c r="N406" s="41" t="str">
        <f t="shared" ref="N406:N469" si="22">IF(L406&lt;&gt;"",EDATE(M406,L406),"")</f>
        <v/>
      </c>
      <c r="O406" s="42"/>
      <c r="P406" s="61" t="str">
        <f t="shared" si="21"/>
        <v>-</v>
      </c>
      <c r="Q406" s="28" t="e">
        <f>#REF!</f>
        <v>#REF!</v>
      </c>
    </row>
    <row r="407" spans="1:17">
      <c r="A407" s="52" t="str">
        <f t="shared" si="20"/>
        <v>-</v>
      </c>
      <c r="B407" s="35"/>
      <c r="C407" s="35"/>
      <c r="D407" s="35"/>
      <c r="E407" s="39"/>
      <c r="F407" s="37"/>
      <c r="G407" s="43"/>
      <c r="H407" s="43"/>
      <c r="I407" s="43"/>
      <c r="J407" s="40"/>
      <c r="K407" s="38"/>
      <c r="L407" s="36"/>
      <c r="M407" s="41"/>
      <c r="N407" s="41" t="str">
        <f t="shared" si="22"/>
        <v/>
      </c>
      <c r="O407" s="42"/>
      <c r="P407" s="61" t="str">
        <f t="shared" si="21"/>
        <v>-</v>
      </c>
      <c r="Q407" s="28" t="e">
        <f>#REF!</f>
        <v>#REF!</v>
      </c>
    </row>
    <row r="408" spans="1:17">
      <c r="A408" s="52" t="str">
        <f t="shared" si="20"/>
        <v>-</v>
      </c>
      <c r="B408" s="35"/>
      <c r="C408" s="35"/>
      <c r="D408" s="35"/>
      <c r="E408" s="39"/>
      <c r="F408" s="37"/>
      <c r="G408" s="43"/>
      <c r="H408" s="43"/>
      <c r="I408" s="43"/>
      <c r="J408" s="40"/>
      <c r="K408" s="38"/>
      <c r="L408" s="36"/>
      <c r="M408" s="41"/>
      <c r="N408" s="41" t="str">
        <f t="shared" si="22"/>
        <v/>
      </c>
      <c r="O408" s="42"/>
      <c r="P408" s="61" t="str">
        <f t="shared" si="21"/>
        <v>-</v>
      </c>
      <c r="Q408" s="28" t="e">
        <f>#REF!</f>
        <v>#REF!</v>
      </c>
    </row>
    <row r="409" spans="1:17">
      <c r="A409" s="52" t="str">
        <f t="shared" si="20"/>
        <v>-</v>
      </c>
      <c r="B409" s="35"/>
      <c r="C409" s="35"/>
      <c r="D409" s="35"/>
      <c r="E409" s="39"/>
      <c r="F409" s="37"/>
      <c r="G409" s="43"/>
      <c r="H409" s="43"/>
      <c r="I409" s="43"/>
      <c r="J409" s="40"/>
      <c r="K409" s="38"/>
      <c r="L409" s="36"/>
      <c r="M409" s="41"/>
      <c r="N409" s="41" t="str">
        <f t="shared" si="22"/>
        <v/>
      </c>
      <c r="O409" s="42"/>
      <c r="P409" s="61" t="str">
        <f t="shared" si="21"/>
        <v>-</v>
      </c>
      <c r="Q409" s="28" t="e">
        <f>#REF!</f>
        <v>#REF!</v>
      </c>
    </row>
    <row r="410" spans="1:17">
      <c r="A410" s="52" t="str">
        <f t="shared" si="20"/>
        <v>-</v>
      </c>
      <c r="B410" s="35"/>
      <c r="C410" s="35"/>
      <c r="D410" s="35"/>
      <c r="E410" s="39"/>
      <c r="F410" s="37"/>
      <c r="G410" s="43"/>
      <c r="H410" s="43"/>
      <c r="I410" s="43"/>
      <c r="J410" s="40"/>
      <c r="K410" s="38"/>
      <c r="L410" s="36"/>
      <c r="M410" s="41"/>
      <c r="N410" s="41" t="str">
        <f t="shared" si="22"/>
        <v/>
      </c>
      <c r="O410" s="42"/>
      <c r="P410" s="61" t="str">
        <f t="shared" si="21"/>
        <v>-</v>
      </c>
      <c r="Q410" s="28" t="e">
        <f>#REF!</f>
        <v>#REF!</v>
      </c>
    </row>
    <row r="411" spans="1:17">
      <c r="A411" s="52" t="str">
        <f t="shared" si="20"/>
        <v>-</v>
      </c>
      <c r="B411" s="35"/>
      <c r="C411" s="35"/>
      <c r="D411" s="35"/>
      <c r="E411" s="39"/>
      <c r="F411" s="37"/>
      <c r="G411" s="43"/>
      <c r="H411" s="43"/>
      <c r="I411" s="43"/>
      <c r="J411" s="40"/>
      <c r="K411" s="38"/>
      <c r="L411" s="36"/>
      <c r="M411" s="41"/>
      <c r="N411" s="41" t="str">
        <f t="shared" si="22"/>
        <v/>
      </c>
      <c r="O411" s="42"/>
      <c r="P411" s="61" t="str">
        <f t="shared" si="21"/>
        <v>-</v>
      </c>
      <c r="Q411" s="28" t="e">
        <f>#REF!</f>
        <v>#REF!</v>
      </c>
    </row>
    <row r="412" spans="1:17">
      <c r="A412" s="52" t="str">
        <f t="shared" si="20"/>
        <v>-</v>
      </c>
      <c r="B412" s="35"/>
      <c r="C412" s="35"/>
      <c r="D412" s="35"/>
      <c r="E412" s="39"/>
      <c r="F412" s="37"/>
      <c r="G412" s="43"/>
      <c r="H412" s="43"/>
      <c r="I412" s="43"/>
      <c r="J412" s="40"/>
      <c r="K412" s="38"/>
      <c r="L412" s="36"/>
      <c r="M412" s="41"/>
      <c r="N412" s="41" t="str">
        <f t="shared" si="22"/>
        <v/>
      </c>
      <c r="O412" s="42"/>
      <c r="P412" s="61" t="str">
        <f t="shared" si="21"/>
        <v>-</v>
      </c>
      <c r="Q412" s="28" t="e">
        <f>#REF!</f>
        <v>#REF!</v>
      </c>
    </row>
    <row r="413" spans="1:17">
      <c r="A413" s="52" t="str">
        <f t="shared" si="20"/>
        <v>-</v>
      </c>
      <c r="B413" s="35"/>
      <c r="C413" s="35"/>
      <c r="D413" s="35"/>
      <c r="E413" s="39"/>
      <c r="F413" s="37"/>
      <c r="G413" s="43"/>
      <c r="H413" s="43"/>
      <c r="I413" s="43"/>
      <c r="J413" s="40"/>
      <c r="K413" s="38"/>
      <c r="L413" s="36"/>
      <c r="M413" s="41"/>
      <c r="N413" s="41" t="str">
        <f t="shared" si="22"/>
        <v/>
      </c>
      <c r="O413" s="42"/>
      <c r="P413" s="61" t="str">
        <f t="shared" si="21"/>
        <v>-</v>
      </c>
      <c r="Q413" s="28" t="e">
        <f>#REF!</f>
        <v>#REF!</v>
      </c>
    </row>
    <row r="414" spans="1:17">
      <c r="A414" s="52" t="str">
        <f t="shared" si="20"/>
        <v>-</v>
      </c>
      <c r="B414" s="35"/>
      <c r="C414" s="35"/>
      <c r="D414" s="35"/>
      <c r="E414" s="39"/>
      <c r="F414" s="37"/>
      <c r="G414" s="43"/>
      <c r="H414" s="43"/>
      <c r="I414" s="43"/>
      <c r="J414" s="40"/>
      <c r="K414" s="38"/>
      <c r="L414" s="36"/>
      <c r="M414" s="41"/>
      <c r="N414" s="41" t="str">
        <f t="shared" si="22"/>
        <v/>
      </c>
      <c r="O414" s="42"/>
      <c r="P414" s="61" t="str">
        <f t="shared" si="21"/>
        <v>-</v>
      </c>
      <c r="Q414" s="28" t="e">
        <f>#REF!</f>
        <v>#REF!</v>
      </c>
    </row>
    <row r="415" spans="1:17">
      <c r="A415" s="52" t="str">
        <f t="shared" si="20"/>
        <v>-</v>
      </c>
      <c r="B415" s="35"/>
      <c r="C415" s="35"/>
      <c r="D415" s="35"/>
      <c r="E415" s="39"/>
      <c r="F415" s="37"/>
      <c r="G415" s="43"/>
      <c r="H415" s="43"/>
      <c r="I415" s="43"/>
      <c r="J415" s="40"/>
      <c r="K415" s="38"/>
      <c r="L415" s="36"/>
      <c r="M415" s="41"/>
      <c r="N415" s="41" t="str">
        <f t="shared" si="22"/>
        <v/>
      </c>
      <c r="O415" s="42"/>
      <c r="P415" s="61" t="str">
        <f t="shared" si="21"/>
        <v>-</v>
      </c>
      <c r="Q415" s="28" t="e">
        <f>#REF!</f>
        <v>#REF!</v>
      </c>
    </row>
    <row r="416" spans="1:17">
      <c r="A416" s="52" t="str">
        <f t="shared" si="20"/>
        <v>-</v>
      </c>
      <c r="B416" s="35"/>
      <c r="C416" s="35"/>
      <c r="D416" s="35"/>
      <c r="E416" s="39"/>
      <c r="F416" s="37"/>
      <c r="G416" s="43"/>
      <c r="H416" s="43"/>
      <c r="I416" s="43"/>
      <c r="J416" s="40"/>
      <c r="K416" s="38"/>
      <c r="L416" s="36"/>
      <c r="M416" s="41"/>
      <c r="N416" s="41" t="str">
        <f t="shared" si="22"/>
        <v/>
      </c>
      <c r="O416" s="42"/>
      <c r="P416" s="61" t="str">
        <f t="shared" si="21"/>
        <v>-</v>
      </c>
      <c r="Q416" s="28" t="e">
        <f>#REF!</f>
        <v>#REF!</v>
      </c>
    </row>
    <row r="417" spans="1:17">
      <c r="A417" s="52" t="str">
        <f t="shared" si="20"/>
        <v>-</v>
      </c>
      <c r="B417" s="35"/>
      <c r="C417" s="35"/>
      <c r="D417" s="35"/>
      <c r="E417" s="39"/>
      <c r="F417" s="37"/>
      <c r="G417" s="43"/>
      <c r="H417" s="43"/>
      <c r="I417" s="43"/>
      <c r="J417" s="40"/>
      <c r="K417" s="38"/>
      <c r="L417" s="36"/>
      <c r="M417" s="41"/>
      <c r="N417" s="41" t="str">
        <f t="shared" si="22"/>
        <v/>
      </c>
      <c r="O417" s="42"/>
      <c r="P417" s="61" t="str">
        <f t="shared" si="21"/>
        <v>-</v>
      </c>
      <c r="Q417" s="28" t="e">
        <f>#REF!</f>
        <v>#REF!</v>
      </c>
    </row>
    <row r="418" spans="1:17">
      <c r="A418" s="52" t="str">
        <f t="shared" si="20"/>
        <v>-</v>
      </c>
      <c r="B418" s="35"/>
      <c r="C418" s="35"/>
      <c r="D418" s="35"/>
      <c r="E418" s="39"/>
      <c r="F418" s="37"/>
      <c r="G418" s="43"/>
      <c r="H418" s="43"/>
      <c r="I418" s="43"/>
      <c r="J418" s="40"/>
      <c r="K418" s="38"/>
      <c r="L418" s="36"/>
      <c r="M418" s="41"/>
      <c r="N418" s="41" t="str">
        <f t="shared" si="22"/>
        <v/>
      </c>
      <c r="O418" s="42"/>
      <c r="P418" s="61" t="str">
        <f t="shared" si="21"/>
        <v>-</v>
      </c>
      <c r="Q418" s="28" t="e">
        <f>#REF!</f>
        <v>#REF!</v>
      </c>
    </row>
    <row r="419" spans="1:17">
      <c r="A419" s="52" t="str">
        <f t="shared" si="20"/>
        <v>-</v>
      </c>
      <c r="B419" s="35"/>
      <c r="C419" s="35"/>
      <c r="D419" s="35"/>
      <c r="E419" s="39"/>
      <c r="F419" s="37"/>
      <c r="G419" s="43"/>
      <c r="H419" s="43"/>
      <c r="I419" s="43"/>
      <c r="J419" s="40"/>
      <c r="K419" s="38"/>
      <c r="L419" s="36"/>
      <c r="M419" s="41"/>
      <c r="N419" s="41" t="str">
        <f t="shared" si="22"/>
        <v/>
      </c>
      <c r="O419" s="42"/>
      <c r="P419" s="61" t="str">
        <f t="shared" si="21"/>
        <v>-</v>
      </c>
      <c r="Q419" s="28" t="e">
        <f>#REF!</f>
        <v>#REF!</v>
      </c>
    </row>
    <row r="420" spans="1:17">
      <c r="A420" s="52" t="str">
        <f t="shared" si="20"/>
        <v>-</v>
      </c>
      <c r="B420" s="35"/>
      <c r="C420" s="35"/>
      <c r="D420" s="35"/>
      <c r="E420" s="39"/>
      <c r="F420" s="37"/>
      <c r="G420" s="43"/>
      <c r="H420" s="43"/>
      <c r="I420" s="43"/>
      <c r="J420" s="40"/>
      <c r="K420" s="38"/>
      <c r="L420" s="36"/>
      <c r="M420" s="41"/>
      <c r="N420" s="41" t="str">
        <f t="shared" si="22"/>
        <v/>
      </c>
      <c r="O420" s="42"/>
      <c r="P420" s="61" t="str">
        <f t="shared" si="21"/>
        <v>-</v>
      </c>
      <c r="Q420" s="28" t="e">
        <f>#REF!</f>
        <v>#REF!</v>
      </c>
    </row>
    <row r="421" spans="1:17">
      <c r="A421" s="52" t="str">
        <f t="shared" si="20"/>
        <v>-</v>
      </c>
      <c r="B421" s="35"/>
      <c r="C421" s="35"/>
      <c r="D421" s="35"/>
      <c r="E421" s="39"/>
      <c r="F421" s="37"/>
      <c r="G421" s="43"/>
      <c r="H421" s="43"/>
      <c r="I421" s="43"/>
      <c r="J421" s="40"/>
      <c r="K421" s="38"/>
      <c r="L421" s="36"/>
      <c r="M421" s="41"/>
      <c r="N421" s="41" t="str">
        <f t="shared" si="22"/>
        <v/>
      </c>
      <c r="O421" s="42"/>
      <c r="P421" s="61" t="str">
        <f t="shared" si="21"/>
        <v>-</v>
      </c>
      <c r="Q421" s="28" t="e">
        <f>#REF!</f>
        <v>#REF!</v>
      </c>
    </row>
    <row r="422" spans="1:17">
      <c r="A422" s="52" t="str">
        <f t="shared" si="20"/>
        <v>-</v>
      </c>
      <c r="B422" s="35"/>
      <c r="C422" s="35"/>
      <c r="D422" s="35"/>
      <c r="E422" s="39"/>
      <c r="F422" s="37"/>
      <c r="G422" s="43"/>
      <c r="H422" s="43"/>
      <c r="I422" s="43"/>
      <c r="J422" s="40"/>
      <c r="K422" s="38"/>
      <c r="L422" s="36"/>
      <c r="M422" s="41"/>
      <c r="N422" s="41" t="str">
        <f t="shared" si="22"/>
        <v/>
      </c>
      <c r="O422" s="42"/>
      <c r="P422" s="61" t="str">
        <f t="shared" si="21"/>
        <v>-</v>
      </c>
      <c r="Q422" s="28" t="e">
        <f>#REF!</f>
        <v>#REF!</v>
      </c>
    </row>
    <row r="423" spans="1:17">
      <c r="A423" s="52" t="str">
        <f t="shared" si="20"/>
        <v>-</v>
      </c>
      <c r="B423" s="35"/>
      <c r="C423" s="35"/>
      <c r="D423" s="35"/>
      <c r="E423" s="39"/>
      <c r="F423" s="37"/>
      <c r="G423" s="43"/>
      <c r="H423" s="43"/>
      <c r="I423" s="43"/>
      <c r="J423" s="40"/>
      <c r="K423" s="38"/>
      <c r="L423" s="36"/>
      <c r="M423" s="41"/>
      <c r="N423" s="41" t="str">
        <f t="shared" si="22"/>
        <v/>
      </c>
      <c r="O423" s="42"/>
      <c r="P423" s="61" t="str">
        <f t="shared" si="21"/>
        <v>-</v>
      </c>
      <c r="Q423" s="28" t="e">
        <f>#REF!</f>
        <v>#REF!</v>
      </c>
    </row>
    <row r="424" spans="1:17">
      <c r="A424" s="52" t="str">
        <f t="shared" si="20"/>
        <v>-</v>
      </c>
      <c r="B424" s="35"/>
      <c r="C424" s="35"/>
      <c r="D424" s="35"/>
      <c r="E424" s="39"/>
      <c r="F424" s="37"/>
      <c r="G424" s="43"/>
      <c r="H424" s="43"/>
      <c r="I424" s="43"/>
      <c r="J424" s="40"/>
      <c r="K424" s="38"/>
      <c r="L424" s="36"/>
      <c r="M424" s="41"/>
      <c r="N424" s="41" t="str">
        <f t="shared" si="22"/>
        <v/>
      </c>
      <c r="O424" s="42"/>
      <c r="P424" s="61" t="str">
        <f t="shared" si="21"/>
        <v>-</v>
      </c>
      <c r="Q424" s="28" t="e">
        <f>#REF!</f>
        <v>#REF!</v>
      </c>
    </row>
    <row r="425" spans="1:17">
      <c r="A425" s="52" t="str">
        <f t="shared" si="20"/>
        <v>-</v>
      </c>
      <c r="B425" s="35"/>
      <c r="C425" s="35"/>
      <c r="D425" s="35"/>
      <c r="E425" s="39"/>
      <c r="F425" s="37"/>
      <c r="G425" s="43"/>
      <c r="H425" s="43"/>
      <c r="I425" s="43"/>
      <c r="J425" s="40"/>
      <c r="K425" s="38"/>
      <c r="L425" s="36"/>
      <c r="M425" s="41"/>
      <c r="N425" s="41" t="str">
        <f t="shared" si="22"/>
        <v/>
      </c>
      <c r="O425" s="42"/>
      <c r="P425" s="61" t="str">
        <f t="shared" si="21"/>
        <v>-</v>
      </c>
      <c r="Q425" s="28" t="e">
        <f>#REF!</f>
        <v>#REF!</v>
      </c>
    </row>
    <row r="426" spans="1:17">
      <c r="A426" s="52" t="str">
        <f t="shared" si="20"/>
        <v>-</v>
      </c>
      <c r="B426" s="35"/>
      <c r="C426" s="35"/>
      <c r="D426" s="35"/>
      <c r="E426" s="39"/>
      <c r="F426" s="37"/>
      <c r="G426" s="43"/>
      <c r="H426" s="43"/>
      <c r="I426" s="43"/>
      <c r="J426" s="40"/>
      <c r="K426" s="38"/>
      <c r="L426" s="36"/>
      <c r="M426" s="41"/>
      <c r="N426" s="41" t="str">
        <f t="shared" si="22"/>
        <v/>
      </c>
      <c r="O426" s="42"/>
      <c r="P426" s="61" t="str">
        <f t="shared" si="21"/>
        <v>-</v>
      </c>
      <c r="Q426" s="28" t="e">
        <f>#REF!</f>
        <v>#REF!</v>
      </c>
    </row>
    <row r="427" spans="1:17">
      <c r="A427" s="52" t="str">
        <f t="shared" si="20"/>
        <v>-</v>
      </c>
      <c r="B427" s="35"/>
      <c r="C427" s="35"/>
      <c r="D427" s="35"/>
      <c r="E427" s="39"/>
      <c r="F427" s="37"/>
      <c r="G427" s="43"/>
      <c r="H427" s="43"/>
      <c r="I427" s="43"/>
      <c r="J427" s="40"/>
      <c r="K427" s="38"/>
      <c r="L427" s="36"/>
      <c r="M427" s="41"/>
      <c r="N427" s="41" t="str">
        <f t="shared" si="22"/>
        <v/>
      </c>
      <c r="O427" s="42"/>
      <c r="P427" s="61" t="str">
        <f t="shared" si="21"/>
        <v>-</v>
      </c>
      <c r="Q427" s="28" t="e">
        <f>#REF!</f>
        <v>#REF!</v>
      </c>
    </row>
    <row r="428" spans="1:17">
      <c r="A428" s="52" t="str">
        <f t="shared" si="20"/>
        <v>-</v>
      </c>
      <c r="B428" s="35"/>
      <c r="C428" s="35"/>
      <c r="D428" s="35"/>
      <c r="E428" s="39"/>
      <c r="F428" s="37"/>
      <c r="G428" s="43"/>
      <c r="H428" s="43"/>
      <c r="I428" s="43"/>
      <c r="J428" s="40"/>
      <c r="K428" s="38"/>
      <c r="L428" s="36"/>
      <c r="M428" s="41"/>
      <c r="N428" s="41" t="str">
        <f t="shared" si="22"/>
        <v/>
      </c>
      <c r="O428" s="42"/>
      <c r="P428" s="61" t="str">
        <f t="shared" si="21"/>
        <v>-</v>
      </c>
      <c r="Q428" s="28" t="e">
        <f>#REF!</f>
        <v>#REF!</v>
      </c>
    </row>
    <row r="429" spans="1:17">
      <c r="A429" s="52" t="str">
        <f t="shared" si="20"/>
        <v>-</v>
      </c>
      <c r="B429" s="35"/>
      <c r="C429" s="35"/>
      <c r="D429" s="35"/>
      <c r="E429" s="39"/>
      <c r="F429" s="37"/>
      <c r="G429" s="43"/>
      <c r="H429" s="43"/>
      <c r="I429" s="43"/>
      <c r="J429" s="40"/>
      <c r="K429" s="38"/>
      <c r="L429" s="36"/>
      <c r="M429" s="41"/>
      <c r="N429" s="41" t="str">
        <f t="shared" si="22"/>
        <v/>
      </c>
      <c r="O429" s="42"/>
      <c r="P429" s="61" t="str">
        <f t="shared" si="21"/>
        <v>-</v>
      </c>
      <c r="Q429" s="28" t="e">
        <f>#REF!</f>
        <v>#REF!</v>
      </c>
    </row>
    <row r="430" spans="1:17">
      <c r="A430" s="52" t="str">
        <f t="shared" si="20"/>
        <v>-</v>
      </c>
      <c r="B430" s="35"/>
      <c r="C430" s="35"/>
      <c r="D430" s="35"/>
      <c r="E430" s="39"/>
      <c r="F430" s="37"/>
      <c r="G430" s="43"/>
      <c r="H430" s="43"/>
      <c r="I430" s="43"/>
      <c r="J430" s="40"/>
      <c r="K430" s="38"/>
      <c r="L430" s="36"/>
      <c r="M430" s="41"/>
      <c r="N430" s="41" t="str">
        <f t="shared" si="22"/>
        <v/>
      </c>
      <c r="O430" s="42"/>
      <c r="P430" s="61" t="str">
        <f t="shared" si="21"/>
        <v>-</v>
      </c>
      <c r="Q430" s="28" t="e">
        <f>#REF!</f>
        <v>#REF!</v>
      </c>
    </row>
    <row r="431" spans="1:17">
      <c r="A431" s="52" t="str">
        <f t="shared" ref="A431:A494" si="23">CONCATENATE(B431,"-",C431)</f>
        <v>-</v>
      </c>
      <c r="B431" s="35"/>
      <c r="C431" s="35"/>
      <c r="D431" s="35"/>
      <c r="E431" s="39"/>
      <c r="F431" s="37"/>
      <c r="G431" s="43"/>
      <c r="H431" s="43"/>
      <c r="I431" s="43"/>
      <c r="J431" s="40"/>
      <c r="K431" s="38"/>
      <c r="L431" s="36"/>
      <c r="M431" s="41"/>
      <c r="N431" s="41" t="str">
        <f t="shared" si="22"/>
        <v/>
      </c>
      <c r="O431" s="42"/>
      <c r="P431" s="61" t="str">
        <f t="shared" si="21"/>
        <v>-</v>
      </c>
      <c r="Q431" s="28" t="e">
        <f>#REF!</f>
        <v>#REF!</v>
      </c>
    </row>
    <row r="432" spans="1:17">
      <c r="A432" s="52" t="str">
        <f t="shared" si="23"/>
        <v>-</v>
      </c>
      <c r="B432" s="35"/>
      <c r="C432" s="35"/>
      <c r="D432" s="35"/>
      <c r="E432" s="39"/>
      <c r="F432" s="37"/>
      <c r="G432" s="43"/>
      <c r="H432" s="43"/>
      <c r="I432" s="43"/>
      <c r="J432" s="40"/>
      <c r="K432" s="38"/>
      <c r="L432" s="36"/>
      <c r="M432" s="41"/>
      <c r="N432" s="41" t="str">
        <f t="shared" si="22"/>
        <v/>
      </c>
      <c r="O432" s="42"/>
      <c r="P432" s="61" t="str">
        <f t="shared" si="21"/>
        <v>-</v>
      </c>
      <c r="Q432" s="28" t="e">
        <f>#REF!</f>
        <v>#REF!</v>
      </c>
    </row>
    <row r="433" spans="1:17">
      <c r="A433" s="52" t="str">
        <f t="shared" si="23"/>
        <v>-</v>
      </c>
      <c r="B433" s="35"/>
      <c r="C433" s="35"/>
      <c r="D433" s="35"/>
      <c r="E433" s="39"/>
      <c r="F433" s="37"/>
      <c r="G433" s="43"/>
      <c r="H433" s="43"/>
      <c r="I433" s="43"/>
      <c r="J433" s="40"/>
      <c r="K433" s="38"/>
      <c r="L433" s="36"/>
      <c r="M433" s="41"/>
      <c r="N433" s="41" t="str">
        <f t="shared" si="22"/>
        <v/>
      </c>
      <c r="O433" s="42"/>
      <c r="P433" s="61" t="str">
        <f t="shared" si="21"/>
        <v>-</v>
      </c>
      <c r="Q433" s="28" t="e">
        <f>#REF!</f>
        <v>#REF!</v>
      </c>
    </row>
    <row r="434" spans="1:17">
      <c r="A434" s="52" t="str">
        <f t="shared" si="23"/>
        <v>-</v>
      </c>
      <c r="B434" s="35"/>
      <c r="C434" s="35"/>
      <c r="D434" s="35"/>
      <c r="E434" s="39"/>
      <c r="F434" s="37"/>
      <c r="G434" s="43"/>
      <c r="H434" s="43"/>
      <c r="I434" s="43"/>
      <c r="J434" s="40"/>
      <c r="K434" s="38"/>
      <c r="L434" s="36"/>
      <c r="M434" s="41"/>
      <c r="N434" s="41" t="str">
        <f t="shared" si="22"/>
        <v/>
      </c>
      <c r="O434" s="42"/>
      <c r="P434" s="61" t="str">
        <f t="shared" si="21"/>
        <v>-</v>
      </c>
      <c r="Q434" s="28" t="e">
        <f>#REF!</f>
        <v>#REF!</v>
      </c>
    </row>
    <row r="435" spans="1:17">
      <c r="A435" s="52" t="str">
        <f t="shared" si="23"/>
        <v>-</v>
      </c>
      <c r="B435" s="35"/>
      <c r="C435" s="35"/>
      <c r="D435" s="35"/>
      <c r="E435" s="39"/>
      <c r="F435" s="37"/>
      <c r="G435" s="43"/>
      <c r="H435" s="43"/>
      <c r="I435" s="43"/>
      <c r="J435" s="40"/>
      <c r="K435" s="38"/>
      <c r="L435" s="36"/>
      <c r="M435" s="41"/>
      <c r="N435" s="41" t="str">
        <f t="shared" si="22"/>
        <v/>
      </c>
      <c r="O435" s="42"/>
      <c r="P435" s="61" t="str">
        <f t="shared" si="21"/>
        <v>-</v>
      </c>
      <c r="Q435" s="28" t="e">
        <f>#REF!</f>
        <v>#REF!</v>
      </c>
    </row>
    <row r="436" spans="1:17">
      <c r="A436" s="52" t="str">
        <f t="shared" si="23"/>
        <v>-</v>
      </c>
      <c r="B436" s="35"/>
      <c r="C436" s="35"/>
      <c r="D436" s="35"/>
      <c r="E436" s="39"/>
      <c r="F436" s="37"/>
      <c r="G436" s="43"/>
      <c r="H436" s="43"/>
      <c r="I436" s="43"/>
      <c r="J436" s="40"/>
      <c r="K436" s="38"/>
      <c r="L436" s="36"/>
      <c r="M436" s="41"/>
      <c r="N436" s="41" t="str">
        <f t="shared" si="22"/>
        <v/>
      </c>
      <c r="O436" s="42"/>
      <c r="P436" s="61" t="str">
        <f t="shared" si="21"/>
        <v>-</v>
      </c>
      <c r="Q436" s="28" t="e">
        <f>#REF!</f>
        <v>#REF!</v>
      </c>
    </row>
    <row r="437" spans="1:17">
      <c r="A437" s="52" t="str">
        <f t="shared" si="23"/>
        <v>-</v>
      </c>
      <c r="B437" s="35"/>
      <c r="C437" s="35"/>
      <c r="D437" s="35"/>
      <c r="E437" s="39"/>
      <c r="F437" s="37"/>
      <c r="G437" s="43"/>
      <c r="H437" s="43"/>
      <c r="I437" s="43"/>
      <c r="J437" s="40"/>
      <c r="K437" s="38"/>
      <c r="L437" s="36"/>
      <c r="M437" s="41"/>
      <c r="N437" s="41" t="str">
        <f t="shared" si="22"/>
        <v/>
      </c>
      <c r="O437" s="42"/>
      <c r="P437" s="61" t="str">
        <f t="shared" si="21"/>
        <v>-</v>
      </c>
      <c r="Q437" s="28" t="e">
        <f>#REF!</f>
        <v>#REF!</v>
      </c>
    </row>
    <row r="438" spans="1:17">
      <c r="A438" s="52" t="str">
        <f t="shared" si="23"/>
        <v>-</v>
      </c>
      <c r="B438" s="35"/>
      <c r="C438" s="35"/>
      <c r="D438" s="35"/>
      <c r="E438" s="39"/>
      <c r="F438" s="37"/>
      <c r="G438" s="43"/>
      <c r="H438" s="43"/>
      <c r="I438" s="43"/>
      <c r="J438" s="40"/>
      <c r="K438" s="38"/>
      <c r="L438" s="36"/>
      <c r="M438" s="41"/>
      <c r="N438" s="41" t="str">
        <f t="shared" si="22"/>
        <v/>
      </c>
      <c r="O438" s="42"/>
      <c r="P438" s="61" t="str">
        <f t="shared" si="21"/>
        <v>-</v>
      </c>
      <c r="Q438" s="28" t="e">
        <f>#REF!</f>
        <v>#REF!</v>
      </c>
    </row>
    <row r="439" spans="1:17">
      <c r="A439" s="52" t="str">
        <f t="shared" si="23"/>
        <v>-</v>
      </c>
      <c r="B439" s="35"/>
      <c r="C439" s="35"/>
      <c r="D439" s="35"/>
      <c r="E439" s="39"/>
      <c r="F439" s="37"/>
      <c r="G439" s="43"/>
      <c r="H439" s="43"/>
      <c r="I439" s="43"/>
      <c r="J439" s="40"/>
      <c r="K439" s="38"/>
      <c r="L439" s="36"/>
      <c r="M439" s="41"/>
      <c r="N439" s="41" t="str">
        <f t="shared" si="22"/>
        <v/>
      </c>
      <c r="O439" s="42"/>
      <c r="P439" s="61" t="str">
        <f t="shared" si="21"/>
        <v>-</v>
      </c>
      <c r="Q439" s="28" t="e">
        <f>#REF!</f>
        <v>#REF!</v>
      </c>
    </row>
    <row r="440" spans="1:17">
      <c r="A440" s="52" t="str">
        <f t="shared" si="23"/>
        <v>-</v>
      </c>
      <c r="B440" s="35"/>
      <c r="C440" s="35"/>
      <c r="D440" s="35"/>
      <c r="E440" s="39"/>
      <c r="F440" s="37"/>
      <c r="G440" s="43"/>
      <c r="H440" s="43"/>
      <c r="I440" s="43"/>
      <c r="J440" s="40"/>
      <c r="K440" s="38"/>
      <c r="L440" s="36"/>
      <c r="M440" s="41"/>
      <c r="N440" s="41" t="str">
        <f t="shared" si="22"/>
        <v/>
      </c>
      <c r="O440" s="42"/>
      <c r="P440" s="61" t="str">
        <f t="shared" si="21"/>
        <v>-</v>
      </c>
      <c r="Q440" s="28" t="e">
        <f>#REF!</f>
        <v>#REF!</v>
      </c>
    </row>
    <row r="441" spans="1:17">
      <c r="A441" s="52" t="str">
        <f t="shared" si="23"/>
        <v>-</v>
      </c>
      <c r="B441" s="35"/>
      <c r="C441" s="35"/>
      <c r="D441" s="35"/>
      <c r="E441" s="39"/>
      <c r="F441" s="37"/>
      <c r="G441" s="43"/>
      <c r="H441" s="43"/>
      <c r="I441" s="43"/>
      <c r="J441" s="40"/>
      <c r="K441" s="38"/>
      <c r="L441" s="36"/>
      <c r="M441" s="41"/>
      <c r="N441" s="41" t="str">
        <f t="shared" si="22"/>
        <v/>
      </c>
      <c r="O441" s="42"/>
      <c r="P441" s="61" t="str">
        <f t="shared" si="21"/>
        <v>-</v>
      </c>
      <c r="Q441" s="28" t="e">
        <f>#REF!</f>
        <v>#REF!</v>
      </c>
    </row>
    <row r="442" spans="1:17">
      <c r="A442" s="52" t="str">
        <f t="shared" si="23"/>
        <v>-</v>
      </c>
      <c r="B442" s="35"/>
      <c r="C442" s="35"/>
      <c r="D442" s="35"/>
      <c r="E442" s="39"/>
      <c r="F442" s="37"/>
      <c r="G442" s="43"/>
      <c r="H442" s="43"/>
      <c r="I442" s="43"/>
      <c r="J442" s="40"/>
      <c r="K442" s="38"/>
      <c r="L442" s="36"/>
      <c r="M442" s="41"/>
      <c r="N442" s="41" t="str">
        <f t="shared" si="22"/>
        <v/>
      </c>
      <c r="O442" s="42"/>
      <c r="P442" s="61" t="str">
        <f t="shared" si="21"/>
        <v>-</v>
      </c>
      <c r="Q442" s="28" t="e">
        <f>#REF!</f>
        <v>#REF!</v>
      </c>
    </row>
    <row r="443" spans="1:17">
      <c r="A443" s="52" t="str">
        <f t="shared" si="23"/>
        <v>-</v>
      </c>
      <c r="B443" s="35"/>
      <c r="C443" s="35"/>
      <c r="D443" s="35"/>
      <c r="E443" s="39"/>
      <c r="F443" s="37"/>
      <c r="G443" s="43"/>
      <c r="H443" s="43"/>
      <c r="I443" s="43"/>
      <c r="J443" s="40"/>
      <c r="K443" s="38"/>
      <c r="L443" s="36"/>
      <c r="M443" s="41"/>
      <c r="N443" s="41" t="str">
        <f t="shared" si="22"/>
        <v/>
      </c>
      <c r="O443" s="42"/>
      <c r="P443" s="61" t="str">
        <f t="shared" si="21"/>
        <v>-</v>
      </c>
      <c r="Q443" s="28" t="e">
        <f>#REF!</f>
        <v>#REF!</v>
      </c>
    </row>
    <row r="444" spans="1:17">
      <c r="A444" s="52" t="str">
        <f t="shared" si="23"/>
        <v>-</v>
      </c>
      <c r="B444" s="35"/>
      <c r="C444" s="35"/>
      <c r="D444" s="35"/>
      <c r="E444" s="39"/>
      <c r="F444" s="37"/>
      <c r="G444" s="43"/>
      <c r="H444" s="43"/>
      <c r="I444" s="43"/>
      <c r="J444" s="40"/>
      <c r="K444" s="38"/>
      <c r="L444" s="36"/>
      <c r="M444" s="41"/>
      <c r="N444" s="41" t="str">
        <f t="shared" si="22"/>
        <v/>
      </c>
      <c r="O444" s="42"/>
      <c r="P444" s="61" t="str">
        <f t="shared" si="21"/>
        <v>-</v>
      </c>
      <c r="Q444" s="28" t="e">
        <f>#REF!</f>
        <v>#REF!</v>
      </c>
    </row>
    <row r="445" spans="1:17">
      <c r="A445" s="52" t="str">
        <f t="shared" si="23"/>
        <v>-</v>
      </c>
      <c r="B445" s="35"/>
      <c r="C445" s="35"/>
      <c r="D445" s="35"/>
      <c r="E445" s="39"/>
      <c r="F445" s="37"/>
      <c r="G445" s="43"/>
      <c r="H445" s="43"/>
      <c r="I445" s="43"/>
      <c r="J445" s="40"/>
      <c r="K445" s="38"/>
      <c r="L445" s="36"/>
      <c r="M445" s="41"/>
      <c r="N445" s="41" t="str">
        <f t="shared" si="22"/>
        <v/>
      </c>
      <c r="O445" s="42"/>
      <c r="P445" s="61" t="str">
        <f t="shared" si="21"/>
        <v>-</v>
      </c>
      <c r="Q445" s="28" t="e">
        <f>#REF!</f>
        <v>#REF!</v>
      </c>
    </row>
    <row r="446" spans="1:17">
      <c r="A446" s="52" t="str">
        <f t="shared" si="23"/>
        <v>-</v>
      </c>
      <c r="B446" s="35"/>
      <c r="C446" s="35"/>
      <c r="D446" s="35"/>
      <c r="E446" s="39"/>
      <c r="F446" s="37"/>
      <c r="G446" s="43"/>
      <c r="H446" s="43"/>
      <c r="I446" s="43"/>
      <c r="J446" s="40"/>
      <c r="K446" s="38"/>
      <c r="L446" s="36"/>
      <c r="M446" s="41"/>
      <c r="N446" s="41" t="str">
        <f t="shared" si="22"/>
        <v/>
      </c>
      <c r="O446" s="42"/>
      <c r="P446" s="61" t="str">
        <f t="shared" si="21"/>
        <v>-</v>
      </c>
      <c r="Q446" s="28" t="e">
        <f>#REF!</f>
        <v>#REF!</v>
      </c>
    </row>
    <row r="447" spans="1:17">
      <c r="A447" s="52" t="str">
        <f t="shared" si="23"/>
        <v>-</v>
      </c>
      <c r="B447" s="35"/>
      <c r="C447" s="35"/>
      <c r="D447" s="35"/>
      <c r="E447" s="39"/>
      <c r="F447" s="37"/>
      <c r="G447" s="43"/>
      <c r="H447" s="43"/>
      <c r="I447" s="43"/>
      <c r="J447" s="40"/>
      <c r="K447" s="38"/>
      <c r="L447" s="36"/>
      <c r="M447" s="41"/>
      <c r="N447" s="41" t="str">
        <f t="shared" si="22"/>
        <v/>
      </c>
      <c r="O447" s="42"/>
      <c r="P447" s="61" t="str">
        <f t="shared" si="21"/>
        <v>-</v>
      </c>
      <c r="Q447" s="28" t="e">
        <f>#REF!</f>
        <v>#REF!</v>
      </c>
    </row>
    <row r="448" spans="1:17">
      <c r="A448" s="52" t="str">
        <f t="shared" si="23"/>
        <v>-</v>
      </c>
      <c r="B448" s="35"/>
      <c r="C448" s="35"/>
      <c r="D448" s="35"/>
      <c r="E448" s="39"/>
      <c r="F448" s="37"/>
      <c r="G448" s="43"/>
      <c r="H448" s="43"/>
      <c r="I448" s="43"/>
      <c r="J448" s="40"/>
      <c r="K448" s="38"/>
      <c r="L448" s="36"/>
      <c r="M448" s="41"/>
      <c r="N448" s="41" t="str">
        <f t="shared" si="22"/>
        <v/>
      </c>
      <c r="O448" s="42"/>
      <c r="P448" s="61" t="str">
        <f t="shared" si="21"/>
        <v>-</v>
      </c>
      <c r="Q448" s="28" t="e">
        <f>#REF!</f>
        <v>#REF!</v>
      </c>
    </row>
    <row r="449" spans="1:17">
      <c r="A449" s="52" t="str">
        <f t="shared" si="23"/>
        <v>-</v>
      </c>
      <c r="B449" s="35"/>
      <c r="C449" s="35"/>
      <c r="D449" s="35"/>
      <c r="E449" s="39"/>
      <c r="F449" s="37"/>
      <c r="G449" s="43"/>
      <c r="H449" s="43"/>
      <c r="I449" s="43"/>
      <c r="J449" s="40"/>
      <c r="K449" s="38"/>
      <c r="L449" s="36"/>
      <c r="M449" s="41"/>
      <c r="N449" s="41" t="str">
        <f t="shared" si="22"/>
        <v/>
      </c>
      <c r="O449" s="42"/>
      <c r="P449" s="61" t="str">
        <f t="shared" si="21"/>
        <v>-</v>
      </c>
      <c r="Q449" s="28" t="e">
        <f>#REF!</f>
        <v>#REF!</v>
      </c>
    </row>
    <row r="450" spans="1:17">
      <c r="A450" s="52" t="str">
        <f t="shared" si="23"/>
        <v>-</v>
      </c>
      <c r="B450" s="35"/>
      <c r="C450" s="35"/>
      <c r="D450" s="35"/>
      <c r="E450" s="39"/>
      <c r="F450" s="37"/>
      <c r="G450" s="43"/>
      <c r="H450" s="43"/>
      <c r="I450" s="43"/>
      <c r="J450" s="40"/>
      <c r="K450" s="38"/>
      <c r="L450" s="36"/>
      <c r="M450" s="41"/>
      <c r="N450" s="41" t="str">
        <f t="shared" si="22"/>
        <v/>
      </c>
      <c r="O450" s="42"/>
      <c r="P450" s="61" t="str">
        <f t="shared" si="21"/>
        <v>-</v>
      </c>
      <c r="Q450" s="28" t="e">
        <f>#REF!</f>
        <v>#REF!</v>
      </c>
    </row>
    <row r="451" spans="1:17">
      <c r="A451" s="52" t="str">
        <f t="shared" si="23"/>
        <v>-</v>
      </c>
      <c r="B451" s="35"/>
      <c r="C451" s="35"/>
      <c r="D451" s="35"/>
      <c r="E451" s="39"/>
      <c r="F451" s="37"/>
      <c r="G451" s="43"/>
      <c r="H451" s="43"/>
      <c r="I451" s="43"/>
      <c r="J451" s="40"/>
      <c r="K451" s="38"/>
      <c r="L451" s="36"/>
      <c r="M451" s="41"/>
      <c r="N451" s="41" t="str">
        <f t="shared" si="22"/>
        <v/>
      </c>
      <c r="O451" s="42"/>
      <c r="P451" s="61" t="str">
        <f t="shared" si="21"/>
        <v>-</v>
      </c>
      <c r="Q451" s="28" t="e">
        <f>#REF!</f>
        <v>#REF!</v>
      </c>
    </row>
    <row r="452" spans="1:17">
      <c r="A452" s="52" t="str">
        <f t="shared" si="23"/>
        <v>-</v>
      </c>
      <c r="B452" s="35"/>
      <c r="C452" s="35"/>
      <c r="D452" s="35"/>
      <c r="E452" s="39"/>
      <c r="F452" s="37"/>
      <c r="G452" s="43"/>
      <c r="H452" s="43"/>
      <c r="I452" s="43"/>
      <c r="J452" s="40"/>
      <c r="K452" s="38"/>
      <c r="L452" s="36"/>
      <c r="M452" s="41"/>
      <c r="N452" s="41" t="str">
        <f t="shared" si="22"/>
        <v/>
      </c>
      <c r="O452" s="42"/>
      <c r="P452" s="61" t="str">
        <f t="shared" si="21"/>
        <v>-</v>
      </c>
      <c r="Q452" s="28" t="e">
        <f>#REF!</f>
        <v>#REF!</v>
      </c>
    </row>
    <row r="453" spans="1:17">
      <c r="A453" s="52" t="str">
        <f t="shared" si="23"/>
        <v>-</v>
      </c>
      <c r="B453" s="35"/>
      <c r="C453" s="35"/>
      <c r="D453" s="35"/>
      <c r="E453" s="39"/>
      <c r="F453" s="37"/>
      <c r="G453" s="43"/>
      <c r="H453" s="43"/>
      <c r="I453" s="43"/>
      <c r="J453" s="40"/>
      <c r="K453" s="38"/>
      <c r="L453" s="36"/>
      <c r="M453" s="41"/>
      <c r="N453" s="41" t="str">
        <f t="shared" si="22"/>
        <v/>
      </c>
      <c r="O453" s="42"/>
      <c r="P453" s="61" t="str">
        <f t="shared" si="21"/>
        <v>-</v>
      </c>
      <c r="Q453" s="28" t="e">
        <f>#REF!</f>
        <v>#REF!</v>
      </c>
    </row>
    <row r="454" spans="1:17">
      <c r="A454" s="52" t="str">
        <f t="shared" si="23"/>
        <v>-</v>
      </c>
      <c r="B454" s="35"/>
      <c r="C454" s="35"/>
      <c r="D454" s="35"/>
      <c r="E454" s="39"/>
      <c r="F454" s="37"/>
      <c r="G454" s="43"/>
      <c r="H454" s="43"/>
      <c r="I454" s="43"/>
      <c r="J454" s="40"/>
      <c r="K454" s="38"/>
      <c r="L454" s="36"/>
      <c r="M454" s="41"/>
      <c r="N454" s="41" t="str">
        <f t="shared" si="22"/>
        <v/>
      </c>
      <c r="O454" s="42"/>
      <c r="P454" s="61" t="str">
        <f t="shared" si="21"/>
        <v>-</v>
      </c>
      <c r="Q454" s="28" t="e">
        <f>#REF!</f>
        <v>#REF!</v>
      </c>
    </row>
    <row r="455" spans="1:17">
      <c r="A455" s="52" t="str">
        <f t="shared" si="23"/>
        <v>-</v>
      </c>
      <c r="B455" s="35"/>
      <c r="C455" s="35"/>
      <c r="D455" s="35"/>
      <c r="E455" s="39"/>
      <c r="F455" s="37"/>
      <c r="G455" s="43"/>
      <c r="H455" s="43"/>
      <c r="I455" s="43"/>
      <c r="J455" s="40"/>
      <c r="K455" s="38"/>
      <c r="L455" s="36"/>
      <c r="M455" s="41"/>
      <c r="N455" s="41" t="str">
        <f t="shared" si="22"/>
        <v/>
      </c>
      <c r="O455" s="42"/>
      <c r="P455" s="61" t="str">
        <f t="shared" si="21"/>
        <v>-</v>
      </c>
      <c r="Q455" s="28" t="e">
        <f>#REF!</f>
        <v>#REF!</v>
      </c>
    </row>
    <row r="456" spans="1:17">
      <c r="A456" s="52" t="str">
        <f t="shared" si="23"/>
        <v>-</v>
      </c>
      <c r="B456" s="35"/>
      <c r="C456" s="35"/>
      <c r="D456" s="35"/>
      <c r="E456" s="39"/>
      <c r="F456" s="37"/>
      <c r="G456" s="43"/>
      <c r="H456" s="43"/>
      <c r="I456" s="43"/>
      <c r="J456" s="40"/>
      <c r="K456" s="38"/>
      <c r="L456" s="36"/>
      <c r="M456" s="41"/>
      <c r="N456" s="41" t="str">
        <f t="shared" si="22"/>
        <v/>
      </c>
      <c r="O456" s="42"/>
      <c r="P456" s="61" t="str">
        <f t="shared" si="21"/>
        <v>-</v>
      </c>
      <c r="Q456" s="28" t="e">
        <f>#REF!</f>
        <v>#REF!</v>
      </c>
    </row>
    <row r="457" spans="1:17">
      <c r="A457" s="52" t="str">
        <f t="shared" si="23"/>
        <v>-</v>
      </c>
      <c r="B457" s="35"/>
      <c r="C457" s="35"/>
      <c r="D457" s="35"/>
      <c r="E457" s="39"/>
      <c r="F457" s="37"/>
      <c r="G457" s="43"/>
      <c r="H457" s="43"/>
      <c r="I457" s="43"/>
      <c r="J457" s="40"/>
      <c r="K457" s="38"/>
      <c r="L457" s="36"/>
      <c r="M457" s="41"/>
      <c r="N457" s="41" t="str">
        <f t="shared" si="22"/>
        <v/>
      </c>
      <c r="O457" s="42"/>
      <c r="P457" s="61" t="str">
        <f t="shared" si="21"/>
        <v>-</v>
      </c>
      <c r="Q457" s="28" t="e">
        <f>#REF!</f>
        <v>#REF!</v>
      </c>
    </row>
    <row r="458" spans="1:17">
      <c r="A458" s="52" t="str">
        <f t="shared" si="23"/>
        <v>-</v>
      </c>
      <c r="B458" s="35"/>
      <c r="C458" s="35"/>
      <c r="D458" s="35"/>
      <c r="E458" s="39"/>
      <c r="F458" s="37"/>
      <c r="G458" s="43"/>
      <c r="H458" s="43"/>
      <c r="I458" s="43"/>
      <c r="J458" s="40"/>
      <c r="K458" s="38"/>
      <c r="L458" s="36"/>
      <c r="M458" s="41"/>
      <c r="N458" s="41" t="str">
        <f t="shared" si="22"/>
        <v/>
      </c>
      <c r="O458" s="42"/>
      <c r="P458" s="61" t="str">
        <f t="shared" si="21"/>
        <v>-</v>
      </c>
      <c r="Q458" s="28" t="e">
        <f>#REF!</f>
        <v>#REF!</v>
      </c>
    </row>
    <row r="459" spans="1:17">
      <c r="A459" s="52" t="str">
        <f t="shared" si="23"/>
        <v>-</v>
      </c>
      <c r="B459" s="35"/>
      <c r="C459" s="35"/>
      <c r="D459" s="35"/>
      <c r="E459" s="39"/>
      <c r="F459" s="37"/>
      <c r="G459" s="43"/>
      <c r="H459" s="43"/>
      <c r="I459" s="43"/>
      <c r="J459" s="40"/>
      <c r="K459" s="38"/>
      <c r="L459" s="36"/>
      <c r="M459" s="41"/>
      <c r="N459" s="41" t="str">
        <f t="shared" si="22"/>
        <v/>
      </c>
      <c r="O459" s="42"/>
      <c r="P459" s="61" t="str">
        <f t="shared" si="21"/>
        <v>-</v>
      </c>
      <c r="Q459" s="28" t="e">
        <f>#REF!</f>
        <v>#REF!</v>
      </c>
    </row>
    <row r="460" spans="1:17">
      <c r="A460" s="52" t="str">
        <f t="shared" si="23"/>
        <v>-</v>
      </c>
      <c r="B460" s="35"/>
      <c r="C460" s="35"/>
      <c r="D460" s="35"/>
      <c r="E460" s="39"/>
      <c r="F460" s="37"/>
      <c r="G460" s="43"/>
      <c r="H460" s="43"/>
      <c r="I460" s="43"/>
      <c r="J460" s="40"/>
      <c r="K460" s="38"/>
      <c r="L460" s="36"/>
      <c r="M460" s="41"/>
      <c r="N460" s="41" t="str">
        <f t="shared" si="22"/>
        <v/>
      </c>
      <c r="O460" s="42"/>
      <c r="P460" s="61" t="str">
        <f t="shared" si="21"/>
        <v>-</v>
      </c>
      <c r="Q460" s="28" t="e">
        <f>#REF!</f>
        <v>#REF!</v>
      </c>
    </row>
    <row r="461" spans="1:17">
      <c r="A461" s="52" t="str">
        <f t="shared" si="23"/>
        <v>-</v>
      </c>
      <c r="B461" s="35"/>
      <c r="C461" s="35"/>
      <c r="D461" s="35"/>
      <c r="E461" s="39"/>
      <c r="F461" s="37"/>
      <c r="G461" s="43"/>
      <c r="H461" s="43"/>
      <c r="I461" s="43"/>
      <c r="J461" s="40"/>
      <c r="K461" s="38"/>
      <c r="L461" s="36"/>
      <c r="M461" s="41"/>
      <c r="N461" s="41" t="str">
        <f t="shared" si="22"/>
        <v/>
      </c>
      <c r="O461" s="42"/>
      <c r="P461" s="61" t="str">
        <f t="shared" si="21"/>
        <v>-</v>
      </c>
      <c r="Q461" s="28" t="e">
        <f>#REF!</f>
        <v>#REF!</v>
      </c>
    </row>
    <row r="462" spans="1:17">
      <c r="A462" s="52" t="str">
        <f t="shared" si="23"/>
        <v>-</v>
      </c>
      <c r="B462" s="35"/>
      <c r="C462" s="35"/>
      <c r="D462" s="35"/>
      <c r="E462" s="39"/>
      <c r="F462" s="37"/>
      <c r="G462" s="43"/>
      <c r="H462" s="43"/>
      <c r="I462" s="43"/>
      <c r="J462" s="40"/>
      <c r="K462" s="38"/>
      <c r="L462" s="36"/>
      <c r="M462" s="41"/>
      <c r="N462" s="41" t="str">
        <f t="shared" si="22"/>
        <v/>
      </c>
      <c r="O462" s="42"/>
      <c r="P462" s="61" t="str">
        <f t="shared" si="21"/>
        <v>-</v>
      </c>
      <c r="Q462" s="28" t="e">
        <f>#REF!</f>
        <v>#REF!</v>
      </c>
    </row>
    <row r="463" spans="1:17">
      <c r="A463" s="52" t="str">
        <f t="shared" si="23"/>
        <v>-</v>
      </c>
      <c r="B463" s="35"/>
      <c r="C463" s="35"/>
      <c r="D463" s="35"/>
      <c r="E463" s="39"/>
      <c r="F463" s="37"/>
      <c r="G463" s="43"/>
      <c r="H463" s="43"/>
      <c r="I463" s="43"/>
      <c r="J463" s="40"/>
      <c r="K463" s="38"/>
      <c r="L463" s="36"/>
      <c r="M463" s="41"/>
      <c r="N463" s="41" t="str">
        <f t="shared" si="22"/>
        <v/>
      </c>
      <c r="O463" s="42"/>
      <c r="P463" s="61" t="str">
        <f t="shared" ref="P463:P526" si="24">A463</f>
        <v>-</v>
      </c>
      <c r="Q463" s="28" t="e">
        <f>#REF!</f>
        <v>#REF!</v>
      </c>
    </row>
    <row r="464" spans="1:17">
      <c r="A464" s="52" t="str">
        <f t="shared" si="23"/>
        <v>-</v>
      </c>
      <c r="B464" s="35"/>
      <c r="C464" s="35"/>
      <c r="D464" s="35"/>
      <c r="E464" s="39"/>
      <c r="F464" s="37"/>
      <c r="G464" s="43"/>
      <c r="H464" s="43"/>
      <c r="I464" s="43"/>
      <c r="J464" s="40"/>
      <c r="K464" s="38"/>
      <c r="L464" s="36"/>
      <c r="M464" s="41"/>
      <c r="N464" s="41" t="str">
        <f t="shared" si="22"/>
        <v/>
      </c>
      <c r="O464" s="42"/>
      <c r="P464" s="61" t="str">
        <f t="shared" si="24"/>
        <v>-</v>
      </c>
      <c r="Q464" s="28" t="e">
        <f>#REF!</f>
        <v>#REF!</v>
      </c>
    </row>
    <row r="465" spans="1:17">
      <c r="A465" s="52" t="str">
        <f t="shared" si="23"/>
        <v>-</v>
      </c>
      <c r="B465" s="35"/>
      <c r="C465" s="35"/>
      <c r="D465" s="35"/>
      <c r="E465" s="39"/>
      <c r="F465" s="37"/>
      <c r="G465" s="43"/>
      <c r="H465" s="43"/>
      <c r="I465" s="43"/>
      <c r="J465" s="40"/>
      <c r="K465" s="38"/>
      <c r="L465" s="36"/>
      <c r="M465" s="41"/>
      <c r="N465" s="41" t="str">
        <f t="shared" si="22"/>
        <v/>
      </c>
      <c r="O465" s="42"/>
      <c r="P465" s="61" t="str">
        <f t="shared" si="24"/>
        <v>-</v>
      </c>
      <c r="Q465" s="28" t="e">
        <f>#REF!</f>
        <v>#REF!</v>
      </c>
    </row>
    <row r="466" spans="1:17">
      <c r="A466" s="52" t="str">
        <f t="shared" si="23"/>
        <v>-</v>
      </c>
      <c r="B466" s="35"/>
      <c r="C466" s="35"/>
      <c r="D466" s="35"/>
      <c r="E466" s="39"/>
      <c r="F466" s="37"/>
      <c r="G466" s="43"/>
      <c r="H466" s="43"/>
      <c r="I466" s="43"/>
      <c r="J466" s="40"/>
      <c r="K466" s="38"/>
      <c r="L466" s="36"/>
      <c r="M466" s="41"/>
      <c r="N466" s="41" t="str">
        <f t="shared" si="22"/>
        <v/>
      </c>
      <c r="O466" s="42"/>
      <c r="P466" s="61" t="str">
        <f t="shared" si="24"/>
        <v>-</v>
      </c>
      <c r="Q466" s="28" t="e">
        <f>#REF!</f>
        <v>#REF!</v>
      </c>
    </row>
    <row r="467" spans="1:17">
      <c r="A467" s="52" t="str">
        <f t="shared" si="23"/>
        <v>-</v>
      </c>
      <c r="B467" s="35"/>
      <c r="C467" s="35"/>
      <c r="D467" s="35"/>
      <c r="E467" s="39"/>
      <c r="F467" s="37"/>
      <c r="G467" s="43"/>
      <c r="H467" s="43"/>
      <c r="I467" s="43"/>
      <c r="J467" s="40"/>
      <c r="K467" s="38"/>
      <c r="L467" s="36"/>
      <c r="M467" s="41"/>
      <c r="N467" s="41" t="str">
        <f t="shared" si="22"/>
        <v/>
      </c>
      <c r="O467" s="42"/>
      <c r="P467" s="61" t="str">
        <f t="shared" si="24"/>
        <v>-</v>
      </c>
      <c r="Q467" s="28" t="e">
        <f>#REF!</f>
        <v>#REF!</v>
      </c>
    </row>
    <row r="468" spans="1:17">
      <c r="A468" s="52" t="str">
        <f t="shared" si="23"/>
        <v>-</v>
      </c>
      <c r="B468" s="35"/>
      <c r="C468" s="35"/>
      <c r="D468" s="35"/>
      <c r="E468" s="39"/>
      <c r="F468" s="37"/>
      <c r="G468" s="43"/>
      <c r="H468" s="43"/>
      <c r="I468" s="43"/>
      <c r="J468" s="40"/>
      <c r="K468" s="38"/>
      <c r="L468" s="36"/>
      <c r="M468" s="41"/>
      <c r="N468" s="41" t="str">
        <f t="shared" si="22"/>
        <v/>
      </c>
      <c r="O468" s="42"/>
      <c r="P468" s="61" t="str">
        <f t="shared" si="24"/>
        <v>-</v>
      </c>
      <c r="Q468" s="28" t="e">
        <f>#REF!</f>
        <v>#REF!</v>
      </c>
    </row>
    <row r="469" spans="1:17">
      <c r="A469" s="52" t="str">
        <f t="shared" si="23"/>
        <v>-</v>
      </c>
      <c r="B469" s="35"/>
      <c r="C469" s="35"/>
      <c r="D469" s="35"/>
      <c r="E469" s="39"/>
      <c r="F469" s="37"/>
      <c r="G469" s="43"/>
      <c r="H469" s="43"/>
      <c r="I469" s="43"/>
      <c r="J469" s="40"/>
      <c r="K469" s="38"/>
      <c r="L469" s="36"/>
      <c r="M469" s="41"/>
      <c r="N469" s="41" t="str">
        <f t="shared" si="22"/>
        <v/>
      </c>
      <c r="O469" s="42"/>
      <c r="P469" s="61" t="str">
        <f t="shared" si="24"/>
        <v>-</v>
      </c>
      <c r="Q469" s="28" t="e">
        <f>#REF!</f>
        <v>#REF!</v>
      </c>
    </row>
    <row r="470" spans="1:17">
      <c r="A470" s="52" t="str">
        <f t="shared" si="23"/>
        <v>-</v>
      </c>
      <c r="B470" s="35"/>
      <c r="C470" s="35"/>
      <c r="D470" s="35"/>
      <c r="E470" s="39"/>
      <c r="F470" s="37"/>
      <c r="G470" s="43"/>
      <c r="H470" s="43"/>
      <c r="I470" s="43"/>
      <c r="J470" s="40"/>
      <c r="K470" s="38"/>
      <c r="L470" s="36"/>
      <c r="M470" s="41"/>
      <c r="N470" s="41" t="str">
        <f t="shared" ref="N470:N533" si="25">IF(L470&lt;&gt;"",EDATE(M470,L470),"")</f>
        <v/>
      </c>
      <c r="O470" s="42"/>
      <c r="P470" s="61" t="str">
        <f t="shared" si="24"/>
        <v>-</v>
      </c>
      <c r="Q470" s="28" t="e">
        <f>#REF!</f>
        <v>#REF!</v>
      </c>
    </row>
    <row r="471" spans="1:17">
      <c r="A471" s="52" t="str">
        <f t="shared" si="23"/>
        <v>-</v>
      </c>
      <c r="B471" s="35"/>
      <c r="C471" s="35"/>
      <c r="D471" s="35"/>
      <c r="E471" s="39"/>
      <c r="F471" s="37"/>
      <c r="G471" s="43"/>
      <c r="H471" s="43"/>
      <c r="I471" s="43"/>
      <c r="J471" s="40"/>
      <c r="K471" s="38"/>
      <c r="L471" s="36"/>
      <c r="M471" s="41"/>
      <c r="N471" s="41" t="str">
        <f t="shared" si="25"/>
        <v/>
      </c>
      <c r="O471" s="42"/>
      <c r="P471" s="61" t="str">
        <f t="shared" si="24"/>
        <v>-</v>
      </c>
      <c r="Q471" s="28" t="e">
        <f>#REF!</f>
        <v>#REF!</v>
      </c>
    </row>
    <row r="472" spans="1:17">
      <c r="A472" s="52" t="str">
        <f t="shared" si="23"/>
        <v>-</v>
      </c>
      <c r="B472" s="35"/>
      <c r="C472" s="35"/>
      <c r="D472" s="35"/>
      <c r="E472" s="39"/>
      <c r="F472" s="37"/>
      <c r="G472" s="43"/>
      <c r="H472" s="43"/>
      <c r="I472" s="43"/>
      <c r="J472" s="40"/>
      <c r="K472" s="38"/>
      <c r="L472" s="36"/>
      <c r="M472" s="41"/>
      <c r="N472" s="41" t="str">
        <f t="shared" si="25"/>
        <v/>
      </c>
      <c r="O472" s="42"/>
      <c r="P472" s="61" t="str">
        <f t="shared" si="24"/>
        <v>-</v>
      </c>
      <c r="Q472" s="28" t="e">
        <f>#REF!</f>
        <v>#REF!</v>
      </c>
    </row>
    <row r="473" spans="1:17">
      <c r="A473" s="52" t="str">
        <f t="shared" si="23"/>
        <v>-</v>
      </c>
      <c r="B473" s="35"/>
      <c r="C473" s="35"/>
      <c r="D473" s="35"/>
      <c r="E473" s="39"/>
      <c r="F473" s="37"/>
      <c r="G473" s="43"/>
      <c r="H473" s="43"/>
      <c r="I473" s="43"/>
      <c r="J473" s="40"/>
      <c r="K473" s="38"/>
      <c r="L473" s="36"/>
      <c r="M473" s="41"/>
      <c r="N473" s="41" t="str">
        <f t="shared" si="25"/>
        <v/>
      </c>
      <c r="O473" s="42"/>
      <c r="P473" s="61" t="str">
        <f t="shared" si="24"/>
        <v>-</v>
      </c>
      <c r="Q473" s="28" t="e">
        <f>#REF!</f>
        <v>#REF!</v>
      </c>
    </row>
    <row r="474" spans="1:17">
      <c r="A474" s="52" t="str">
        <f t="shared" si="23"/>
        <v>-</v>
      </c>
      <c r="B474" s="35"/>
      <c r="C474" s="35"/>
      <c r="D474" s="35"/>
      <c r="E474" s="39"/>
      <c r="F474" s="37"/>
      <c r="G474" s="43"/>
      <c r="H474" s="43"/>
      <c r="I474" s="43"/>
      <c r="J474" s="40"/>
      <c r="K474" s="38"/>
      <c r="L474" s="36"/>
      <c r="M474" s="41"/>
      <c r="N474" s="41" t="str">
        <f t="shared" si="25"/>
        <v/>
      </c>
      <c r="O474" s="42"/>
      <c r="P474" s="61" t="str">
        <f t="shared" si="24"/>
        <v>-</v>
      </c>
      <c r="Q474" s="28" t="e">
        <f>#REF!</f>
        <v>#REF!</v>
      </c>
    </row>
    <row r="475" spans="1:17">
      <c r="A475" s="52" t="str">
        <f t="shared" si="23"/>
        <v>-</v>
      </c>
      <c r="B475" s="35"/>
      <c r="C475" s="35"/>
      <c r="D475" s="35"/>
      <c r="E475" s="39"/>
      <c r="F475" s="37"/>
      <c r="G475" s="43"/>
      <c r="H475" s="43"/>
      <c r="I475" s="43"/>
      <c r="J475" s="40"/>
      <c r="K475" s="38"/>
      <c r="L475" s="36"/>
      <c r="M475" s="41"/>
      <c r="N475" s="41" t="str">
        <f t="shared" si="25"/>
        <v/>
      </c>
      <c r="O475" s="42"/>
      <c r="P475" s="61" t="str">
        <f t="shared" si="24"/>
        <v>-</v>
      </c>
      <c r="Q475" s="28" t="e">
        <f>#REF!</f>
        <v>#REF!</v>
      </c>
    </row>
    <row r="476" spans="1:17">
      <c r="A476" s="52" t="str">
        <f t="shared" si="23"/>
        <v>-</v>
      </c>
      <c r="B476" s="35"/>
      <c r="C476" s="35"/>
      <c r="D476" s="35"/>
      <c r="E476" s="39"/>
      <c r="F476" s="37"/>
      <c r="G476" s="43"/>
      <c r="H476" s="43"/>
      <c r="I476" s="43"/>
      <c r="J476" s="40"/>
      <c r="K476" s="38"/>
      <c r="L476" s="36"/>
      <c r="M476" s="41"/>
      <c r="N476" s="41" t="str">
        <f t="shared" si="25"/>
        <v/>
      </c>
      <c r="O476" s="42"/>
      <c r="P476" s="61" t="str">
        <f t="shared" si="24"/>
        <v>-</v>
      </c>
      <c r="Q476" s="28" t="e">
        <f>#REF!</f>
        <v>#REF!</v>
      </c>
    </row>
    <row r="477" spans="1:17">
      <c r="A477" s="52" t="str">
        <f t="shared" si="23"/>
        <v>-</v>
      </c>
      <c r="B477" s="35"/>
      <c r="C477" s="35"/>
      <c r="D477" s="35"/>
      <c r="E477" s="39"/>
      <c r="F477" s="37"/>
      <c r="G477" s="43"/>
      <c r="H477" s="43"/>
      <c r="I477" s="43"/>
      <c r="J477" s="40"/>
      <c r="K477" s="38"/>
      <c r="L477" s="36"/>
      <c r="M477" s="41"/>
      <c r="N477" s="41" t="str">
        <f t="shared" si="25"/>
        <v/>
      </c>
      <c r="O477" s="42"/>
      <c r="P477" s="61" t="str">
        <f t="shared" si="24"/>
        <v>-</v>
      </c>
      <c r="Q477" s="28" t="e">
        <f>#REF!</f>
        <v>#REF!</v>
      </c>
    </row>
    <row r="478" spans="1:17">
      <c r="A478" s="52" t="str">
        <f t="shared" si="23"/>
        <v>-</v>
      </c>
      <c r="B478" s="35"/>
      <c r="C478" s="35"/>
      <c r="D478" s="35"/>
      <c r="E478" s="39"/>
      <c r="F478" s="37"/>
      <c r="G478" s="43"/>
      <c r="H478" s="43"/>
      <c r="I478" s="43"/>
      <c r="J478" s="40"/>
      <c r="K478" s="38"/>
      <c r="L478" s="36"/>
      <c r="M478" s="41"/>
      <c r="N478" s="41" t="str">
        <f t="shared" si="25"/>
        <v/>
      </c>
      <c r="O478" s="42"/>
      <c r="P478" s="61" t="str">
        <f t="shared" si="24"/>
        <v>-</v>
      </c>
      <c r="Q478" s="28" t="e">
        <f>#REF!</f>
        <v>#REF!</v>
      </c>
    </row>
    <row r="479" spans="1:17">
      <c r="A479" s="52" t="str">
        <f t="shared" si="23"/>
        <v>-</v>
      </c>
      <c r="B479" s="35"/>
      <c r="C479" s="35"/>
      <c r="D479" s="35"/>
      <c r="E479" s="39"/>
      <c r="F479" s="37"/>
      <c r="G479" s="43"/>
      <c r="H479" s="43"/>
      <c r="I479" s="43"/>
      <c r="J479" s="40"/>
      <c r="K479" s="38"/>
      <c r="L479" s="36"/>
      <c r="M479" s="41"/>
      <c r="N479" s="41" t="str">
        <f t="shared" si="25"/>
        <v/>
      </c>
      <c r="O479" s="42"/>
      <c r="P479" s="61" t="str">
        <f t="shared" si="24"/>
        <v>-</v>
      </c>
      <c r="Q479" s="28" t="e">
        <f>#REF!</f>
        <v>#REF!</v>
      </c>
    </row>
    <row r="480" spans="1:17">
      <c r="A480" s="52" t="str">
        <f t="shared" si="23"/>
        <v>-</v>
      </c>
      <c r="B480" s="35"/>
      <c r="C480" s="35"/>
      <c r="D480" s="35"/>
      <c r="E480" s="39"/>
      <c r="F480" s="37"/>
      <c r="G480" s="43"/>
      <c r="H480" s="43"/>
      <c r="I480" s="43"/>
      <c r="J480" s="40"/>
      <c r="K480" s="38"/>
      <c r="L480" s="36"/>
      <c r="M480" s="41"/>
      <c r="N480" s="41" t="str">
        <f t="shared" si="25"/>
        <v/>
      </c>
      <c r="O480" s="42"/>
      <c r="P480" s="61" t="str">
        <f t="shared" si="24"/>
        <v>-</v>
      </c>
      <c r="Q480" s="28" t="e">
        <f>#REF!</f>
        <v>#REF!</v>
      </c>
    </row>
    <row r="481" spans="1:17">
      <c r="A481" s="52" t="str">
        <f t="shared" si="23"/>
        <v>-</v>
      </c>
      <c r="B481" s="35"/>
      <c r="C481" s="35"/>
      <c r="D481" s="35"/>
      <c r="E481" s="39"/>
      <c r="F481" s="37"/>
      <c r="G481" s="43"/>
      <c r="H481" s="43"/>
      <c r="I481" s="43"/>
      <c r="J481" s="40"/>
      <c r="K481" s="38"/>
      <c r="L481" s="36"/>
      <c r="M481" s="41"/>
      <c r="N481" s="41" t="str">
        <f t="shared" si="25"/>
        <v/>
      </c>
      <c r="O481" s="42"/>
      <c r="P481" s="61" t="str">
        <f t="shared" si="24"/>
        <v>-</v>
      </c>
      <c r="Q481" s="28" t="e">
        <f>#REF!</f>
        <v>#REF!</v>
      </c>
    </row>
    <row r="482" spans="1:17">
      <c r="A482" s="52" t="str">
        <f t="shared" si="23"/>
        <v>-</v>
      </c>
      <c r="B482" s="35"/>
      <c r="C482" s="35"/>
      <c r="D482" s="35"/>
      <c r="E482" s="39"/>
      <c r="F482" s="37"/>
      <c r="G482" s="43"/>
      <c r="H482" s="43"/>
      <c r="I482" s="43"/>
      <c r="J482" s="40"/>
      <c r="K482" s="38"/>
      <c r="L482" s="36"/>
      <c r="M482" s="41"/>
      <c r="N482" s="41" t="str">
        <f t="shared" si="25"/>
        <v/>
      </c>
      <c r="O482" s="42"/>
      <c r="P482" s="61" t="str">
        <f t="shared" si="24"/>
        <v>-</v>
      </c>
      <c r="Q482" s="28" t="e">
        <f>#REF!</f>
        <v>#REF!</v>
      </c>
    </row>
    <row r="483" spans="1:17">
      <c r="A483" s="52" t="str">
        <f t="shared" si="23"/>
        <v>-</v>
      </c>
      <c r="B483" s="35"/>
      <c r="C483" s="35"/>
      <c r="D483" s="35"/>
      <c r="E483" s="39"/>
      <c r="F483" s="37"/>
      <c r="G483" s="43"/>
      <c r="H483" s="43"/>
      <c r="I483" s="43"/>
      <c r="J483" s="40"/>
      <c r="K483" s="38"/>
      <c r="L483" s="36"/>
      <c r="M483" s="41"/>
      <c r="N483" s="41" t="str">
        <f t="shared" si="25"/>
        <v/>
      </c>
      <c r="O483" s="42"/>
      <c r="P483" s="61" t="str">
        <f t="shared" si="24"/>
        <v>-</v>
      </c>
      <c r="Q483" s="28" t="e">
        <f>#REF!</f>
        <v>#REF!</v>
      </c>
    </row>
    <row r="484" spans="1:17">
      <c r="A484" s="52" t="str">
        <f t="shared" si="23"/>
        <v>-</v>
      </c>
      <c r="B484" s="35"/>
      <c r="C484" s="35"/>
      <c r="D484" s="35"/>
      <c r="E484" s="39"/>
      <c r="F484" s="37"/>
      <c r="G484" s="43"/>
      <c r="H484" s="43"/>
      <c r="I484" s="43"/>
      <c r="J484" s="40"/>
      <c r="K484" s="38"/>
      <c r="L484" s="36"/>
      <c r="M484" s="41"/>
      <c r="N484" s="41" t="str">
        <f t="shared" si="25"/>
        <v/>
      </c>
      <c r="O484" s="42"/>
      <c r="P484" s="61" t="str">
        <f t="shared" si="24"/>
        <v>-</v>
      </c>
      <c r="Q484" s="28" t="e">
        <f>#REF!</f>
        <v>#REF!</v>
      </c>
    </row>
    <row r="485" spans="1:17">
      <c r="A485" s="52" t="str">
        <f t="shared" si="23"/>
        <v>-</v>
      </c>
      <c r="B485" s="35"/>
      <c r="C485" s="35"/>
      <c r="D485" s="35"/>
      <c r="E485" s="39"/>
      <c r="F485" s="37"/>
      <c r="G485" s="43"/>
      <c r="H485" s="43"/>
      <c r="I485" s="43"/>
      <c r="J485" s="40"/>
      <c r="K485" s="38"/>
      <c r="L485" s="36"/>
      <c r="M485" s="41"/>
      <c r="N485" s="41" t="str">
        <f t="shared" si="25"/>
        <v/>
      </c>
      <c r="O485" s="42"/>
      <c r="P485" s="61" t="str">
        <f t="shared" si="24"/>
        <v>-</v>
      </c>
      <c r="Q485" s="28" t="e">
        <f>#REF!</f>
        <v>#REF!</v>
      </c>
    </row>
    <row r="486" spans="1:17">
      <c r="A486" s="52" t="str">
        <f t="shared" si="23"/>
        <v>-</v>
      </c>
      <c r="B486" s="35"/>
      <c r="C486" s="35"/>
      <c r="D486" s="35"/>
      <c r="E486" s="39"/>
      <c r="F486" s="37"/>
      <c r="G486" s="43"/>
      <c r="H486" s="43"/>
      <c r="I486" s="43"/>
      <c r="J486" s="40"/>
      <c r="K486" s="38"/>
      <c r="L486" s="36"/>
      <c r="M486" s="41"/>
      <c r="N486" s="41" t="str">
        <f t="shared" si="25"/>
        <v/>
      </c>
      <c r="O486" s="42"/>
      <c r="P486" s="61" t="str">
        <f t="shared" si="24"/>
        <v>-</v>
      </c>
      <c r="Q486" s="28" t="e">
        <f>#REF!</f>
        <v>#REF!</v>
      </c>
    </row>
    <row r="487" spans="1:17">
      <c r="A487" s="52" t="str">
        <f t="shared" si="23"/>
        <v>-</v>
      </c>
      <c r="B487" s="35"/>
      <c r="C487" s="35"/>
      <c r="D487" s="35"/>
      <c r="E487" s="39"/>
      <c r="F487" s="37"/>
      <c r="G487" s="43"/>
      <c r="H487" s="43"/>
      <c r="I487" s="43"/>
      <c r="J487" s="40"/>
      <c r="K487" s="38"/>
      <c r="L487" s="36"/>
      <c r="M487" s="41"/>
      <c r="N487" s="41" t="str">
        <f t="shared" si="25"/>
        <v/>
      </c>
      <c r="O487" s="42"/>
      <c r="P487" s="61" t="str">
        <f t="shared" si="24"/>
        <v>-</v>
      </c>
      <c r="Q487" s="28" t="e">
        <f>#REF!</f>
        <v>#REF!</v>
      </c>
    </row>
    <row r="488" spans="1:17">
      <c r="A488" s="52" t="str">
        <f t="shared" si="23"/>
        <v>-</v>
      </c>
      <c r="B488" s="35"/>
      <c r="C488" s="35"/>
      <c r="D488" s="35"/>
      <c r="E488" s="39"/>
      <c r="F488" s="37"/>
      <c r="G488" s="43"/>
      <c r="H488" s="43"/>
      <c r="I488" s="43"/>
      <c r="J488" s="40"/>
      <c r="K488" s="38"/>
      <c r="L488" s="36"/>
      <c r="M488" s="41"/>
      <c r="N488" s="41" t="str">
        <f t="shared" si="25"/>
        <v/>
      </c>
      <c r="O488" s="42"/>
      <c r="P488" s="61" t="str">
        <f t="shared" si="24"/>
        <v>-</v>
      </c>
      <c r="Q488" s="28" t="e">
        <f>#REF!</f>
        <v>#REF!</v>
      </c>
    </row>
    <row r="489" spans="1:17">
      <c r="A489" s="52" t="str">
        <f t="shared" si="23"/>
        <v>-</v>
      </c>
      <c r="B489" s="35"/>
      <c r="C489" s="35"/>
      <c r="D489" s="35"/>
      <c r="E489" s="39"/>
      <c r="F489" s="37"/>
      <c r="G489" s="43"/>
      <c r="H489" s="43"/>
      <c r="I489" s="43"/>
      <c r="J489" s="40"/>
      <c r="K489" s="38"/>
      <c r="L489" s="36"/>
      <c r="M489" s="41"/>
      <c r="N489" s="41" t="str">
        <f t="shared" si="25"/>
        <v/>
      </c>
      <c r="O489" s="42"/>
      <c r="P489" s="61" t="str">
        <f t="shared" si="24"/>
        <v>-</v>
      </c>
      <c r="Q489" s="28" t="e">
        <f>#REF!</f>
        <v>#REF!</v>
      </c>
    </row>
    <row r="490" spans="1:17">
      <c r="A490" s="52" t="str">
        <f t="shared" si="23"/>
        <v>-</v>
      </c>
      <c r="B490" s="35"/>
      <c r="C490" s="35"/>
      <c r="D490" s="35"/>
      <c r="E490" s="39"/>
      <c r="F490" s="37"/>
      <c r="G490" s="43"/>
      <c r="H490" s="43"/>
      <c r="I490" s="43"/>
      <c r="J490" s="40"/>
      <c r="K490" s="38"/>
      <c r="L490" s="36"/>
      <c r="M490" s="41"/>
      <c r="N490" s="41" t="str">
        <f t="shared" si="25"/>
        <v/>
      </c>
      <c r="O490" s="42"/>
      <c r="P490" s="61" t="str">
        <f t="shared" si="24"/>
        <v>-</v>
      </c>
      <c r="Q490" s="28" t="e">
        <f>#REF!</f>
        <v>#REF!</v>
      </c>
    </row>
    <row r="491" spans="1:17">
      <c r="A491" s="52" t="str">
        <f t="shared" si="23"/>
        <v>-</v>
      </c>
      <c r="B491" s="35"/>
      <c r="C491" s="35"/>
      <c r="D491" s="35"/>
      <c r="E491" s="39"/>
      <c r="F491" s="37"/>
      <c r="G491" s="43"/>
      <c r="H491" s="43"/>
      <c r="I491" s="43"/>
      <c r="J491" s="40"/>
      <c r="K491" s="38"/>
      <c r="L491" s="36"/>
      <c r="M491" s="41"/>
      <c r="N491" s="41" t="str">
        <f t="shared" si="25"/>
        <v/>
      </c>
      <c r="O491" s="42"/>
      <c r="P491" s="61" t="str">
        <f t="shared" si="24"/>
        <v>-</v>
      </c>
      <c r="Q491" s="28" t="e">
        <f>#REF!</f>
        <v>#REF!</v>
      </c>
    </row>
    <row r="492" spans="1:17">
      <c r="A492" s="52" t="str">
        <f t="shared" si="23"/>
        <v>-</v>
      </c>
      <c r="B492" s="35"/>
      <c r="C492" s="35"/>
      <c r="D492" s="35"/>
      <c r="E492" s="39"/>
      <c r="F492" s="37"/>
      <c r="G492" s="43"/>
      <c r="H492" s="43"/>
      <c r="I492" s="43"/>
      <c r="J492" s="40"/>
      <c r="K492" s="38"/>
      <c r="L492" s="36"/>
      <c r="M492" s="41"/>
      <c r="N492" s="41" t="str">
        <f t="shared" si="25"/>
        <v/>
      </c>
      <c r="O492" s="42"/>
      <c r="P492" s="61" t="str">
        <f t="shared" si="24"/>
        <v>-</v>
      </c>
      <c r="Q492" s="28" t="e">
        <f>#REF!</f>
        <v>#REF!</v>
      </c>
    </row>
    <row r="493" spans="1:17">
      <c r="A493" s="52" t="str">
        <f t="shared" si="23"/>
        <v>-</v>
      </c>
      <c r="B493" s="35"/>
      <c r="C493" s="35"/>
      <c r="D493" s="35"/>
      <c r="E493" s="39"/>
      <c r="F493" s="37"/>
      <c r="G493" s="43"/>
      <c r="H493" s="43"/>
      <c r="I493" s="43"/>
      <c r="J493" s="40"/>
      <c r="K493" s="38"/>
      <c r="L493" s="36"/>
      <c r="M493" s="41"/>
      <c r="N493" s="41" t="str">
        <f t="shared" si="25"/>
        <v/>
      </c>
      <c r="O493" s="42"/>
      <c r="P493" s="61" t="str">
        <f t="shared" si="24"/>
        <v>-</v>
      </c>
      <c r="Q493" s="28" t="e">
        <f>#REF!</f>
        <v>#REF!</v>
      </c>
    </row>
    <row r="494" spans="1:17">
      <c r="A494" s="52" t="str">
        <f t="shared" si="23"/>
        <v>-</v>
      </c>
      <c r="B494" s="35"/>
      <c r="C494" s="35"/>
      <c r="D494" s="35"/>
      <c r="E494" s="39"/>
      <c r="F494" s="37"/>
      <c r="G494" s="43"/>
      <c r="H494" s="43"/>
      <c r="I494" s="43"/>
      <c r="J494" s="40"/>
      <c r="K494" s="38"/>
      <c r="L494" s="36"/>
      <c r="M494" s="41"/>
      <c r="N494" s="41" t="str">
        <f t="shared" si="25"/>
        <v/>
      </c>
      <c r="O494" s="42"/>
      <c r="P494" s="61" t="str">
        <f t="shared" si="24"/>
        <v>-</v>
      </c>
      <c r="Q494" s="28" t="e">
        <f>#REF!</f>
        <v>#REF!</v>
      </c>
    </row>
    <row r="495" spans="1:17">
      <c r="A495" s="52" t="str">
        <f t="shared" ref="A495:A558" si="26">CONCATENATE(B495,"-",C495)</f>
        <v>-</v>
      </c>
      <c r="B495" s="35"/>
      <c r="C495" s="35"/>
      <c r="D495" s="35"/>
      <c r="E495" s="39"/>
      <c r="F495" s="37"/>
      <c r="G495" s="43"/>
      <c r="H495" s="43"/>
      <c r="I495" s="43"/>
      <c r="J495" s="40"/>
      <c r="K495" s="38"/>
      <c r="L495" s="36"/>
      <c r="M495" s="41"/>
      <c r="N495" s="41" t="str">
        <f t="shared" si="25"/>
        <v/>
      </c>
      <c r="O495" s="42"/>
      <c r="P495" s="61" t="str">
        <f t="shared" si="24"/>
        <v>-</v>
      </c>
      <c r="Q495" s="28" t="e">
        <f>#REF!</f>
        <v>#REF!</v>
      </c>
    </row>
    <row r="496" spans="1:17">
      <c r="A496" s="52" t="str">
        <f t="shared" si="26"/>
        <v>-</v>
      </c>
      <c r="B496" s="35"/>
      <c r="C496" s="35"/>
      <c r="D496" s="35"/>
      <c r="E496" s="39"/>
      <c r="F496" s="37"/>
      <c r="G496" s="43"/>
      <c r="H496" s="43"/>
      <c r="I496" s="43"/>
      <c r="J496" s="40"/>
      <c r="K496" s="38"/>
      <c r="L496" s="36"/>
      <c r="M496" s="41"/>
      <c r="N496" s="41" t="str">
        <f t="shared" si="25"/>
        <v/>
      </c>
      <c r="O496" s="42"/>
      <c r="P496" s="61" t="str">
        <f t="shared" si="24"/>
        <v>-</v>
      </c>
      <c r="Q496" s="28" t="e">
        <f>#REF!</f>
        <v>#REF!</v>
      </c>
    </row>
    <row r="497" spans="1:17">
      <c r="A497" s="52" t="str">
        <f t="shared" si="26"/>
        <v>-</v>
      </c>
      <c r="B497" s="35"/>
      <c r="C497" s="35"/>
      <c r="D497" s="35"/>
      <c r="E497" s="39"/>
      <c r="F497" s="37"/>
      <c r="G497" s="43"/>
      <c r="H497" s="43"/>
      <c r="I497" s="43"/>
      <c r="J497" s="40"/>
      <c r="K497" s="38"/>
      <c r="L497" s="36"/>
      <c r="M497" s="41"/>
      <c r="N497" s="41" t="str">
        <f t="shared" si="25"/>
        <v/>
      </c>
      <c r="O497" s="42"/>
      <c r="P497" s="61" t="str">
        <f t="shared" si="24"/>
        <v>-</v>
      </c>
      <c r="Q497" s="28" t="e">
        <f>#REF!</f>
        <v>#REF!</v>
      </c>
    </row>
    <row r="498" spans="1:17">
      <c r="A498" s="52" t="str">
        <f t="shared" si="26"/>
        <v>-</v>
      </c>
      <c r="B498" s="35"/>
      <c r="C498" s="35"/>
      <c r="D498" s="35"/>
      <c r="E498" s="39"/>
      <c r="F498" s="37"/>
      <c r="G498" s="43"/>
      <c r="H498" s="43"/>
      <c r="I498" s="43"/>
      <c r="J498" s="40"/>
      <c r="K498" s="38"/>
      <c r="L498" s="36"/>
      <c r="M498" s="41"/>
      <c r="N498" s="41" t="str">
        <f t="shared" si="25"/>
        <v/>
      </c>
      <c r="O498" s="42"/>
      <c r="P498" s="61" t="str">
        <f t="shared" si="24"/>
        <v>-</v>
      </c>
      <c r="Q498" s="28" t="e">
        <f>#REF!</f>
        <v>#REF!</v>
      </c>
    </row>
    <row r="499" spans="1:17">
      <c r="A499" s="52" t="str">
        <f t="shared" si="26"/>
        <v>-</v>
      </c>
      <c r="B499" s="35"/>
      <c r="C499" s="35"/>
      <c r="D499" s="35"/>
      <c r="E499" s="39"/>
      <c r="F499" s="37"/>
      <c r="G499" s="43"/>
      <c r="H499" s="43"/>
      <c r="I499" s="43"/>
      <c r="J499" s="40"/>
      <c r="K499" s="38"/>
      <c r="L499" s="36"/>
      <c r="M499" s="41"/>
      <c r="N499" s="41" t="str">
        <f t="shared" si="25"/>
        <v/>
      </c>
      <c r="O499" s="42"/>
      <c r="P499" s="61" t="str">
        <f t="shared" si="24"/>
        <v>-</v>
      </c>
      <c r="Q499" s="28" t="e">
        <f>#REF!</f>
        <v>#REF!</v>
      </c>
    </row>
    <row r="500" spans="1:17">
      <c r="A500" s="52" t="str">
        <f t="shared" si="26"/>
        <v>-</v>
      </c>
      <c r="B500" s="35"/>
      <c r="C500" s="35"/>
      <c r="D500" s="35"/>
      <c r="E500" s="39"/>
      <c r="F500" s="37"/>
      <c r="G500" s="43"/>
      <c r="H500" s="43"/>
      <c r="I500" s="43"/>
      <c r="J500" s="40"/>
      <c r="K500" s="38"/>
      <c r="L500" s="36"/>
      <c r="M500" s="41"/>
      <c r="N500" s="41" t="str">
        <f t="shared" si="25"/>
        <v/>
      </c>
      <c r="O500" s="42"/>
      <c r="P500" s="61" t="str">
        <f t="shared" si="24"/>
        <v>-</v>
      </c>
      <c r="Q500" s="28" t="e">
        <f>#REF!</f>
        <v>#REF!</v>
      </c>
    </row>
    <row r="501" spans="1:17">
      <c r="A501" s="52" t="str">
        <f t="shared" si="26"/>
        <v>-</v>
      </c>
      <c r="B501" s="35"/>
      <c r="C501" s="35"/>
      <c r="D501" s="35"/>
      <c r="E501" s="39"/>
      <c r="F501" s="37"/>
      <c r="G501" s="43"/>
      <c r="H501" s="43"/>
      <c r="I501" s="43"/>
      <c r="J501" s="40"/>
      <c r="K501" s="38"/>
      <c r="L501" s="36"/>
      <c r="M501" s="41"/>
      <c r="N501" s="41" t="str">
        <f t="shared" si="25"/>
        <v/>
      </c>
      <c r="O501" s="42"/>
      <c r="P501" s="61" t="str">
        <f t="shared" si="24"/>
        <v>-</v>
      </c>
      <c r="Q501" s="28" t="e">
        <f>#REF!</f>
        <v>#REF!</v>
      </c>
    </row>
    <row r="502" spans="1:17">
      <c r="A502" s="52" t="str">
        <f t="shared" si="26"/>
        <v>-</v>
      </c>
      <c r="B502" s="35"/>
      <c r="C502" s="35"/>
      <c r="D502" s="35"/>
      <c r="E502" s="39"/>
      <c r="F502" s="37"/>
      <c r="G502" s="43"/>
      <c r="H502" s="43"/>
      <c r="I502" s="43"/>
      <c r="J502" s="40"/>
      <c r="K502" s="38"/>
      <c r="L502" s="36"/>
      <c r="M502" s="41"/>
      <c r="N502" s="41" t="str">
        <f t="shared" si="25"/>
        <v/>
      </c>
      <c r="O502" s="42"/>
      <c r="P502" s="61" t="str">
        <f t="shared" si="24"/>
        <v>-</v>
      </c>
      <c r="Q502" s="28" t="e">
        <f>#REF!</f>
        <v>#REF!</v>
      </c>
    </row>
    <row r="503" spans="1:17">
      <c r="A503" s="52" t="str">
        <f t="shared" si="26"/>
        <v>-</v>
      </c>
      <c r="B503" s="35"/>
      <c r="C503" s="35"/>
      <c r="D503" s="35"/>
      <c r="E503" s="39"/>
      <c r="F503" s="37"/>
      <c r="G503" s="43"/>
      <c r="H503" s="43"/>
      <c r="I503" s="43"/>
      <c r="J503" s="40"/>
      <c r="K503" s="38"/>
      <c r="L503" s="36"/>
      <c r="M503" s="41"/>
      <c r="N503" s="41" t="str">
        <f t="shared" si="25"/>
        <v/>
      </c>
      <c r="O503" s="42"/>
      <c r="P503" s="61" t="str">
        <f t="shared" si="24"/>
        <v>-</v>
      </c>
      <c r="Q503" s="28" t="e">
        <f>#REF!</f>
        <v>#REF!</v>
      </c>
    </row>
    <row r="504" spans="1:17">
      <c r="A504" s="52" t="str">
        <f t="shared" si="26"/>
        <v>-</v>
      </c>
      <c r="B504" s="35"/>
      <c r="C504" s="35"/>
      <c r="D504" s="35"/>
      <c r="E504" s="39"/>
      <c r="F504" s="37"/>
      <c r="G504" s="43"/>
      <c r="H504" s="43"/>
      <c r="I504" s="43"/>
      <c r="J504" s="40"/>
      <c r="K504" s="38"/>
      <c r="L504" s="36"/>
      <c r="M504" s="41"/>
      <c r="N504" s="41" t="str">
        <f t="shared" si="25"/>
        <v/>
      </c>
      <c r="O504" s="42"/>
      <c r="P504" s="61" t="str">
        <f t="shared" si="24"/>
        <v>-</v>
      </c>
      <c r="Q504" s="28" t="e">
        <f>#REF!</f>
        <v>#REF!</v>
      </c>
    </row>
    <row r="505" spans="1:17">
      <c r="A505" s="52" t="str">
        <f t="shared" si="26"/>
        <v>-</v>
      </c>
      <c r="B505" s="35"/>
      <c r="C505" s="35"/>
      <c r="D505" s="35"/>
      <c r="E505" s="39"/>
      <c r="F505" s="37"/>
      <c r="G505" s="43"/>
      <c r="H505" s="43"/>
      <c r="I505" s="43"/>
      <c r="J505" s="40"/>
      <c r="K505" s="38"/>
      <c r="L505" s="36"/>
      <c r="M505" s="41"/>
      <c r="N505" s="41" t="str">
        <f t="shared" si="25"/>
        <v/>
      </c>
      <c r="O505" s="42"/>
      <c r="P505" s="61" t="str">
        <f t="shared" si="24"/>
        <v>-</v>
      </c>
      <c r="Q505" s="28" t="e">
        <f>#REF!</f>
        <v>#REF!</v>
      </c>
    </row>
    <row r="506" spans="1:17">
      <c r="A506" s="52" t="str">
        <f t="shared" si="26"/>
        <v>-</v>
      </c>
      <c r="B506" s="35"/>
      <c r="C506" s="35"/>
      <c r="D506" s="35"/>
      <c r="E506" s="39"/>
      <c r="F506" s="37"/>
      <c r="G506" s="43"/>
      <c r="H506" s="43"/>
      <c r="I506" s="43"/>
      <c r="J506" s="40"/>
      <c r="K506" s="38"/>
      <c r="L506" s="36"/>
      <c r="M506" s="41"/>
      <c r="N506" s="41" t="str">
        <f t="shared" si="25"/>
        <v/>
      </c>
      <c r="O506" s="42"/>
      <c r="P506" s="61" t="str">
        <f t="shared" si="24"/>
        <v>-</v>
      </c>
      <c r="Q506" s="28" t="e">
        <f>#REF!</f>
        <v>#REF!</v>
      </c>
    </row>
    <row r="507" spans="1:17">
      <c r="A507" s="52" t="str">
        <f t="shared" si="26"/>
        <v>-</v>
      </c>
      <c r="B507" s="35"/>
      <c r="C507" s="35"/>
      <c r="D507" s="35"/>
      <c r="E507" s="39"/>
      <c r="F507" s="37"/>
      <c r="G507" s="43"/>
      <c r="H507" s="43"/>
      <c r="I507" s="43"/>
      <c r="J507" s="40"/>
      <c r="K507" s="38"/>
      <c r="L507" s="36"/>
      <c r="M507" s="41"/>
      <c r="N507" s="41" t="str">
        <f t="shared" si="25"/>
        <v/>
      </c>
      <c r="O507" s="42"/>
      <c r="P507" s="61" t="str">
        <f t="shared" si="24"/>
        <v>-</v>
      </c>
      <c r="Q507" s="28" t="e">
        <f>#REF!</f>
        <v>#REF!</v>
      </c>
    </row>
    <row r="508" spans="1:17">
      <c r="A508" s="52" t="str">
        <f t="shared" si="26"/>
        <v>-</v>
      </c>
      <c r="B508" s="35"/>
      <c r="C508" s="35"/>
      <c r="D508" s="35"/>
      <c r="E508" s="39"/>
      <c r="F508" s="37"/>
      <c r="G508" s="43"/>
      <c r="H508" s="43"/>
      <c r="I508" s="43"/>
      <c r="J508" s="40"/>
      <c r="K508" s="38"/>
      <c r="L508" s="36"/>
      <c r="M508" s="41"/>
      <c r="N508" s="41" t="str">
        <f t="shared" si="25"/>
        <v/>
      </c>
      <c r="O508" s="42"/>
      <c r="P508" s="61" t="str">
        <f t="shared" si="24"/>
        <v>-</v>
      </c>
      <c r="Q508" s="28" t="e">
        <f>#REF!</f>
        <v>#REF!</v>
      </c>
    </row>
    <row r="509" spans="1:17">
      <c r="A509" s="52" t="str">
        <f t="shared" si="26"/>
        <v>-</v>
      </c>
      <c r="B509" s="35"/>
      <c r="C509" s="35"/>
      <c r="D509" s="35"/>
      <c r="E509" s="39"/>
      <c r="F509" s="37"/>
      <c r="G509" s="43"/>
      <c r="H509" s="43"/>
      <c r="I509" s="43"/>
      <c r="J509" s="40"/>
      <c r="K509" s="38"/>
      <c r="L509" s="36"/>
      <c r="M509" s="41"/>
      <c r="N509" s="41" t="str">
        <f t="shared" si="25"/>
        <v/>
      </c>
      <c r="O509" s="42"/>
      <c r="P509" s="61" t="str">
        <f t="shared" si="24"/>
        <v>-</v>
      </c>
      <c r="Q509" s="28" t="e">
        <f>#REF!</f>
        <v>#REF!</v>
      </c>
    </row>
    <row r="510" spans="1:17">
      <c r="A510" s="52" t="str">
        <f t="shared" si="26"/>
        <v>-</v>
      </c>
      <c r="B510" s="35"/>
      <c r="C510" s="35"/>
      <c r="D510" s="35"/>
      <c r="E510" s="39"/>
      <c r="F510" s="37"/>
      <c r="G510" s="43"/>
      <c r="H510" s="43"/>
      <c r="I510" s="43"/>
      <c r="J510" s="40"/>
      <c r="K510" s="38"/>
      <c r="L510" s="36"/>
      <c r="M510" s="41"/>
      <c r="N510" s="41" t="str">
        <f t="shared" si="25"/>
        <v/>
      </c>
      <c r="O510" s="42"/>
      <c r="P510" s="61" t="str">
        <f t="shared" si="24"/>
        <v>-</v>
      </c>
      <c r="Q510" s="28" t="e">
        <f>#REF!</f>
        <v>#REF!</v>
      </c>
    </row>
    <row r="511" spans="1:17">
      <c r="A511" s="52" t="str">
        <f t="shared" si="26"/>
        <v>-</v>
      </c>
      <c r="B511" s="35"/>
      <c r="C511" s="35"/>
      <c r="D511" s="35"/>
      <c r="E511" s="39"/>
      <c r="F511" s="37"/>
      <c r="G511" s="43"/>
      <c r="H511" s="43"/>
      <c r="I511" s="43"/>
      <c r="J511" s="40"/>
      <c r="K511" s="38"/>
      <c r="L511" s="36"/>
      <c r="M511" s="41"/>
      <c r="N511" s="41" t="str">
        <f t="shared" si="25"/>
        <v/>
      </c>
      <c r="O511" s="42"/>
      <c r="P511" s="61" t="str">
        <f t="shared" si="24"/>
        <v>-</v>
      </c>
      <c r="Q511" s="28" t="e">
        <f>#REF!</f>
        <v>#REF!</v>
      </c>
    </row>
    <row r="512" spans="1:17">
      <c r="A512" s="52" t="str">
        <f t="shared" si="26"/>
        <v>-</v>
      </c>
      <c r="B512" s="35"/>
      <c r="C512" s="35"/>
      <c r="D512" s="35"/>
      <c r="E512" s="39"/>
      <c r="F512" s="37"/>
      <c r="G512" s="43"/>
      <c r="H512" s="43"/>
      <c r="I512" s="43"/>
      <c r="J512" s="40"/>
      <c r="K512" s="38"/>
      <c r="L512" s="36"/>
      <c r="M512" s="41"/>
      <c r="N512" s="41" t="str">
        <f t="shared" si="25"/>
        <v/>
      </c>
      <c r="O512" s="42"/>
      <c r="P512" s="61" t="str">
        <f t="shared" si="24"/>
        <v>-</v>
      </c>
      <c r="Q512" s="28" t="e">
        <f>#REF!</f>
        <v>#REF!</v>
      </c>
    </row>
    <row r="513" spans="1:17">
      <c r="A513" s="52" t="str">
        <f t="shared" si="26"/>
        <v>-</v>
      </c>
      <c r="B513" s="35"/>
      <c r="C513" s="35"/>
      <c r="D513" s="35"/>
      <c r="E513" s="39"/>
      <c r="F513" s="37"/>
      <c r="G513" s="43"/>
      <c r="H513" s="43"/>
      <c r="I513" s="43"/>
      <c r="J513" s="40"/>
      <c r="K513" s="38"/>
      <c r="L513" s="36"/>
      <c r="M513" s="41"/>
      <c r="N513" s="41" t="str">
        <f t="shared" si="25"/>
        <v/>
      </c>
      <c r="O513" s="42"/>
      <c r="P513" s="61" t="str">
        <f t="shared" si="24"/>
        <v>-</v>
      </c>
      <c r="Q513" s="28" t="e">
        <f>#REF!</f>
        <v>#REF!</v>
      </c>
    </row>
    <row r="514" spans="1:17">
      <c r="A514" s="52" t="str">
        <f t="shared" si="26"/>
        <v>-</v>
      </c>
      <c r="B514" s="35"/>
      <c r="C514" s="35"/>
      <c r="D514" s="35"/>
      <c r="E514" s="39"/>
      <c r="F514" s="37"/>
      <c r="G514" s="43"/>
      <c r="H514" s="43"/>
      <c r="I514" s="43"/>
      <c r="J514" s="40"/>
      <c r="K514" s="38"/>
      <c r="L514" s="36"/>
      <c r="M514" s="41"/>
      <c r="N514" s="41" t="str">
        <f t="shared" si="25"/>
        <v/>
      </c>
      <c r="O514" s="42"/>
      <c r="P514" s="61" t="str">
        <f t="shared" si="24"/>
        <v>-</v>
      </c>
      <c r="Q514" s="28" t="e">
        <f>#REF!</f>
        <v>#REF!</v>
      </c>
    </row>
    <row r="515" spans="1:17">
      <c r="A515" s="52" t="str">
        <f t="shared" si="26"/>
        <v>-</v>
      </c>
      <c r="B515" s="35"/>
      <c r="C515" s="35"/>
      <c r="D515" s="35"/>
      <c r="E515" s="39"/>
      <c r="F515" s="37"/>
      <c r="G515" s="43"/>
      <c r="H515" s="43"/>
      <c r="I515" s="43"/>
      <c r="J515" s="40"/>
      <c r="K515" s="38"/>
      <c r="L515" s="36"/>
      <c r="M515" s="41"/>
      <c r="N515" s="41" t="str">
        <f t="shared" si="25"/>
        <v/>
      </c>
      <c r="O515" s="42"/>
      <c r="P515" s="61" t="str">
        <f t="shared" si="24"/>
        <v>-</v>
      </c>
      <c r="Q515" s="28" t="e">
        <f>#REF!</f>
        <v>#REF!</v>
      </c>
    </row>
    <row r="516" spans="1:17">
      <c r="A516" s="52" t="str">
        <f t="shared" si="26"/>
        <v>-</v>
      </c>
      <c r="B516" s="35"/>
      <c r="C516" s="35"/>
      <c r="D516" s="35"/>
      <c r="E516" s="39"/>
      <c r="F516" s="37"/>
      <c r="G516" s="43"/>
      <c r="H516" s="43"/>
      <c r="I516" s="43"/>
      <c r="J516" s="40"/>
      <c r="K516" s="38"/>
      <c r="L516" s="36"/>
      <c r="M516" s="41"/>
      <c r="N516" s="41" t="str">
        <f t="shared" si="25"/>
        <v/>
      </c>
      <c r="O516" s="42"/>
      <c r="P516" s="61" t="str">
        <f t="shared" si="24"/>
        <v>-</v>
      </c>
      <c r="Q516" s="28" t="e">
        <f>#REF!</f>
        <v>#REF!</v>
      </c>
    </row>
    <row r="517" spans="1:17">
      <c r="A517" s="52" t="str">
        <f t="shared" si="26"/>
        <v>-</v>
      </c>
      <c r="B517" s="35"/>
      <c r="C517" s="35"/>
      <c r="D517" s="35"/>
      <c r="E517" s="39"/>
      <c r="F517" s="37"/>
      <c r="G517" s="43"/>
      <c r="H517" s="43"/>
      <c r="I517" s="43"/>
      <c r="J517" s="40"/>
      <c r="K517" s="38"/>
      <c r="L517" s="36"/>
      <c r="M517" s="41"/>
      <c r="N517" s="41" t="str">
        <f t="shared" si="25"/>
        <v/>
      </c>
      <c r="O517" s="42"/>
      <c r="P517" s="61" t="str">
        <f t="shared" si="24"/>
        <v>-</v>
      </c>
      <c r="Q517" s="28" t="e">
        <f>#REF!</f>
        <v>#REF!</v>
      </c>
    </row>
    <row r="518" spans="1:17">
      <c r="A518" s="52" t="str">
        <f t="shared" si="26"/>
        <v>-</v>
      </c>
      <c r="B518" s="35"/>
      <c r="C518" s="35"/>
      <c r="D518" s="35"/>
      <c r="E518" s="39"/>
      <c r="F518" s="37"/>
      <c r="G518" s="43"/>
      <c r="H518" s="43"/>
      <c r="I518" s="43"/>
      <c r="J518" s="40"/>
      <c r="K518" s="38"/>
      <c r="L518" s="36"/>
      <c r="M518" s="41"/>
      <c r="N518" s="41" t="str">
        <f t="shared" si="25"/>
        <v/>
      </c>
      <c r="O518" s="42"/>
      <c r="P518" s="61" t="str">
        <f t="shared" si="24"/>
        <v>-</v>
      </c>
      <c r="Q518" s="28" t="e">
        <f>#REF!</f>
        <v>#REF!</v>
      </c>
    </row>
    <row r="519" spans="1:17">
      <c r="A519" s="52" t="str">
        <f t="shared" si="26"/>
        <v>-</v>
      </c>
      <c r="B519" s="35"/>
      <c r="C519" s="35"/>
      <c r="D519" s="35"/>
      <c r="E519" s="39"/>
      <c r="F519" s="37"/>
      <c r="G519" s="43"/>
      <c r="H519" s="43"/>
      <c r="I519" s="43"/>
      <c r="J519" s="40"/>
      <c r="K519" s="38"/>
      <c r="L519" s="36"/>
      <c r="M519" s="41"/>
      <c r="N519" s="41" t="str">
        <f t="shared" si="25"/>
        <v/>
      </c>
      <c r="O519" s="42"/>
      <c r="P519" s="61" t="str">
        <f t="shared" si="24"/>
        <v>-</v>
      </c>
      <c r="Q519" s="28" t="e">
        <f>#REF!</f>
        <v>#REF!</v>
      </c>
    </row>
    <row r="520" spans="1:17">
      <c r="A520" s="52" t="str">
        <f t="shared" si="26"/>
        <v>-</v>
      </c>
      <c r="B520" s="35"/>
      <c r="C520" s="35"/>
      <c r="D520" s="35"/>
      <c r="E520" s="39"/>
      <c r="F520" s="37"/>
      <c r="G520" s="43"/>
      <c r="H520" s="43"/>
      <c r="I520" s="43"/>
      <c r="J520" s="40"/>
      <c r="K520" s="38"/>
      <c r="L520" s="36"/>
      <c r="M520" s="41"/>
      <c r="N520" s="41" t="str">
        <f t="shared" si="25"/>
        <v/>
      </c>
      <c r="O520" s="42"/>
      <c r="P520" s="61" t="str">
        <f t="shared" si="24"/>
        <v>-</v>
      </c>
      <c r="Q520" s="28" t="e">
        <f>#REF!</f>
        <v>#REF!</v>
      </c>
    </row>
    <row r="521" spans="1:17">
      <c r="A521" s="52" t="str">
        <f t="shared" si="26"/>
        <v>-</v>
      </c>
      <c r="B521" s="35"/>
      <c r="C521" s="35"/>
      <c r="D521" s="35"/>
      <c r="E521" s="39"/>
      <c r="F521" s="37"/>
      <c r="G521" s="43"/>
      <c r="H521" s="43"/>
      <c r="I521" s="43"/>
      <c r="J521" s="40"/>
      <c r="K521" s="38"/>
      <c r="L521" s="36"/>
      <c r="M521" s="41"/>
      <c r="N521" s="41" t="str">
        <f t="shared" si="25"/>
        <v/>
      </c>
      <c r="O521" s="42"/>
      <c r="P521" s="61" t="str">
        <f t="shared" si="24"/>
        <v>-</v>
      </c>
      <c r="Q521" s="28" t="e">
        <f>#REF!</f>
        <v>#REF!</v>
      </c>
    </row>
    <row r="522" spans="1:17">
      <c r="A522" s="52" t="str">
        <f t="shared" si="26"/>
        <v>-</v>
      </c>
      <c r="B522" s="35"/>
      <c r="C522" s="35"/>
      <c r="D522" s="35"/>
      <c r="E522" s="39"/>
      <c r="F522" s="37"/>
      <c r="G522" s="43"/>
      <c r="H522" s="43"/>
      <c r="I522" s="43"/>
      <c r="J522" s="40"/>
      <c r="K522" s="38"/>
      <c r="L522" s="36"/>
      <c r="M522" s="41"/>
      <c r="N522" s="41" t="str">
        <f t="shared" si="25"/>
        <v/>
      </c>
      <c r="O522" s="42"/>
      <c r="P522" s="61" t="str">
        <f t="shared" si="24"/>
        <v>-</v>
      </c>
      <c r="Q522" s="28" t="e">
        <f>#REF!</f>
        <v>#REF!</v>
      </c>
    </row>
    <row r="523" spans="1:17">
      <c r="A523" s="52" t="str">
        <f t="shared" si="26"/>
        <v>-</v>
      </c>
      <c r="B523" s="35"/>
      <c r="C523" s="35"/>
      <c r="D523" s="35"/>
      <c r="E523" s="39"/>
      <c r="F523" s="37"/>
      <c r="G523" s="43"/>
      <c r="H523" s="43"/>
      <c r="I523" s="43"/>
      <c r="J523" s="40"/>
      <c r="K523" s="38"/>
      <c r="L523" s="36"/>
      <c r="M523" s="41"/>
      <c r="N523" s="41" t="str">
        <f t="shared" si="25"/>
        <v/>
      </c>
      <c r="O523" s="42"/>
      <c r="P523" s="61" t="str">
        <f t="shared" si="24"/>
        <v>-</v>
      </c>
      <c r="Q523" s="28" t="e">
        <f>#REF!</f>
        <v>#REF!</v>
      </c>
    </row>
    <row r="524" spans="1:17">
      <c r="A524" s="52" t="str">
        <f t="shared" si="26"/>
        <v>-</v>
      </c>
      <c r="B524" s="35"/>
      <c r="C524" s="35"/>
      <c r="D524" s="35"/>
      <c r="E524" s="39"/>
      <c r="F524" s="37"/>
      <c r="G524" s="43"/>
      <c r="H524" s="43"/>
      <c r="I524" s="43"/>
      <c r="J524" s="40"/>
      <c r="K524" s="38"/>
      <c r="L524" s="36"/>
      <c r="M524" s="41"/>
      <c r="N524" s="41" t="str">
        <f t="shared" si="25"/>
        <v/>
      </c>
      <c r="O524" s="42"/>
      <c r="P524" s="61" t="str">
        <f t="shared" si="24"/>
        <v>-</v>
      </c>
      <c r="Q524" s="28" t="e">
        <f>#REF!</f>
        <v>#REF!</v>
      </c>
    </row>
    <row r="525" spans="1:17">
      <c r="A525" s="52" t="str">
        <f t="shared" si="26"/>
        <v>-</v>
      </c>
      <c r="B525" s="35"/>
      <c r="C525" s="35"/>
      <c r="D525" s="35"/>
      <c r="E525" s="39"/>
      <c r="F525" s="37"/>
      <c r="G525" s="43"/>
      <c r="H525" s="43"/>
      <c r="I525" s="43"/>
      <c r="J525" s="40"/>
      <c r="K525" s="38"/>
      <c r="L525" s="36"/>
      <c r="M525" s="41"/>
      <c r="N525" s="41" t="str">
        <f t="shared" si="25"/>
        <v/>
      </c>
      <c r="O525" s="42"/>
      <c r="P525" s="61" t="str">
        <f t="shared" si="24"/>
        <v>-</v>
      </c>
      <c r="Q525" s="28" t="e">
        <f>#REF!</f>
        <v>#REF!</v>
      </c>
    </row>
    <row r="526" spans="1:17">
      <c r="A526" s="52" t="str">
        <f t="shared" si="26"/>
        <v>-</v>
      </c>
      <c r="B526" s="35"/>
      <c r="C526" s="35"/>
      <c r="D526" s="35"/>
      <c r="E526" s="39"/>
      <c r="F526" s="37"/>
      <c r="G526" s="43"/>
      <c r="H526" s="43"/>
      <c r="I526" s="43"/>
      <c r="J526" s="40"/>
      <c r="K526" s="38"/>
      <c r="L526" s="36"/>
      <c r="M526" s="41"/>
      <c r="N526" s="41" t="str">
        <f t="shared" si="25"/>
        <v/>
      </c>
      <c r="O526" s="42"/>
      <c r="P526" s="61" t="str">
        <f t="shared" si="24"/>
        <v>-</v>
      </c>
      <c r="Q526" s="28" t="e">
        <f>#REF!</f>
        <v>#REF!</v>
      </c>
    </row>
    <row r="527" spans="1:17">
      <c r="A527" s="52" t="str">
        <f t="shared" si="26"/>
        <v>-</v>
      </c>
      <c r="B527" s="35"/>
      <c r="C527" s="35"/>
      <c r="D527" s="35"/>
      <c r="E527" s="39"/>
      <c r="F527" s="37"/>
      <c r="G527" s="43"/>
      <c r="H527" s="43"/>
      <c r="I527" s="43"/>
      <c r="J527" s="40"/>
      <c r="K527" s="38"/>
      <c r="L527" s="36"/>
      <c r="M527" s="41"/>
      <c r="N527" s="41" t="str">
        <f t="shared" si="25"/>
        <v/>
      </c>
      <c r="O527" s="42"/>
      <c r="P527" s="61" t="str">
        <f t="shared" ref="P527:P562" si="27">A527</f>
        <v>-</v>
      </c>
      <c r="Q527" s="28" t="e">
        <f>#REF!</f>
        <v>#REF!</v>
      </c>
    </row>
    <row r="528" spans="1:17">
      <c r="A528" s="52" t="str">
        <f t="shared" si="26"/>
        <v>-</v>
      </c>
      <c r="B528" s="35"/>
      <c r="C528" s="35"/>
      <c r="D528" s="35"/>
      <c r="E528" s="39"/>
      <c r="F528" s="37"/>
      <c r="G528" s="43"/>
      <c r="H528" s="43"/>
      <c r="I528" s="43"/>
      <c r="J528" s="40"/>
      <c r="K528" s="38"/>
      <c r="L528" s="36"/>
      <c r="M528" s="41"/>
      <c r="N528" s="41" t="str">
        <f t="shared" si="25"/>
        <v/>
      </c>
      <c r="O528" s="42"/>
      <c r="P528" s="61" t="str">
        <f t="shared" si="27"/>
        <v>-</v>
      </c>
      <c r="Q528" s="28" t="e">
        <f>#REF!</f>
        <v>#REF!</v>
      </c>
    </row>
    <row r="529" spans="1:17">
      <c r="A529" s="52" t="str">
        <f t="shared" si="26"/>
        <v>-</v>
      </c>
      <c r="B529" s="35"/>
      <c r="C529" s="35"/>
      <c r="D529" s="35"/>
      <c r="E529" s="39"/>
      <c r="F529" s="37"/>
      <c r="G529" s="43"/>
      <c r="H529" s="43"/>
      <c r="I529" s="43"/>
      <c r="J529" s="40"/>
      <c r="K529" s="38"/>
      <c r="L529" s="36"/>
      <c r="M529" s="41"/>
      <c r="N529" s="41" t="str">
        <f t="shared" si="25"/>
        <v/>
      </c>
      <c r="O529" s="42"/>
      <c r="P529" s="61" t="str">
        <f t="shared" si="27"/>
        <v>-</v>
      </c>
      <c r="Q529" s="28" t="e">
        <f>#REF!</f>
        <v>#REF!</v>
      </c>
    </row>
    <row r="530" spans="1:17">
      <c r="A530" s="52" t="str">
        <f t="shared" si="26"/>
        <v>-</v>
      </c>
      <c r="B530" s="35"/>
      <c r="C530" s="35"/>
      <c r="D530" s="35"/>
      <c r="E530" s="39"/>
      <c r="F530" s="37"/>
      <c r="G530" s="43"/>
      <c r="H530" s="43"/>
      <c r="I530" s="43"/>
      <c r="J530" s="40"/>
      <c r="K530" s="38"/>
      <c r="L530" s="36"/>
      <c r="M530" s="41"/>
      <c r="N530" s="41" t="str">
        <f t="shared" si="25"/>
        <v/>
      </c>
      <c r="O530" s="42"/>
      <c r="P530" s="61" t="str">
        <f t="shared" si="27"/>
        <v>-</v>
      </c>
      <c r="Q530" s="28" t="e">
        <f>#REF!</f>
        <v>#REF!</v>
      </c>
    </row>
    <row r="531" spans="1:17">
      <c r="A531" s="52" t="str">
        <f t="shared" si="26"/>
        <v>-</v>
      </c>
      <c r="B531" s="35"/>
      <c r="C531" s="35"/>
      <c r="D531" s="35"/>
      <c r="E531" s="39"/>
      <c r="F531" s="37"/>
      <c r="G531" s="43"/>
      <c r="H531" s="43"/>
      <c r="I531" s="43"/>
      <c r="J531" s="40"/>
      <c r="K531" s="38"/>
      <c r="L531" s="36"/>
      <c r="M531" s="41"/>
      <c r="N531" s="41" t="str">
        <f t="shared" si="25"/>
        <v/>
      </c>
      <c r="O531" s="42"/>
      <c r="P531" s="61" t="str">
        <f t="shared" si="27"/>
        <v>-</v>
      </c>
      <c r="Q531" s="28" t="e">
        <f>#REF!</f>
        <v>#REF!</v>
      </c>
    </row>
    <row r="532" spans="1:17">
      <c r="A532" s="52" t="str">
        <f t="shared" si="26"/>
        <v>-</v>
      </c>
      <c r="B532" s="35"/>
      <c r="C532" s="35"/>
      <c r="D532" s="35"/>
      <c r="E532" s="39"/>
      <c r="F532" s="37"/>
      <c r="G532" s="43"/>
      <c r="H532" s="43"/>
      <c r="I532" s="43"/>
      <c r="J532" s="40"/>
      <c r="K532" s="38"/>
      <c r="L532" s="36"/>
      <c r="M532" s="41"/>
      <c r="N532" s="41" t="str">
        <f t="shared" si="25"/>
        <v/>
      </c>
      <c r="O532" s="42"/>
      <c r="P532" s="61" t="str">
        <f t="shared" si="27"/>
        <v>-</v>
      </c>
      <c r="Q532" s="28" t="e">
        <f>#REF!</f>
        <v>#REF!</v>
      </c>
    </row>
    <row r="533" spans="1:17">
      <c r="A533" s="52" t="str">
        <f t="shared" si="26"/>
        <v>-</v>
      </c>
      <c r="B533" s="35"/>
      <c r="C533" s="35"/>
      <c r="D533" s="35"/>
      <c r="E533" s="39"/>
      <c r="F533" s="37"/>
      <c r="G533" s="43"/>
      <c r="H533" s="43"/>
      <c r="I533" s="43"/>
      <c r="J533" s="40"/>
      <c r="K533" s="38"/>
      <c r="L533" s="36"/>
      <c r="M533" s="41"/>
      <c r="N533" s="41" t="str">
        <f t="shared" si="25"/>
        <v/>
      </c>
      <c r="O533" s="42"/>
      <c r="P533" s="61" t="str">
        <f t="shared" si="27"/>
        <v>-</v>
      </c>
      <c r="Q533" s="28" t="e">
        <f>#REF!</f>
        <v>#REF!</v>
      </c>
    </row>
    <row r="534" spans="1:17">
      <c r="A534" s="52" t="str">
        <f t="shared" si="26"/>
        <v>-</v>
      </c>
      <c r="B534" s="35"/>
      <c r="C534" s="35"/>
      <c r="D534" s="35"/>
      <c r="E534" s="39"/>
      <c r="F534" s="37"/>
      <c r="G534" s="43"/>
      <c r="H534" s="43"/>
      <c r="I534" s="43"/>
      <c r="J534" s="40"/>
      <c r="K534" s="38"/>
      <c r="L534" s="36"/>
      <c r="M534" s="41"/>
      <c r="N534" s="41" t="str">
        <f t="shared" ref="N534:N562" si="28">IF(L534&lt;&gt;"",EDATE(M534,L534),"")</f>
        <v/>
      </c>
      <c r="O534" s="42"/>
      <c r="P534" s="61" t="str">
        <f t="shared" si="27"/>
        <v>-</v>
      </c>
      <c r="Q534" s="28" t="e">
        <f>#REF!</f>
        <v>#REF!</v>
      </c>
    </row>
    <row r="535" spans="1:17">
      <c r="A535" s="52" t="str">
        <f t="shared" si="26"/>
        <v>-</v>
      </c>
      <c r="B535" s="35"/>
      <c r="C535" s="35"/>
      <c r="D535" s="35"/>
      <c r="E535" s="39"/>
      <c r="F535" s="37"/>
      <c r="G535" s="43"/>
      <c r="H535" s="43"/>
      <c r="I535" s="43"/>
      <c r="J535" s="40"/>
      <c r="K535" s="38"/>
      <c r="L535" s="36"/>
      <c r="M535" s="41"/>
      <c r="N535" s="41" t="str">
        <f t="shared" si="28"/>
        <v/>
      </c>
      <c r="O535" s="42"/>
      <c r="P535" s="61" t="str">
        <f t="shared" si="27"/>
        <v>-</v>
      </c>
      <c r="Q535" s="28" t="e">
        <f>#REF!</f>
        <v>#REF!</v>
      </c>
    </row>
    <row r="536" spans="1:17">
      <c r="A536" s="52" t="str">
        <f t="shared" si="26"/>
        <v>-</v>
      </c>
      <c r="B536" s="35"/>
      <c r="C536" s="35"/>
      <c r="D536" s="35"/>
      <c r="E536" s="39"/>
      <c r="F536" s="37"/>
      <c r="G536" s="43"/>
      <c r="H536" s="43"/>
      <c r="I536" s="43"/>
      <c r="J536" s="40"/>
      <c r="K536" s="38"/>
      <c r="L536" s="36"/>
      <c r="M536" s="41"/>
      <c r="N536" s="41" t="str">
        <f t="shared" si="28"/>
        <v/>
      </c>
      <c r="O536" s="42"/>
      <c r="P536" s="61" t="str">
        <f t="shared" si="27"/>
        <v>-</v>
      </c>
      <c r="Q536" s="28" t="e">
        <f>#REF!</f>
        <v>#REF!</v>
      </c>
    </row>
    <row r="537" spans="1:17">
      <c r="A537" s="52" t="str">
        <f t="shared" si="26"/>
        <v>-</v>
      </c>
      <c r="B537" s="35"/>
      <c r="C537" s="35"/>
      <c r="D537" s="35"/>
      <c r="E537" s="39"/>
      <c r="F537" s="37"/>
      <c r="G537" s="43"/>
      <c r="H537" s="43"/>
      <c r="I537" s="43"/>
      <c r="J537" s="40"/>
      <c r="K537" s="38"/>
      <c r="L537" s="36"/>
      <c r="M537" s="41"/>
      <c r="N537" s="41" t="str">
        <f t="shared" si="28"/>
        <v/>
      </c>
      <c r="O537" s="42"/>
      <c r="P537" s="61" t="str">
        <f t="shared" si="27"/>
        <v>-</v>
      </c>
      <c r="Q537" s="28" t="e">
        <f>#REF!</f>
        <v>#REF!</v>
      </c>
    </row>
    <row r="538" spans="1:17">
      <c r="A538" s="52" t="str">
        <f t="shared" si="26"/>
        <v>-</v>
      </c>
      <c r="B538" s="35"/>
      <c r="C538" s="35"/>
      <c r="D538" s="35"/>
      <c r="E538" s="39"/>
      <c r="F538" s="37"/>
      <c r="G538" s="43"/>
      <c r="H538" s="43"/>
      <c r="I538" s="43"/>
      <c r="J538" s="40"/>
      <c r="K538" s="38"/>
      <c r="L538" s="36"/>
      <c r="M538" s="41"/>
      <c r="N538" s="41" t="str">
        <f t="shared" si="28"/>
        <v/>
      </c>
      <c r="O538" s="42"/>
      <c r="P538" s="61" t="str">
        <f t="shared" si="27"/>
        <v>-</v>
      </c>
      <c r="Q538" s="28" t="e">
        <f>#REF!</f>
        <v>#REF!</v>
      </c>
    </row>
    <row r="539" spans="1:17">
      <c r="A539" s="52" t="str">
        <f t="shared" si="26"/>
        <v>-</v>
      </c>
      <c r="B539" s="35"/>
      <c r="C539" s="35"/>
      <c r="D539" s="35"/>
      <c r="E539" s="39"/>
      <c r="F539" s="37"/>
      <c r="G539" s="43"/>
      <c r="H539" s="43"/>
      <c r="I539" s="43"/>
      <c r="J539" s="40"/>
      <c r="K539" s="38"/>
      <c r="L539" s="36"/>
      <c r="M539" s="41"/>
      <c r="N539" s="41" t="str">
        <f t="shared" si="28"/>
        <v/>
      </c>
      <c r="O539" s="42"/>
      <c r="P539" s="61" t="str">
        <f t="shared" si="27"/>
        <v>-</v>
      </c>
      <c r="Q539" s="28" t="e">
        <f>#REF!</f>
        <v>#REF!</v>
      </c>
    </row>
    <row r="540" spans="1:17">
      <c r="A540" s="52" t="str">
        <f t="shared" si="26"/>
        <v>-</v>
      </c>
      <c r="B540" s="35"/>
      <c r="C540" s="35"/>
      <c r="D540" s="35"/>
      <c r="E540" s="39"/>
      <c r="F540" s="37"/>
      <c r="G540" s="43"/>
      <c r="H540" s="43"/>
      <c r="I540" s="43"/>
      <c r="J540" s="40"/>
      <c r="K540" s="38"/>
      <c r="L540" s="36"/>
      <c r="M540" s="41"/>
      <c r="N540" s="41" t="str">
        <f t="shared" si="28"/>
        <v/>
      </c>
      <c r="O540" s="42"/>
      <c r="P540" s="61" t="str">
        <f t="shared" si="27"/>
        <v>-</v>
      </c>
      <c r="Q540" s="28" t="e">
        <f>#REF!</f>
        <v>#REF!</v>
      </c>
    </row>
    <row r="541" spans="1:17">
      <c r="A541" s="52" t="str">
        <f t="shared" si="26"/>
        <v>-</v>
      </c>
      <c r="B541" s="35"/>
      <c r="C541" s="35"/>
      <c r="D541" s="35"/>
      <c r="E541" s="39"/>
      <c r="F541" s="37"/>
      <c r="G541" s="43"/>
      <c r="H541" s="43"/>
      <c r="I541" s="43"/>
      <c r="J541" s="40"/>
      <c r="K541" s="38"/>
      <c r="L541" s="36"/>
      <c r="M541" s="41"/>
      <c r="N541" s="41" t="str">
        <f t="shared" si="28"/>
        <v/>
      </c>
      <c r="O541" s="42"/>
      <c r="P541" s="61" t="str">
        <f t="shared" si="27"/>
        <v>-</v>
      </c>
      <c r="Q541" s="28" t="e">
        <f>#REF!</f>
        <v>#REF!</v>
      </c>
    </row>
    <row r="542" spans="1:17">
      <c r="A542" s="52" t="str">
        <f t="shared" si="26"/>
        <v>-</v>
      </c>
      <c r="B542" s="35"/>
      <c r="C542" s="35"/>
      <c r="D542" s="35"/>
      <c r="E542" s="39"/>
      <c r="F542" s="37"/>
      <c r="G542" s="43"/>
      <c r="H542" s="43"/>
      <c r="I542" s="43"/>
      <c r="J542" s="40"/>
      <c r="K542" s="38"/>
      <c r="L542" s="36"/>
      <c r="M542" s="41"/>
      <c r="N542" s="41" t="str">
        <f t="shared" si="28"/>
        <v/>
      </c>
      <c r="O542" s="42"/>
      <c r="P542" s="61" t="str">
        <f t="shared" si="27"/>
        <v>-</v>
      </c>
      <c r="Q542" s="28" t="e">
        <f>#REF!</f>
        <v>#REF!</v>
      </c>
    </row>
    <row r="543" spans="1:17">
      <c r="A543" s="52" t="str">
        <f t="shared" si="26"/>
        <v>-</v>
      </c>
      <c r="B543" s="35"/>
      <c r="C543" s="35"/>
      <c r="D543" s="35"/>
      <c r="E543" s="39"/>
      <c r="F543" s="37"/>
      <c r="G543" s="43"/>
      <c r="H543" s="43"/>
      <c r="I543" s="43"/>
      <c r="J543" s="40"/>
      <c r="K543" s="38"/>
      <c r="L543" s="36"/>
      <c r="M543" s="41"/>
      <c r="N543" s="41" t="str">
        <f t="shared" si="28"/>
        <v/>
      </c>
      <c r="O543" s="42"/>
      <c r="P543" s="61" t="str">
        <f t="shared" si="27"/>
        <v>-</v>
      </c>
      <c r="Q543" s="28" t="e">
        <f>#REF!</f>
        <v>#REF!</v>
      </c>
    </row>
    <row r="544" spans="1:17">
      <c r="A544" s="52" t="str">
        <f t="shared" si="26"/>
        <v>-</v>
      </c>
      <c r="B544" s="35"/>
      <c r="C544" s="35"/>
      <c r="D544" s="35"/>
      <c r="E544" s="39"/>
      <c r="F544" s="37"/>
      <c r="G544" s="43"/>
      <c r="H544" s="43"/>
      <c r="I544" s="43"/>
      <c r="J544" s="40"/>
      <c r="K544" s="38"/>
      <c r="L544" s="36"/>
      <c r="M544" s="41"/>
      <c r="N544" s="41" t="str">
        <f t="shared" si="28"/>
        <v/>
      </c>
      <c r="O544" s="42"/>
      <c r="P544" s="61" t="str">
        <f t="shared" si="27"/>
        <v>-</v>
      </c>
      <c r="Q544" s="28" t="e">
        <f>#REF!</f>
        <v>#REF!</v>
      </c>
    </row>
    <row r="545" spans="1:17">
      <c r="A545" s="52" t="str">
        <f t="shared" si="26"/>
        <v>-</v>
      </c>
      <c r="B545" s="35"/>
      <c r="C545" s="35"/>
      <c r="D545" s="35"/>
      <c r="E545" s="39"/>
      <c r="F545" s="37"/>
      <c r="G545" s="43"/>
      <c r="H545" s="43"/>
      <c r="I545" s="43"/>
      <c r="J545" s="40"/>
      <c r="K545" s="38"/>
      <c r="L545" s="36"/>
      <c r="M545" s="41"/>
      <c r="N545" s="41" t="str">
        <f t="shared" si="28"/>
        <v/>
      </c>
      <c r="O545" s="42"/>
      <c r="P545" s="61" t="str">
        <f t="shared" si="27"/>
        <v>-</v>
      </c>
      <c r="Q545" s="28" t="e">
        <f>#REF!</f>
        <v>#REF!</v>
      </c>
    </row>
    <row r="546" spans="1:17">
      <c r="A546" s="52" t="str">
        <f t="shared" si="26"/>
        <v>-</v>
      </c>
      <c r="B546" s="35"/>
      <c r="C546" s="35"/>
      <c r="D546" s="35"/>
      <c r="E546" s="39"/>
      <c r="F546" s="37"/>
      <c r="G546" s="43"/>
      <c r="H546" s="43"/>
      <c r="I546" s="43"/>
      <c r="J546" s="40"/>
      <c r="K546" s="38"/>
      <c r="L546" s="36"/>
      <c r="M546" s="41"/>
      <c r="N546" s="41" t="str">
        <f t="shared" si="28"/>
        <v/>
      </c>
      <c r="O546" s="42"/>
      <c r="P546" s="61" t="str">
        <f t="shared" si="27"/>
        <v>-</v>
      </c>
      <c r="Q546" s="28" t="e">
        <f>#REF!</f>
        <v>#REF!</v>
      </c>
    </row>
    <row r="547" spans="1:17">
      <c r="A547" s="52" t="str">
        <f t="shared" si="26"/>
        <v>-</v>
      </c>
      <c r="B547" s="35"/>
      <c r="C547" s="35"/>
      <c r="D547" s="35"/>
      <c r="E547" s="39"/>
      <c r="F547" s="37"/>
      <c r="G547" s="43"/>
      <c r="H547" s="43"/>
      <c r="I547" s="43"/>
      <c r="J547" s="40"/>
      <c r="K547" s="38"/>
      <c r="L547" s="36"/>
      <c r="M547" s="41"/>
      <c r="N547" s="41" t="str">
        <f t="shared" si="28"/>
        <v/>
      </c>
      <c r="O547" s="42"/>
      <c r="P547" s="61" t="str">
        <f t="shared" si="27"/>
        <v>-</v>
      </c>
      <c r="Q547" s="28" t="e">
        <f>#REF!</f>
        <v>#REF!</v>
      </c>
    </row>
    <row r="548" spans="1:17">
      <c r="A548" s="52" t="str">
        <f t="shared" si="26"/>
        <v>-</v>
      </c>
      <c r="B548" s="35"/>
      <c r="C548" s="35"/>
      <c r="D548" s="35"/>
      <c r="E548" s="39"/>
      <c r="F548" s="37"/>
      <c r="G548" s="43"/>
      <c r="H548" s="43"/>
      <c r="I548" s="43"/>
      <c r="J548" s="40"/>
      <c r="K548" s="38"/>
      <c r="L548" s="36"/>
      <c r="M548" s="41"/>
      <c r="N548" s="41" t="str">
        <f t="shared" si="28"/>
        <v/>
      </c>
      <c r="O548" s="42"/>
      <c r="P548" s="61" t="str">
        <f t="shared" si="27"/>
        <v>-</v>
      </c>
      <c r="Q548" s="28" t="e">
        <f>#REF!</f>
        <v>#REF!</v>
      </c>
    </row>
    <row r="549" spans="1:17">
      <c r="A549" s="52" t="str">
        <f t="shared" si="26"/>
        <v>-</v>
      </c>
      <c r="B549" s="35"/>
      <c r="C549" s="35"/>
      <c r="D549" s="35"/>
      <c r="E549" s="39"/>
      <c r="F549" s="37"/>
      <c r="G549" s="43"/>
      <c r="H549" s="43"/>
      <c r="I549" s="43"/>
      <c r="J549" s="40"/>
      <c r="K549" s="38"/>
      <c r="L549" s="36"/>
      <c r="M549" s="41"/>
      <c r="N549" s="41" t="str">
        <f t="shared" si="28"/>
        <v/>
      </c>
      <c r="O549" s="42"/>
      <c r="P549" s="61" t="str">
        <f t="shared" si="27"/>
        <v>-</v>
      </c>
      <c r="Q549" s="28" t="e">
        <f>#REF!</f>
        <v>#REF!</v>
      </c>
    </row>
    <row r="550" spans="1:17">
      <c r="A550" s="52" t="str">
        <f t="shared" si="26"/>
        <v>-</v>
      </c>
      <c r="B550" s="35"/>
      <c r="C550" s="35"/>
      <c r="D550" s="35"/>
      <c r="E550" s="39"/>
      <c r="F550" s="37"/>
      <c r="G550" s="43"/>
      <c r="H550" s="43"/>
      <c r="I550" s="43"/>
      <c r="J550" s="40"/>
      <c r="K550" s="38"/>
      <c r="L550" s="36"/>
      <c r="M550" s="41"/>
      <c r="N550" s="41" t="str">
        <f t="shared" si="28"/>
        <v/>
      </c>
      <c r="O550" s="42"/>
      <c r="P550" s="61" t="str">
        <f t="shared" si="27"/>
        <v>-</v>
      </c>
      <c r="Q550" s="28" t="e">
        <f>#REF!</f>
        <v>#REF!</v>
      </c>
    </row>
    <row r="551" spans="1:17">
      <c r="A551" s="52" t="str">
        <f t="shared" si="26"/>
        <v>-</v>
      </c>
      <c r="B551" s="35"/>
      <c r="C551" s="35"/>
      <c r="D551" s="35"/>
      <c r="E551" s="39"/>
      <c r="F551" s="37"/>
      <c r="G551" s="43"/>
      <c r="H551" s="43"/>
      <c r="I551" s="43"/>
      <c r="J551" s="40"/>
      <c r="K551" s="38"/>
      <c r="L551" s="36"/>
      <c r="M551" s="41"/>
      <c r="N551" s="41" t="str">
        <f t="shared" si="28"/>
        <v/>
      </c>
      <c r="O551" s="42"/>
      <c r="P551" s="61" t="str">
        <f t="shared" si="27"/>
        <v>-</v>
      </c>
      <c r="Q551" s="28" t="e">
        <f>#REF!</f>
        <v>#REF!</v>
      </c>
    </row>
    <row r="552" spans="1:17">
      <c r="A552" s="52" t="str">
        <f t="shared" si="26"/>
        <v>-</v>
      </c>
      <c r="B552" s="35"/>
      <c r="C552" s="35"/>
      <c r="D552" s="35"/>
      <c r="E552" s="39"/>
      <c r="F552" s="37"/>
      <c r="G552" s="43"/>
      <c r="H552" s="43"/>
      <c r="I552" s="43"/>
      <c r="J552" s="40"/>
      <c r="K552" s="38"/>
      <c r="L552" s="36"/>
      <c r="M552" s="41"/>
      <c r="N552" s="41" t="str">
        <f t="shared" si="28"/>
        <v/>
      </c>
      <c r="O552" s="42"/>
      <c r="P552" s="61" t="str">
        <f t="shared" si="27"/>
        <v>-</v>
      </c>
      <c r="Q552" s="28" t="e">
        <f>#REF!</f>
        <v>#REF!</v>
      </c>
    </row>
    <row r="553" spans="1:17">
      <c r="A553" s="52" t="str">
        <f t="shared" si="26"/>
        <v>-</v>
      </c>
      <c r="B553" s="35"/>
      <c r="C553" s="35"/>
      <c r="D553" s="35"/>
      <c r="E553" s="39"/>
      <c r="F553" s="37"/>
      <c r="G553" s="43"/>
      <c r="H553" s="43"/>
      <c r="I553" s="43"/>
      <c r="J553" s="40"/>
      <c r="K553" s="38"/>
      <c r="L553" s="36"/>
      <c r="M553" s="41"/>
      <c r="N553" s="41" t="str">
        <f t="shared" si="28"/>
        <v/>
      </c>
      <c r="O553" s="42"/>
      <c r="P553" s="61" t="str">
        <f t="shared" si="27"/>
        <v>-</v>
      </c>
      <c r="Q553" s="28" t="e">
        <f>#REF!</f>
        <v>#REF!</v>
      </c>
    </row>
    <row r="554" spans="1:17">
      <c r="A554" s="52" t="str">
        <f t="shared" si="26"/>
        <v>-</v>
      </c>
      <c r="B554" s="35"/>
      <c r="C554" s="35"/>
      <c r="D554" s="35"/>
      <c r="E554" s="39"/>
      <c r="F554" s="37"/>
      <c r="G554" s="43"/>
      <c r="H554" s="43"/>
      <c r="I554" s="43"/>
      <c r="J554" s="40"/>
      <c r="K554" s="38"/>
      <c r="L554" s="36"/>
      <c r="M554" s="41"/>
      <c r="N554" s="41" t="str">
        <f t="shared" si="28"/>
        <v/>
      </c>
      <c r="O554" s="42"/>
      <c r="P554" s="61" t="str">
        <f t="shared" si="27"/>
        <v>-</v>
      </c>
      <c r="Q554" s="28" t="e">
        <f>#REF!</f>
        <v>#REF!</v>
      </c>
    </row>
    <row r="555" spans="1:17">
      <c r="A555" s="52" t="str">
        <f t="shared" si="26"/>
        <v>-</v>
      </c>
      <c r="B555" s="35"/>
      <c r="C555" s="35"/>
      <c r="D555" s="35"/>
      <c r="E555" s="39"/>
      <c r="F555" s="37"/>
      <c r="G555" s="43"/>
      <c r="H555" s="43"/>
      <c r="I555" s="43"/>
      <c r="J555" s="40"/>
      <c r="K555" s="38"/>
      <c r="L555" s="36"/>
      <c r="M555" s="41"/>
      <c r="N555" s="41" t="str">
        <f t="shared" si="28"/>
        <v/>
      </c>
      <c r="O555" s="42"/>
      <c r="P555" s="61" t="str">
        <f t="shared" si="27"/>
        <v>-</v>
      </c>
      <c r="Q555" s="28" t="e">
        <f>#REF!</f>
        <v>#REF!</v>
      </c>
    </row>
    <row r="556" spans="1:17">
      <c r="A556" s="52" t="str">
        <f t="shared" si="26"/>
        <v>-</v>
      </c>
      <c r="B556" s="35"/>
      <c r="C556" s="35"/>
      <c r="D556" s="35"/>
      <c r="E556" s="39"/>
      <c r="F556" s="37"/>
      <c r="G556" s="43"/>
      <c r="H556" s="43"/>
      <c r="I556" s="43"/>
      <c r="J556" s="40"/>
      <c r="K556" s="38"/>
      <c r="L556" s="36"/>
      <c r="M556" s="41"/>
      <c r="N556" s="41" t="str">
        <f t="shared" si="28"/>
        <v/>
      </c>
      <c r="O556" s="42"/>
      <c r="P556" s="61" t="str">
        <f t="shared" si="27"/>
        <v>-</v>
      </c>
      <c r="Q556" s="28" t="e">
        <f>#REF!</f>
        <v>#REF!</v>
      </c>
    </row>
    <row r="557" spans="1:17">
      <c r="A557" s="52" t="str">
        <f t="shared" si="26"/>
        <v>-</v>
      </c>
      <c r="B557" s="35"/>
      <c r="C557" s="35"/>
      <c r="D557" s="35"/>
      <c r="E557" s="39"/>
      <c r="F557" s="37"/>
      <c r="G557" s="43"/>
      <c r="H557" s="43"/>
      <c r="I557" s="43"/>
      <c r="J557" s="40"/>
      <c r="K557" s="38"/>
      <c r="L557" s="36"/>
      <c r="M557" s="41"/>
      <c r="N557" s="41" t="str">
        <f t="shared" si="28"/>
        <v/>
      </c>
      <c r="O557" s="42"/>
      <c r="P557" s="61" t="str">
        <f t="shared" si="27"/>
        <v>-</v>
      </c>
      <c r="Q557" s="28" t="e">
        <f>#REF!</f>
        <v>#REF!</v>
      </c>
    </row>
    <row r="558" spans="1:17">
      <c r="A558" s="52" t="str">
        <f t="shared" si="26"/>
        <v>-</v>
      </c>
      <c r="B558" s="35"/>
      <c r="C558" s="35"/>
      <c r="D558" s="35"/>
      <c r="E558" s="39"/>
      <c r="F558" s="37"/>
      <c r="G558" s="43"/>
      <c r="H558" s="43"/>
      <c r="I558" s="43"/>
      <c r="J558" s="40"/>
      <c r="K558" s="38"/>
      <c r="L558" s="36"/>
      <c r="M558" s="41"/>
      <c r="N558" s="41" t="str">
        <f t="shared" si="28"/>
        <v/>
      </c>
      <c r="O558" s="42"/>
      <c r="P558" s="61" t="str">
        <f t="shared" si="27"/>
        <v>-</v>
      </c>
      <c r="Q558" s="28" t="e">
        <f>#REF!</f>
        <v>#REF!</v>
      </c>
    </row>
    <row r="559" spans="1:17">
      <c r="A559" s="52" t="str">
        <f t="shared" ref="A559:A563" si="29">CONCATENATE(B559,"-",C559)</f>
        <v>-</v>
      </c>
      <c r="B559" s="35"/>
      <c r="C559" s="35"/>
      <c r="D559" s="35"/>
      <c r="E559" s="39"/>
      <c r="F559" s="37"/>
      <c r="G559" s="43"/>
      <c r="H559" s="43"/>
      <c r="I559" s="43"/>
      <c r="J559" s="40"/>
      <c r="K559" s="38"/>
      <c r="L559" s="36"/>
      <c r="M559" s="41"/>
      <c r="N559" s="41" t="str">
        <f t="shared" si="28"/>
        <v/>
      </c>
      <c r="O559" s="42"/>
      <c r="P559" s="61" t="str">
        <f t="shared" si="27"/>
        <v>-</v>
      </c>
      <c r="Q559" s="28" t="e">
        <f>#REF!</f>
        <v>#REF!</v>
      </c>
    </row>
    <row r="560" spans="1:17">
      <c r="A560" s="52" t="str">
        <f t="shared" si="29"/>
        <v>-</v>
      </c>
      <c r="B560" s="35"/>
      <c r="C560" s="35"/>
      <c r="D560" s="35"/>
      <c r="E560" s="39"/>
      <c r="F560" s="37"/>
      <c r="G560" s="43"/>
      <c r="H560" s="43"/>
      <c r="I560" s="43"/>
      <c r="J560" s="40"/>
      <c r="K560" s="38"/>
      <c r="L560" s="36"/>
      <c r="M560" s="41"/>
      <c r="N560" s="41" t="str">
        <f t="shared" si="28"/>
        <v/>
      </c>
      <c r="O560" s="42"/>
      <c r="P560" s="61" t="str">
        <f t="shared" si="27"/>
        <v>-</v>
      </c>
      <c r="Q560" s="28" t="e">
        <f>#REF!</f>
        <v>#REF!</v>
      </c>
    </row>
    <row r="561" spans="1:17">
      <c r="A561" s="52" t="str">
        <f t="shared" si="29"/>
        <v>-</v>
      </c>
      <c r="B561" s="35"/>
      <c r="C561" s="35"/>
      <c r="D561" s="35"/>
      <c r="E561" s="39"/>
      <c r="F561" s="37"/>
      <c r="G561" s="43"/>
      <c r="H561" s="43"/>
      <c r="I561" s="43"/>
      <c r="J561" s="40"/>
      <c r="K561" s="38"/>
      <c r="L561" s="36"/>
      <c r="M561" s="41"/>
      <c r="N561" s="41" t="str">
        <f t="shared" si="28"/>
        <v/>
      </c>
      <c r="O561" s="42"/>
      <c r="P561" s="61" t="str">
        <f t="shared" si="27"/>
        <v>-</v>
      </c>
      <c r="Q561" s="28" t="e">
        <f>#REF!</f>
        <v>#REF!</v>
      </c>
    </row>
    <row r="562" spans="1:17">
      <c r="A562" s="52" t="str">
        <f t="shared" si="29"/>
        <v>-</v>
      </c>
      <c r="B562" s="35"/>
      <c r="C562" s="35"/>
      <c r="D562" s="35"/>
      <c r="E562" s="39"/>
      <c r="F562" s="37"/>
      <c r="G562" s="43"/>
      <c r="H562" s="43"/>
      <c r="I562" s="43"/>
      <c r="J562" s="40"/>
      <c r="K562" s="38"/>
      <c r="L562" s="36"/>
      <c r="M562" s="41"/>
      <c r="N562" s="41" t="str">
        <f t="shared" si="28"/>
        <v/>
      </c>
      <c r="O562" s="42"/>
      <c r="P562" s="61" t="str">
        <f t="shared" si="27"/>
        <v>-</v>
      </c>
      <c r="Q562" s="28" t="e">
        <f>#REF!</f>
        <v>#REF!</v>
      </c>
    </row>
    <row r="563" spans="1:17">
      <c r="A563" s="52" t="str">
        <f t="shared" si="29"/>
        <v>-</v>
      </c>
      <c r="B563" s="54"/>
      <c r="C563" s="54"/>
      <c r="D563" s="54"/>
      <c r="E563" s="55"/>
      <c r="F563" s="56"/>
      <c r="G563" s="57"/>
      <c r="H563" s="57"/>
      <c r="I563" s="57"/>
      <c r="J563" s="58"/>
      <c r="K563" s="38"/>
      <c r="L563" s="36"/>
      <c r="M563" s="41"/>
      <c r="N563" s="41" t="str">
        <f t="shared" ref="N563" si="30">IF(L563&lt;&gt;"",EDATE(M563,L563),"")</f>
        <v/>
      </c>
      <c r="O563" s="42"/>
      <c r="Q563" s="28" t="e">
        <f>#REF!</f>
        <v>#REF!</v>
      </c>
    </row>
    <row r="564" spans="1:17">
      <c r="A564" s="51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Q564" s="28" t="e">
        <f>#REF!</f>
        <v>#REF!</v>
      </c>
    </row>
    <row r="565" spans="1:17">
      <c r="A565" s="51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Q565" s="28" t="e">
        <f>#REF!</f>
        <v>#REF!</v>
      </c>
    </row>
    <row r="566" spans="1:17">
      <c r="A566" s="51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Q566" s="28" t="e">
        <f>#REF!</f>
        <v>#REF!</v>
      </c>
    </row>
    <row r="567" spans="1:17">
      <c r="A567" s="51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Q567" s="28" t="e">
        <f>#REF!</f>
        <v>#REF!</v>
      </c>
    </row>
    <row r="568" spans="1:17">
      <c r="A568" s="51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Q568" s="28" t="e">
        <f>#REF!</f>
        <v>#REF!</v>
      </c>
    </row>
    <row r="569" spans="1:17">
      <c r="A569" s="51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Q569" s="28" t="e">
        <f>#REF!</f>
        <v>#REF!</v>
      </c>
    </row>
    <row r="570" spans="1:17">
      <c r="A570" s="51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Q570" s="28" t="e">
        <f>#REF!</f>
        <v>#REF!</v>
      </c>
    </row>
    <row r="571" spans="1:17">
      <c r="A571" s="51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Q571" s="28" t="e">
        <f>#REF!</f>
        <v>#REF!</v>
      </c>
    </row>
    <row r="572" spans="1:17">
      <c r="A572" s="51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Q572" s="28" t="e">
        <f>#REF!</f>
        <v>#REF!</v>
      </c>
    </row>
    <row r="573" spans="1:17">
      <c r="A573" s="51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Q573" s="28" t="e">
        <f>#REF!</f>
        <v>#REF!</v>
      </c>
    </row>
    <row r="574" spans="1:17">
      <c r="A574" s="51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Q574" s="28" t="e">
        <f>#REF!</f>
        <v>#REF!</v>
      </c>
    </row>
    <row r="575" spans="1:17">
      <c r="A575" s="51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Q575" s="28" t="e">
        <f>#REF!</f>
        <v>#REF!</v>
      </c>
    </row>
    <row r="576" spans="1:17">
      <c r="A576" s="51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Q576" s="28" t="e">
        <f>#REF!</f>
        <v>#REF!</v>
      </c>
    </row>
    <row r="577" spans="1:17">
      <c r="A577" s="51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Q577" s="28" t="e">
        <f>#REF!</f>
        <v>#REF!</v>
      </c>
    </row>
    <row r="578" spans="1:17">
      <c r="A578" s="51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Q578" s="28" t="e">
        <f>#REF!</f>
        <v>#REF!</v>
      </c>
    </row>
    <row r="579" spans="1:17">
      <c r="A579" s="51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Q579" s="28" t="e">
        <f>#REF!</f>
        <v>#REF!</v>
      </c>
    </row>
    <row r="580" spans="1:17">
      <c r="A580" s="51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Q580" s="28" t="e">
        <f>#REF!</f>
        <v>#REF!</v>
      </c>
    </row>
    <row r="581" spans="1:17">
      <c r="A581" s="51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Q581" s="28" t="e">
        <f>#REF!</f>
        <v>#REF!</v>
      </c>
    </row>
    <row r="582" spans="1:17">
      <c r="A582" s="51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Q582" s="28" t="e">
        <f>#REF!</f>
        <v>#REF!</v>
      </c>
    </row>
    <row r="583" spans="1:17">
      <c r="A583" s="51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Q583" s="28" t="e">
        <f>#REF!</f>
        <v>#REF!</v>
      </c>
    </row>
    <row r="584" spans="1:17">
      <c r="A584" s="51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Q584" s="28" t="e">
        <f>#REF!</f>
        <v>#REF!</v>
      </c>
    </row>
    <row r="585" spans="1:17">
      <c r="A585" s="51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Q585" s="28" t="e">
        <f>#REF!</f>
        <v>#REF!</v>
      </c>
    </row>
    <row r="586" spans="1:17">
      <c r="A586" s="51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Q586" s="28" t="e">
        <f>#REF!</f>
        <v>#REF!</v>
      </c>
    </row>
    <row r="587" spans="1:17">
      <c r="A587" s="51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Q587" s="28" t="e">
        <f>#REF!</f>
        <v>#REF!</v>
      </c>
    </row>
    <row r="588" spans="1:17">
      <c r="A588" s="51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Q588" s="28" t="e">
        <f>#REF!</f>
        <v>#REF!</v>
      </c>
    </row>
    <row r="589" spans="1:17">
      <c r="A589" s="51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Q589" s="28" t="e">
        <f>#REF!</f>
        <v>#REF!</v>
      </c>
    </row>
    <row r="590" spans="1:17">
      <c r="A590" s="51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Q590" s="28" t="e">
        <f>#REF!</f>
        <v>#REF!</v>
      </c>
    </row>
    <row r="591" spans="1:17">
      <c r="A591" s="51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Q591" s="28" t="e">
        <f>#REF!</f>
        <v>#REF!</v>
      </c>
    </row>
    <row r="592" spans="1:17">
      <c r="A592" s="51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Q592" s="28" t="e">
        <f>#REF!</f>
        <v>#REF!</v>
      </c>
    </row>
    <row r="593" spans="1:17">
      <c r="A593" s="51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Q593" s="28" t="e">
        <f>#REF!</f>
        <v>#REF!</v>
      </c>
    </row>
    <row r="594" spans="1:17">
      <c r="A594" s="51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Q594" s="28" t="e">
        <f>#REF!</f>
        <v>#REF!</v>
      </c>
    </row>
    <row r="595" spans="1:17">
      <c r="A595" s="51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Q595" s="28" t="e">
        <f>#REF!</f>
        <v>#REF!</v>
      </c>
    </row>
    <row r="596" spans="1:17">
      <c r="A596" s="51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Q596" s="28" t="e">
        <f>#REF!</f>
        <v>#REF!</v>
      </c>
    </row>
    <row r="597" spans="1:17">
      <c r="A597" s="51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Q597" s="28" t="e">
        <f>#REF!</f>
        <v>#REF!</v>
      </c>
    </row>
    <row r="598" spans="1:17">
      <c r="A598" s="51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Q598" s="28" t="e">
        <f>#REF!</f>
        <v>#REF!</v>
      </c>
    </row>
    <row r="599" spans="1:17">
      <c r="A599" s="51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Q599" s="28" t="e">
        <f>#REF!</f>
        <v>#REF!</v>
      </c>
    </row>
    <row r="600" spans="1:17">
      <c r="A600" s="51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Q600" s="28" t="e">
        <f>#REF!</f>
        <v>#REF!</v>
      </c>
    </row>
    <row r="601" spans="1:17">
      <c r="A601" s="51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Q601" s="28" t="e">
        <f>#REF!</f>
        <v>#REF!</v>
      </c>
    </row>
    <row r="602" spans="1:17">
      <c r="A602" s="51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Q602" s="28" t="e">
        <f>#REF!</f>
        <v>#REF!</v>
      </c>
    </row>
    <row r="603" spans="1:17">
      <c r="A603" s="51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Q603" s="28" t="e">
        <f>#REF!</f>
        <v>#REF!</v>
      </c>
    </row>
    <row r="604" spans="1:17">
      <c r="A604" s="51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Q604" s="28" t="e">
        <f>#REF!</f>
        <v>#REF!</v>
      </c>
    </row>
    <row r="605" spans="1:17">
      <c r="A605" s="51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Q605" s="28" t="e">
        <f>#REF!</f>
        <v>#REF!</v>
      </c>
    </row>
    <row r="606" spans="1:17">
      <c r="A606" s="51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Q606" s="28" t="e">
        <f>#REF!</f>
        <v>#REF!</v>
      </c>
    </row>
    <row r="607" spans="1:17">
      <c r="A607" s="51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Q607" s="28" t="e">
        <f>#REF!</f>
        <v>#REF!</v>
      </c>
    </row>
    <row r="608" spans="1:17">
      <c r="A608" s="51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Q608" s="28" t="e">
        <f>#REF!</f>
        <v>#REF!</v>
      </c>
    </row>
    <row r="609" spans="1:17">
      <c r="A609" s="51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Q609" s="28" t="e">
        <f>#REF!</f>
        <v>#REF!</v>
      </c>
    </row>
    <row r="610" spans="1:17">
      <c r="A610" s="51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Q610" s="28" t="e">
        <f>#REF!</f>
        <v>#REF!</v>
      </c>
    </row>
    <row r="611" spans="1:17">
      <c r="A611" s="51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Q611" s="28" t="e">
        <f>#REF!</f>
        <v>#REF!</v>
      </c>
    </row>
    <row r="612" spans="1:17">
      <c r="A612" s="51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Q612" s="28" t="e">
        <f>#REF!</f>
        <v>#REF!</v>
      </c>
    </row>
    <row r="613" spans="1:17">
      <c r="A613" s="51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Q613" s="28" t="e">
        <f>#REF!</f>
        <v>#REF!</v>
      </c>
    </row>
    <row r="614" spans="1:17">
      <c r="A614" s="51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Q614" s="28" t="e">
        <f>#REF!</f>
        <v>#REF!</v>
      </c>
    </row>
    <row r="615" spans="1:17">
      <c r="A615" s="51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Q615" s="28" t="e">
        <f>#REF!</f>
        <v>#REF!</v>
      </c>
    </row>
    <row r="616" spans="1:17">
      <c r="A616" s="51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Q616" s="28" t="e">
        <f>#REF!</f>
        <v>#REF!</v>
      </c>
    </row>
    <row r="617" spans="1:17">
      <c r="A617" s="51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Q617" s="28" t="e">
        <f>#REF!</f>
        <v>#REF!</v>
      </c>
    </row>
    <row r="618" spans="1:17">
      <c r="A618" s="51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Q618" s="28" t="e">
        <f>#REF!</f>
        <v>#REF!</v>
      </c>
    </row>
    <row r="619" spans="1:17">
      <c r="A619" s="51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Q619" s="28" t="e">
        <f>#REF!</f>
        <v>#REF!</v>
      </c>
    </row>
    <row r="620" spans="1:17">
      <c r="A620" s="51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Q620" s="28" t="e">
        <f>#REF!</f>
        <v>#REF!</v>
      </c>
    </row>
    <row r="621" spans="1:17">
      <c r="A621" s="51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Q621" s="28" t="e">
        <f>#REF!</f>
        <v>#REF!</v>
      </c>
    </row>
    <row r="622" spans="1:17">
      <c r="A622" s="51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Q622" s="28" t="e">
        <f>#REF!</f>
        <v>#REF!</v>
      </c>
    </row>
    <row r="623" spans="1:17">
      <c r="A623" s="51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Q623" s="28" t="e">
        <f>#REF!</f>
        <v>#REF!</v>
      </c>
    </row>
    <row r="624" spans="1:17">
      <c r="A624" s="51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Q624" s="28" t="e">
        <f>#REF!</f>
        <v>#REF!</v>
      </c>
    </row>
    <row r="625" spans="1:17">
      <c r="A625" s="51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Q625" s="28" t="e">
        <f>#REF!</f>
        <v>#REF!</v>
      </c>
    </row>
    <row r="626" spans="1:17">
      <c r="A626" s="51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Q626" s="28" t="e">
        <f>#REF!</f>
        <v>#REF!</v>
      </c>
    </row>
    <row r="627" spans="1:17">
      <c r="A627" s="51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Q627" s="28" t="e">
        <f>#REF!</f>
        <v>#REF!</v>
      </c>
    </row>
    <row r="628" spans="1:17">
      <c r="A628" s="51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Q628" s="28" t="e">
        <f>#REF!</f>
        <v>#REF!</v>
      </c>
    </row>
    <row r="629" spans="1:17">
      <c r="A629" s="51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Q629" s="28" t="e">
        <f>#REF!</f>
        <v>#REF!</v>
      </c>
    </row>
    <row r="630" spans="1:17">
      <c r="A630" s="51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Q630" s="28" t="e">
        <f>#REF!</f>
        <v>#REF!</v>
      </c>
    </row>
    <row r="631" spans="1:17">
      <c r="A631" s="51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Q631" s="28" t="e">
        <f>#REF!</f>
        <v>#REF!</v>
      </c>
    </row>
    <row r="632" spans="1:17">
      <c r="A632" s="51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Q632" s="28" t="e">
        <f>#REF!</f>
        <v>#REF!</v>
      </c>
    </row>
    <row r="633" spans="1:17">
      <c r="A633" s="51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Q633" s="28" t="e">
        <f>#REF!</f>
        <v>#REF!</v>
      </c>
    </row>
    <row r="634" spans="1:17">
      <c r="A634" s="51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Q634" s="28" t="e">
        <f>#REF!</f>
        <v>#REF!</v>
      </c>
    </row>
    <row r="635" spans="1:17">
      <c r="A635" s="51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Q635" s="28" t="e">
        <f>#REF!</f>
        <v>#REF!</v>
      </c>
    </row>
    <row r="636" spans="1:17">
      <c r="A636" s="51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Q636" s="28" t="e">
        <f>#REF!</f>
        <v>#REF!</v>
      </c>
    </row>
    <row r="637" spans="1:17">
      <c r="A637" s="51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Q637" s="28" t="e">
        <f>#REF!</f>
        <v>#REF!</v>
      </c>
    </row>
    <row r="638" spans="1:17">
      <c r="A638" s="51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Q638" s="28" t="e">
        <f>#REF!</f>
        <v>#REF!</v>
      </c>
    </row>
    <row r="639" spans="1:17">
      <c r="A639" s="51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Q639" s="28" t="e">
        <f>#REF!</f>
        <v>#REF!</v>
      </c>
    </row>
    <row r="640" spans="1:17">
      <c r="A640" s="51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Q640" s="28" t="e">
        <f>#REF!</f>
        <v>#REF!</v>
      </c>
    </row>
    <row r="641" spans="1:17">
      <c r="A641" s="51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Q641" s="28" t="e">
        <f>#REF!</f>
        <v>#REF!</v>
      </c>
    </row>
    <row r="642" spans="1:17">
      <c r="A642" s="51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Q642" s="28" t="e">
        <f>#REF!</f>
        <v>#REF!</v>
      </c>
    </row>
    <row r="643" spans="1:17">
      <c r="A643" s="51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Q643" s="28" t="e">
        <f>#REF!</f>
        <v>#REF!</v>
      </c>
    </row>
    <row r="644" spans="1:17">
      <c r="A644" s="51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Q644" s="28" t="e">
        <f>#REF!</f>
        <v>#REF!</v>
      </c>
    </row>
    <row r="645" spans="1:17">
      <c r="A645" s="51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Q645" s="28" t="e">
        <f>#REF!</f>
        <v>#REF!</v>
      </c>
    </row>
    <row r="646" spans="1:17">
      <c r="A646" s="51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Q646" s="28" t="e">
        <f>#REF!</f>
        <v>#REF!</v>
      </c>
    </row>
    <row r="647" spans="1:17">
      <c r="A647" s="51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Q647" s="28" t="e">
        <f>#REF!</f>
        <v>#REF!</v>
      </c>
    </row>
    <row r="648" spans="1:17">
      <c r="A648" s="51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Q648" s="28" t="e">
        <f>#REF!</f>
        <v>#REF!</v>
      </c>
    </row>
    <row r="649" spans="1:17">
      <c r="A649" s="51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Q649" s="28" t="e">
        <f>#REF!</f>
        <v>#REF!</v>
      </c>
    </row>
    <row r="650" spans="1:17">
      <c r="A650" s="51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Q650" s="28" t="e">
        <f>#REF!</f>
        <v>#REF!</v>
      </c>
    </row>
    <row r="651" spans="1:17">
      <c r="A651" s="51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Q651" s="28" t="e">
        <f>#REF!</f>
        <v>#REF!</v>
      </c>
    </row>
    <row r="652" spans="1:17">
      <c r="A652" s="51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Q652" s="28" t="e">
        <f>#REF!</f>
        <v>#REF!</v>
      </c>
    </row>
    <row r="653" spans="1:17">
      <c r="A653" s="51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Q653" s="28" t="e">
        <f>#REF!</f>
        <v>#REF!</v>
      </c>
    </row>
    <row r="654" spans="1:17">
      <c r="A654" s="51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Q654" s="28" t="e">
        <f>#REF!</f>
        <v>#REF!</v>
      </c>
    </row>
    <row r="655" spans="1:17">
      <c r="A655" s="51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Q655" s="28" t="e">
        <f>#REF!</f>
        <v>#REF!</v>
      </c>
    </row>
    <row r="656" spans="1:17">
      <c r="A656" s="51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Q656" s="28" t="e">
        <f>#REF!</f>
        <v>#REF!</v>
      </c>
    </row>
    <row r="657" spans="1:17">
      <c r="A657" s="51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Q657" s="28" t="e">
        <f>#REF!</f>
        <v>#REF!</v>
      </c>
    </row>
    <row r="658" spans="1:17">
      <c r="A658" s="51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Q658" s="28" t="e">
        <f>#REF!</f>
        <v>#REF!</v>
      </c>
    </row>
    <row r="659" spans="1:17">
      <c r="A659" s="51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Q659" s="28" t="e">
        <f>#REF!</f>
        <v>#REF!</v>
      </c>
    </row>
    <row r="660" spans="1:17">
      <c r="A660" s="51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Q660" s="28" t="e">
        <f>#REF!</f>
        <v>#REF!</v>
      </c>
    </row>
    <row r="661" spans="1:17">
      <c r="A661" s="51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Q661" s="28" t="e">
        <f>#REF!</f>
        <v>#REF!</v>
      </c>
    </row>
    <row r="662" spans="1:17">
      <c r="A662" s="51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Q662" s="28" t="e">
        <f>#REF!</f>
        <v>#REF!</v>
      </c>
    </row>
    <row r="663" spans="1:17">
      <c r="A663" s="51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Q663" s="28" t="e">
        <f>#REF!</f>
        <v>#REF!</v>
      </c>
    </row>
    <row r="664" spans="1:17">
      <c r="A664" s="51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Q664" s="28" t="e">
        <f>#REF!</f>
        <v>#REF!</v>
      </c>
    </row>
    <row r="665" spans="1:17">
      <c r="A665" s="51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Q665" s="28" t="e">
        <f>#REF!</f>
        <v>#REF!</v>
      </c>
    </row>
    <row r="666" spans="1:17">
      <c r="A666" s="51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Q666" s="28" t="e">
        <f>#REF!</f>
        <v>#REF!</v>
      </c>
    </row>
    <row r="667" spans="1:17">
      <c r="A667" s="51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Q667" s="28" t="e">
        <f>#REF!</f>
        <v>#REF!</v>
      </c>
    </row>
    <row r="668" spans="1:17">
      <c r="A668" s="51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Q668" s="28" t="e">
        <f>#REF!</f>
        <v>#REF!</v>
      </c>
    </row>
    <row r="669" spans="1:17">
      <c r="A669" s="51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Q669" s="28" t="e">
        <f>#REF!</f>
        <v>#REF!</v>
      </c>
    </row>
    <row r="670" spans="1:17">
      <c r="A670" s="51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Q670" s="28" t="e">
        <f>#REF!</f>
        <v>#REF!</v>
      </c>
    </row>
    <row r="671" spans="1:17">
      <c r="A671" s="51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Q671" s="28" t="e">
        <f>#REF!</f>
        <v>#REF!</v>
      </c>
    </row>
    <row r="672" spans="1:17">
      <c r="A672" s="51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Q672" s="28" t="e">
        <f>#REF!</f>
        <v>#REF!</v>
      </c>
    </row>
    <row r="673" spans="1:17">
      <c r="A673" s="51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Q673" s="28" t="e">
        <f>#REF!</f>
        <v>#REF!</v>
      </c>
    </row>
    <row r="674" spans="1:17">
      <c r="A674" s="51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Q674" s="28" t="e">
        <f>#REF!</f>
        <v>#REF!</v>
      </c>
    </row>
    <row r="675" spans="1:17">
      <c r="A675" s="51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Q675" s="28" t="e">
        <f>#REF!</f>
        <v>#REF!</v>
      </c>
    </row>
    <row r="676" spans="1:17">
      <c r="A676" s="51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Q676" s="28" t="e">
        <f>#REF!</f>
        <v>#REF!</v>
      </c>
    </row>
    <row r="677" spans="1:17">
      <c r="A677" s="51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Q677" s="28" t="e">
        <f>#REF!</f>
        <v>#REF!</v>
      </c>
    </row>
    <row r="678" spans="1:17">
      <c r="A678" s="51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Q678" s="28" t="e">
        <f>#REF!</f>
        <v>#REF!</v>
      </c>
    </row>
    <row r="679" spans="1:17">
      <c r="A679" s="51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Q679" s="28" t="e">
        <f>#REF!</f>
        <v>#REF!</v>
      </c>
    </row>
    <row r="680" spans="1:17">
      <c r="A680" s="51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Q680" s="28" t="e">
        <f>#REF!</f>
        <v>#REF!</v>
      </c>
    </row>
    <row r="681" spans="1:17">
      <c r="A681" s="51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Q681" s="28" t="e">
        <f>#REF!</f>
        <v>#REF!</v>
      </c>
    </row>
    <row r="682" spans="1:17">
      <c r="A682" s="51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Q682" s="28" t="e">
        <f>#REF!</f>
        <v>#REF!</v>
      </c>
    </row>
    <row r="683" spans="1:17">
      <c r="A683" s="51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Q683" s="28" t="e">
        <f>#REF!</f>
        <v>#REF!</v>
      </c>
    </row>
    <row r="684" spans="1:17">
      <c r="A684" s="51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Q684" s="28" t="e">
        <f>#REF!</f>
        <v>#REF!</v>
      </c>
    </row>
    <row r="685" spans="1:17">
      <c r="A685" s="51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Q685" s="28" t="e">
        <f>#REF!</f>
        <v>#REF!</v>
      </c>
    </row>
    <row r="686" spans="1:17">
      <c r="A686" s="51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Q686" s="28" t="e">
        <f>#REF!</f>
        <v>#REF!</v>
      </c>
    </row>
    <row r="687" spans="1:17">
      <c r="A687" s="51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Q687" s="28" t="e">
        <f>#REF!</f>
        <v>#REF!</v>
      </c>
    </row>
    <row r="688" spans="1:17">
      <c r="A688" s="51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Q688" s="28" t="e">
        <f>#REF!</f>
        <v>#REF!</v>
      </c>
    </row>
    <row r="689" spans="1:17">
      <c r="A689" s="51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Q689" s="28" t="e">
        <f>#REF!</f>
        <v>#REF!</v>
      </c>
    </row>
    <row r="690" spans="1:17">
      <c r="A690" s="51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Q690" s="28" t="e">
        <f>#REF!</f>
        <v>#REF!</v>
      </c>
    </row>
    <row r="691" spans="1:17">
      <c r="A691" s="51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Q691" s="28" t="e">
        <f>#REF!</f>
        <v>#REF!</v>
      </c>
    </row>
    <row r="692" spans="1:17">
      <c r="A692" s="51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Q692" s="28" t="e">
        <f>#REF!</f>
        <v>#REF!</v>
      </c>
    </row>
    <row r="693" spans="1:17">
      <c r="A693" s="51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Q693" s="28" t="e">
        <f>#REF!</f>
        <v>#REF!</v>
      </c>
    </row>
    <row r="694" spans="1:17">
      <c r="A694" s="51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Q694" s="28" t="e">
        <f>#REF!</f>
        <v>#REF!</v>
      </c>
    </row>
    <row r="695" spans="1:17">
      <c r="A695" s="51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Q695" s="28" t="e">
        <f>#REF!</f>
        <v>#REF!</v>
      </c>
    </row>
    <row r="696" spans="1:17">
      <c r="A696" s="51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Q696" s="28" t="e">
        <f>#REF!</f>
        <v>#REF!</v>
      </c>
    </row>
    <row r="697" spans="1:17">
      <c r="A697" s="51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Q697" s="28" t="e">
        <f>#REF!</f>
        <v>#REF!</v>
      </c>
    </row>
    <row r="698" spans="1:17">
      <c r="A698" s="51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Q698" s="28" t="e">
        <f>#REF!</f>
        <v>#REF!</v>
      </c>
    </row>
    <row r="699" spans="1:17">
      <c r="A699" s="51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Q699" s="28" t="e">
        <f>#REF!</f>
        <v>#REF!</v>
      </c>
    </row>
    <row r="700" spans="1:17">
      <c r="A700" s="51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Q700" s="28" t="e">
        <f>#REF!</f>
        <v>#REF!</v>
      </c>
    </row>
    <row r="701" spans="1:17">
      <c r="A701" s="51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Q701" s="28" t="e">
        <f>#REF!</f>
        <v>#REF!</v>
      </c>
    </row>
    <row r="702" spans="1:17">
      <c r="A702" s="51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Q702" s="28" t="e">
        <f>#REF!</f>
        <v>#REF!</v>
      </c>
    </row>
    <row r="703" spans="1:17">
      <c r="A703" s="51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Q703" s="28" t="e">
        <f>#REF!</f>
        <v>#REF!</v>
      </c>
    </row>
    <row r="704" spans="1:17">
      <c r="A704" s="51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Q704" s="28" t="e">
        <f>#REF!</f>
        <v>#REF!</v>
      </c>
    </row>
    <row r="705" spans="1:17">
      <c r="A705" s="51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Q705" s="28" t="e">
        <f>#REF!</f>
        <v>#REF!</v>
      </c>
    </row>
    <row r="706" spans="1:17">
      <c r="A706" s="51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Q706" s="28" t="e">
        <f>#REF!</f>
        <v>#REF!</v>
      </c>
    </row>
    <row r="707" spans="1:17">
      <c r="A707" s="51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Q707" s="28" t="e">
        <f>#REF!</f>
        <v>#REF!</v>
      </c>
    </row>
    <row r="708" spans="1:17">
      <c r="A708" s="51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Q708" s="28" t="e">
        <f>#REF!</f>
        <v>#REF!</v>
      </c>
    </row>
    <row r="709" spans="1:17">
      <c r="A709" s="51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Q709" s="28" t="e">
        <f>#REF!</f>
        <v>#REF!</v>
      </c>
    </row>
    <row r="710" spans="1:17">
      <c r="A710" s="51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Q710" s="28" t="e">
        <f>#REF!</f>
        <v>#REF!</v>
      </c>
    </row>
    <row r="711" spans="1:17">
      <c r="A711" s="51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Q711" s="28" t="e">
        <f>#REF!</f>
        <v>#REF!</v>
      </c>
    </row>
    <row r="712" spans="1:17">
      <c r="A712" s="51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Q712" s="28" t="e">
        <f>#REF!</f>
        <v>#REF!</v>
      </c>
    </row>
    <row r="713" spans="1:17">
      <c r="A713" s="51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Q713" s="28" t="e">
        <f>#REF!</f>
        <v>#REF!</v>
      </c>
    </row>
    <row r="714" spans="1:17">
      <c r="A714" s="51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Q714" s="28" t="e">
        <f>#REF!</f>
        <v>#REF!</v>
      </c>
    </row>
    <row r="715" spans="1:17">
      <c r="A715" s="51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Q715" s="28" t="e">
        <f>#REF!</f>
        <v>#REF!</v>
      </c>
    </row>
    <row r="716" spans="1:17">
      <c r="A716" s="51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Q716" s="28" t="e">
        <f>#REF!</f>
        <v>#REF!</v>
      </c>
    </row>
    <row r="717" spans="1:17">
      <c r="A717" s="51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Q717" s="28" t="e">
        <f>#REF!</f>
        <v>#REF!</v>
      </c>
    </row>
    <row r="718" spans="1:17">
      <c r="A718" s="51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Q718" s="28" t="e">
        <f>#REF!</f>
        <v>#REF!</v>
      </c>
    </row>
    <row r="719" spans="1:17">
      <c r="A719" s="51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Q719" s="28" t="e">
        <f>#REF!</f>
        <v>#REF!</v>
      </c>
    </row>
    <row r="720" spans="1:17">
      <c r="A720" s="51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Q720" s="28" t="e">
        <f>#REF!</f>
        <v>#REF!</v>
      </c>
    </row>
    <row r="721" spans="1:17">
      <c r="A721" s="51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Q721" s="28" t="e">
        <f>#REF!</f>
        <v>#REF!</v>
      </c>
    </row>
    <row r="722" spans="1:17">
      <c r="A722" s="51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Q722" s="28" t="e">
        <f>#REF!</f>
        <v>#REF!</v>
      </c>
    </row>
    <row r="723" spans="1:17">
      <c r="A723" s="51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Q723" s="28" t="e">
        <f>#REF!</f>
        <v>#REF!</v>
      </c>
    </row>
    <row r="724" spans="1:17">
      <c r="A724" s="51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Q724" s="28" t="e">
        <f>#REF!</f>
        <v>#REF!</v>
      </c>
    </row>
    <row r="725" spans="1:17">
      <c r="A725" s="51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Q725" s="28" t="e">
        <f>#REF!</f>
        <v>#REF!</v>
      </c>
    </row>
    <row r="726" spans="1:17">
      <c r="A726" s="51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Q726" s="28" t="e">
        <f>#REF!</f>
        <v>#REF!</v>
      </c>
    </row>
    <row r="727" spans="1:17">
      <c r="A727" s="51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Q727" s="28" t="e">
        <f>#REF!</f>
        <v>#REF!</v>
      </c>
    </row>
    <row r="728" spans="1:17">
      <c r="A728" s="51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Q728" s="28" t="e">
        <f>#REF!</f>
        <v>#REF!</v>
      </c>
    </row>
    <row r="729" spans="1:17">
      <c r="A729" s="51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Q729" s="28" t="e">
        <f>#REF!</f>
        <v>#REF!</v>
      </c>
    </row>
    <row r="730" spans="1:17">
      <c r="A730" s="51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Q730" s="28" t="e">
        <f>#REF!</f>
        <v>#REF!</v>
      </c>
    </row>
    <row r="731" spans="1:17">
      <c r="A731" s="51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Q731" s="28" t="e">
        <f>#REF!</f>
        <v>#REF!</v>
      </c>
    </row>
    <row r="732" spans="1:17">
      <c r="A732" s="51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Q732" s="28" t="e">
        <f>#REF!</f>
        <v>#REF!</v>
      </c>
    </row>
    <row r="733" spans="1:17">
      <c r="A733" s="51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Q733" s="28" t="e">
        <f>#REF!</f>
        <v>#REF!</v>
      </c>
    </row>
    <row r="734" spans="1:17">
      <c r="A734" s="51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Q734" s="28" t="e">
        <f>#REF!</f>
        <v>#REF!</v>
      </c>
    </row>
    <row r="735" spans="1:17">
      <c r="A735" s="51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Q735" s="28" t="e">
        <f>#REF!</f>
        <v>#REF!</v>
      </c>
    </row>
    <row r="736" spans="1:17">
      <c r="A736" s="51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Q736" s="28" t="e">
        <f>#REF!</f>
        <v>#REF!</v>
      </c>
    </row>
    <row r="737" spans="1:17">
      <c r="A737" s="51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Q737" s="28" t="e">
        <f>#REF!</f>
        <v>#REF!</v>
      </c>
    </row>
    <row r="738" spans="1:17">
      <c r="A738" s="51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Q738" s="28" t="e">
        <f>#REF!</f>
        <v>#REF!</v>
      </c>
    </row>
    <row r="739" spans="1:17">
      <c r="A739" s="51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Q739" s="28" t="e">
        <f>#REF!</f>
        <v>#REF!</v>
      </c>
    </row>
    <row r="740" spans="1:17">
      <c r="A740" s="51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Q740" s="28" t="e">
        <f>#REF!</f>
        <v>#REF!</v>
      </c>
    </row>
    <row r="741" spans="1:17">
      <c r="A741" s="51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Q741" s="28" t="e">
        <f>#REF!</f>
        <v>#REF!</v>
      </c>
    </row>
    <row r="742" spans="1:17">
      <c r="A742" s="51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Q742" s="28" t="e">
        <f>#REF!</f>
        <v>#REF!</v>
      </c>
    </row>
    <row r="743" spans="1:17">
      <c r="A743" s="51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Q743" s="28" t="e">
        <f>#REF!</f>
        <v>#REF!</v>
      </c>
    </row>
    <row r="744" spans="1:17">
      <c r="A744" s="51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Q744" s="28" t="e">
        <f>#REF!</f>
        <v>#REF!</v>
      </c>
    </row>
    <row r="745" spans="1:17">
      <c r="A745" s="51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Q745" s="28" t="e">
        <f>#REF!</f>
        <v>#REF!</v>
      </c>
    </row>
    <row r="746" spans="1:17">
      <c r="A746" s="51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Q746" s="28" t="e">
        <f>#REF!</f>
        <v>#REF!</v>
      </c>
    </row>
    <row r="747" spans="1:17">
      <c r="A747" s="51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Q747" s="28" t="e">
        <f>#REF!</f>
        <v>#REF!</v>
      </c>
    </row>
    <row r="748" spans="1:17">
      <c r="A748" s="51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Q748" s="28" t="e">
        <f>#REF!</f>
        <v>#REF!</v>
      </c>
    </row>
    <row r="749" spans="1:17">
      <c r="A749" s="51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Q749" s="28" t="e">
        <f>#REF!</f>
        <v>#REF!</v>
      </c>
    </row>
    <row r="750" spans="1:17">
      <c r="A750" s="51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Q750" s="28" t="e">
        <f>#REF!</f>
        <v>#REF!</v>
      </c>
    </row>
    <row r="751" spans="1:17">
      <c r="A751" s="51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Q751" s="28" t="e">
        <f>#REF!</f>
        <v>#REF!</v>
      </c>
    </row>
    <row r="752" spans="1:17">
      <c r="A752" s="51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Q752" s="28" t="e">
        <f>#REF!</f>
        <v>#REF!</v>
      </c>
    </row>
    <row r="753" spans="1:17">
      <c r="A753" s="51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Q753" s="28" t="e">
        <f>#REF!</f>
        <v>#REF!</v>
      </c>
    </row>
    <row r="754" spans="1:17">
      <c r="A754" s="51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Q754" s="28" t="e">
        <f>#REF!</f>
        <v>#REF!</v>
      </c>
    </row>
    <row r="755" spans="1:17">
      <c r="A755" s="51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Q755" s="28" t="e">
        <f>#REF!</f>
        <v>#REF!</v>
      </c>
    </row>
    <row r="756" spans="1:17">
      <c r="A756" s="51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Q756" s="28" t="e">
        <f>#REF!</f>
        <v>#REF!</v>
      </c>
    </row>
    <row r="757" spans="1:17">
      <c r="A757" s="51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Q757" s="28" t="e">
        <f>#REF!</f>
        <v>#REF!</v>
      </c>
    </row>
    <row r="758" spans="1:17">
      <c r="A758" s="51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Q758" s="28" t="e">
        <f>#REF!</f>
        <v>#REF!</v>
      </c>
    </row>
    <row r="759" spans="1:17">
      <c r="A759" s="51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Q759" s="28" t="e">
        <f>#REF!</f>
        <v>#REF!</v>
      </c>
    </row>
    <row r="760" spans="1:17">
      <c r="A760" s="51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Q760" s="28" t="e">
        <f>#REF!</f>
        <v>#REF!</v>
      </c>
    </row>
    <row r="761" spans="1:17">
      <c r="A761" s="51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Q761" s="28" t="e">
        <f>#REF!</f>
        <v>#REF!</v>
      </c>
    </row>
    <row r="762" spans="1:17">
      <c r="A762" s="51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Q762" s="28" t="e">
        <f>#REF!</f>
        <v>#REF!</v>
      </c>
    </row>
    <row r="763" spans="1:17">
      <c r="A763" s="51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Q763" s="28" t="e">
        <f>#REF!</f>
        <v>#REF!</v>
      </c>
    </row>
    <row r="764" spans="1:17">
      <c r="A764" s="51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Q764" s="28" t="e">
        <f>#REF!</f>
        <v>#REF!</v>
      </c>
    </row>
    <row r="765" spans="1:17">
      <c r="A765" s="51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Q765" s="28" t="e">
        <f>#REF!</f>
        <v>#REF!</v>
      </c>
    </row>
    <row r="766" spans="1:17">
      <c r="A766" s="51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Q766" s="28" t="e">
        <f>#REF!</f>
        <v>#REF!</v>
      </c>
    </row>
    <row r="767" spans="1:17">
      <c r="A767" s="51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Q767" s="28" t="e">
        <f>#REF!</f>
        <v>#REF!</v>
      </c>
    </row>
    <row r="768" spans="1:17">
      <c r="A768" s="51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Q768" s="28" t="e">
        <f>#REF!</f>
        <v>#REF!</v>
      </c>
    </row>
    <row r="769" spans="1:17">
      <c r="A769" s="51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Q769" s="28" t="e">
        <f>#REF!</f>
        <v>#REF!</v>
      </c>
    </row>
    <row r="770" spans="1:17">
      <c r="A770" s="51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Q770" s="28" t="e">
        <f>#REF!</f>
        <v>#REF!</v>
      </c>
    </row>
    <row r="771" spans="1:17">
      <c r="A771" s="51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Q771" s="28" t="e">
        <f>#REF!</f>
        <v>#REF!</v>
      </c>
    </row>
    <row r="772" spans="1:17">
      <c r="A772" s="51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Q772" s="28" t="e">
        <f>#REF!</f>
        <v>#REF!</v>
      </c>
    </row>
    <row r="773" spans="1:17">
      <c r="A773" s="51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Q773" s="28" t="e">
        <f>#REF!</f>
        <v>#REF!</v>
      </c>
    </row>
    <row r="774" spans="1:17">
      <c r="A774" s="51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Q774" s="28" t="e">
        <f>#REF!</f>
        <v>#REF!</v>
      </c>
    </row>
    <row r="775" spans="1:17">
      <c r="A775" s="51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Q775" s="28" t="e">
        <f>#REF!</f>
        <v>#REF!</v>
      </c>
    </row>
    <row r="776" spans="1:17">
      <c r="A776" s="51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Q776" s="28" t="e">
        <f>#REF!</f>
        <v>#REF!</v>
      </c>
    </row>
    <row r="777" spans="1:17">
      <c r="A777" s="51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Q777" s="28" t="e">
        <f>#REF!</f>
        <v>#REF!</v>
      </c>
    </row>
    <row r="778" spans="1:17">
      <c r="A778" s="51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Q778" s="28" t="e">
        <f>#REF!</f>
        <v>#REF!</v>
      </c>
    </row>
    <row r="779" spans="1:17">
      <c r="A779" s="51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Q779" s="28" t="e">
        <f>#REF!</f>
        <v>#REF!</v>
      </c>
    </row>
    <row r="780" spans="1:17">
      <c r="A780" s="51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Q780" s="28" t="e">
        <f>#REF!</f>
        <v>#REF!</v>
      </c>
    </row>
    <row r="781" spans="1:17">
      <c r="A781" s="51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Q781" s="28" t="e">
        <f>#REF!</f>
        <v>#REF!</v>
      </c>
    </row>
    <row r="782" spans="1:17">
      <c r="A782" s="51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Q782" s="28" t="e">
        <f>#REF!</f>
        <v>#REF!</v>
      </c>
    </row>
    <row r="783" spans="1:17">
      <c r="A783" s="51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Q783" s="28" t="e">
        <f>#REF!</f>
        <v>#REF!</v>
      </c>
    </row>
    <row r="784" spans="1:17">
      <c r="A784" s="51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Q784" s="28" t="e">
        <f>#REF!</f>
        <v>#REF!</v>
      </c>
    </row>
    <row r="785" spans="1:17">
      <c r="A785" s="51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Q785" s="28" t="e">
        <f>#REF!</f>
        <v>#REF!</v>
      </c>
    </row>
    <row r="786" spans="1:17">
      <c r="A786" s="51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Q786" s="28" t="e">
        <f>#REF!</f>
        <v>#REF!</v>
      </c>
    </row>
    <row r="787" spans="1:17">
      <c r="A787" s="51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Q787" s="28" t="e">
        <f>#REF!</f>
        <v>#REF!</v>
      </c>
    </row>
    <row r="788" spans="1:17">
      <c r="A788" s="51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Q788" s="28" t="e">
        <f>#REF!</f>
        <v>#REF!</v>
      </c>
    </row>
    <row r="789" spans="1:17">
      <c r="A789" s="51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Q789" s="28" t="e">
        <f>#REF!</f>
        <v>#REF!</v>
      </c>
    </row>
    <row r="790" spans="1:17">
      <c r="A790" s="51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Q790" s="28" t="e">
        <f>#REF!</f>
        <v>#REF!</v>
      </c>
    </row>
    <row r="791" spans="1:17">
      <c r="A791" s="51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Q791" s="28" t="e">
        <f>#REF!</f>
        <v>#REF!</v>
      </c>
    </row>
    <row r="792" spans="1:17">
      <c r="A792" s="51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Q792" s="28" t="e">
        <f>#REF!</f>
        <v>#REF!</v>
      </c>
    </row>
    <row r="793" spans="1:17">
      <c r="A793" s="51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Q793" s="28" t="e">
        <f>#REF!</f>
        <v>#REF!</v>
      </c>
    </row>
    <row r="794" spans="1:17">
      <c r="A794" s="51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Q794" s="28" t="e">
        <f>#REF!</f>
        <v>#REF!</v>
      </c>
    </row>
    <row r="795" spans="1:17">
      <c r="A795" s="51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Q795" s="28" t="e">
        <f>#REF!</f>
        <v>#REF!</v>
      </c>
    </row>
    <row r="796" spans="1:17">
      <c r="A796" s="51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Q796" s="28" t="e">
        <f>#REF!</f>
        <v>#REF!</v>
      </c>
    </row>
    <row r="797" spans="1:17">
      <c r="A797" s="51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Q797" s="28" t="e">
        <f>#REF!</f>
        <v>#REF!</v>
      </c>
    </row>
    <row r="798" spans="1:17">
      <c r="A798" s="51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Q798" s="28" t="e">
        <f>#REF!</f>
        <v>#REF!</v>
      </c>
    </row>
    <row r="799" spans="1:17">
      <c r="A799" s="51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Q799" s="28" t="e">
        <f>#REF!</f>
        <v>#REF!</v>
      </c>
    </row>
    <row r="800" spans="1:17">
      <c r="A800" s="51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Q800" s="28" t="e">
        <f>#REF!</f>
        <v>#REF!</v>
      </c>
    </row>
    <row r="801" spans="1:17">
      <c r="A801" s="51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Q801" s="28" t="e">
        <f>#REF!</f>
        <v>#REF!</v>
      </c>
    </row>
    <row r="802" spans="1:17">
      <c r="A802" s="51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Q802" s="28" t="e">
        <f>#REF!</f>
        <v>#REF!</v>
      </c>
    </row>
    <row r="803" spans="1:17">
      <c r="A803" s="51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Q803" s="28" t="e">
        <f>#REF!</f>
        <v>#REF!</v>
      </c>
    </row>
    <row r="804" spans="1:17">
      <c r="A804" s="51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Q804" s="28" t="e">
        <f>#REF!</f>
        <v>#REF!</v>
      </c>
    </row>
    <row r="805" spans="1:17">
      <c r="A805" s="51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Q805" s="28" t="e">
        <f>#REF!</f>
        <v>#REF!</v>
      </c>
    </row>
    <row r="806" spans="1:17">
      <c r="A806" s="51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Q806" s="28" t="e">
        <f>#REF!</f>
        <v>#REF!</v>
      </c>
    </row>
    <row r="807" spans="1:17">
      <c r="A807" s="51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Q807" s="28" t="e">
        <f>#REF!</f>
        <v>#REF!</v>
      </c>
    </row>
    <row r="808" spans="1:17">
      <c r="A808" s="51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Q808" s="28" t="e">
        <f>#REF!</f>
        <v>#REF!</v>
      </c>
    </row>
    <row r="809" spans="1:17">
      <c r="A809" s="51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Q809" s="28" t="e">
        <f>#REF!</f>
        <v>#REF!</v>
      </c>
    </row>
    <row r="810" spans="1:17">
      <c r="A810" s="51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Q810" s="28" t="e">
        <f>#REF!</f>
        <v>#REF!</v>
      </c>
    </row>
    <row r="811" spans="1:17">
      <c r="A811" s="51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Q811" s="28" t="e">
        <f>#REF!</f>
        <v>#REF!</v>
      </c>
    </row>
    <row r="812" spans="1:17">
      <c r="A812" s="51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Q812" s="28" t="e">
        <f>#REF!</f>
        <v>#REF!</v>
      </c>
    </row>
    <row r="813" spans="1:17">
      <c r="A813" s="51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Q813" s="28" t="e">
        <f>#REF!</f>
        <v>#REF!</v>
      </c>
    </row>
    <row r="814" spans="1:17">
      <c r="A814" s="51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Q814" s="28" t="e">
        <f>#REF!</f>
        <v>#REF!</v>
      </c>
    </row>
    <row r="815" spans="1:17">
      <c r="A815" s="51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Q815" s="28" t="e">
        <f>#REF!</f>
        <v>#REF!</v>
      </c>
    </row>
    <row r="816" spans="1:17">
      <c r="A816" s="51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Q816" s="28" t="e">
        <f>#REF!</f>
        <v>#REF!</v>
      </c>
    </row>
    <row r="817" spans="1:17">
      <c r="A817" s="51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Q817" s="28" t="e">
        <f>#REF!</f>
        <v>#REF!</v>
      </c>
    </row>
    <row r="818" spans="1:17">
      <c r="A818" s="51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Q818" s="28" t="e">
        <f>#REF!</f>
        <v>#REF!</v>
      </c>
    </row>
    <row r="819" spans="1:17">
      <c r="A819" s="51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Q819" s="28" t="e">
        <f>#REF!</f>
        <v>#REF!</v>
      </c>
    </row>
    <row r="820" spans="1:17">
      <c r="A820" s="51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Q820" s="28" t="e">
        <f>#REF!</f>
        <v>#REF!</v>
      </c>
    </row>
    <row r="821" spans="1:17">
      <c r="A821" s="51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Q821" s="28" t="e">
        <f>#REF!</f>
        <v>#REF!</v>
      </c>
    </row>
    <row r="822" spans="1:17">
      <c r="A822" s="51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Q822" s="28" t="e">
        <f>#REF!</f>
        <v>#REF!</v>
      </c>
    </row>
    <row r="823" spans="1:17">
      <c r="A823" s="51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Q823" s="28" t="e">
        <f>#REF!</f>
        <v>#REF!</v>
      </c>
    </row>
    <row r="824" spans="1:17">
      <c r="A824" s="51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Q824" s="28" t="e">
        <f>#REF!</f>
        <v>#REF!</v>
      </c>
    </row>
    <row r="825" spans="1:17">
      <c r="A825" s="51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Q825" s="28" t="e">
        <f>#REF!</f>
        <v>#REF!</v>
      </c>
    </row>
    <row r="826" spans="1:17">
      <c r="A826" s="51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Q826" s="28" t="e">
        <f>#REF!</f>
        <v>#REF!</v>
      </c>
    </row>
    <row r="827" spans="1:17">
      <c r="A827" s="51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Q827" s="28" t="e">
        <f>#REF!</f>
        <v>#REF!</v>
      </c>
    </row>
    <row r="828" spans="1:17">
      <c r="A828" s="51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Q828" s="28" t="e">
        <f>#REF!</f>
        <v>#REF!</v>
      </c>
    </row>
    <row r="829" spans="1:17">
      <c r="A829" s="51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Q829" s="28" t="e">
        <f>#REF!</f>
        <v>#REF!</v>
      </c>
    </row>
    <row r="830" spans="1:17">
      <c r="A830" s="51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Q830" s="28" t="e">
        <f>#REF!</f>
        <v>#REF!</v>
      </c>
    </row>
    <row r="831" spans="1:17">
      <c r="A831" s="51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Q831" s="28" t="e">
        <f>#REF!</f>
        <v>#REF!</v>
      </c>
    </row>
    <row r="832" spans="1:17">
      <c r="A832" s="51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Q832" s="28" t="e">
        <f>#REF!</f>
        <v>#REF!</v>
      </c>
    </row>
    <row r="833" spans="1:17">
      <c r="A833" s="51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Q833" s="28" t="e">
        <f>#REF!</f>
        <v>#REF!</v>
      </c>
    </row>
    <row r="834" spans="1:17">
      <c r="A834" s="51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Q834" s="28" t="e">
        <f>#REF!</f>
        <v>#REF!</v>
      </c>
    </row>
    <row r="835" spans="1:17">
      <c r="A835" s="51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Q835" s="28" t="e">
        <f>#REF!</f>
        <v>#REF!</v>
      </c>
    </row>
    <row r="836" spans="1:17">
      <c r="A836" s="51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Q836" s="28" t="e">
        <f>#REF!</f>
        <v>#REF!</v>
      </c>
    </row>
    <row r="837" spans="1:17">
      <c r="A837" s="51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Q837" s="28" t="e">
        <f>#REF!</f>
        <v>#REF!</v>
      </c>
    </row>
    <row r="838" spans="1:17">
      <c r="A838" s="51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Q838" s="28" t="e">
        <f>#REF!</f>
        <v>#REF!</v>
      </c>
    </row>
    <row r="839" spans="1:17">
      <c r="A839" s="51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Q839" s="28" t="e">
        <f>#REF!</f>
        <v>#REF!</v>
      </c>
    </row>
    <row r="840" spans="1:17">
      <c r="A840" s="51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Q840" s="28" t="e">
        <f>#REF!</f>
        <v>#REF!</v>
      </c>
    </row>
    <row r="841" spans="1:17">
      <c r="A841" s="51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Q841" s="28" t="e">
        <f>#REF!</f>
        <v>#REF!</v>
      </c>
    </row>
    <row r="842" spans="1:17">
      <c r="A842" s="51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Q842" s="28" t="e">
        <f>#REF!</f>
        <v>#REF!</v>
      </c>
    </row>
    <row r="843" spans="1:17">
      <c r="A843" s="51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Q843" s="28" t="e">
        <f>#REF!</f>
        <v>#REF!</v>
      </c>
    </row>
    <row r="844" spans="1:17">
      <c r="A844" s="51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Q844" s="28" t="e">
        <f>#REF!</f>
        <v>#REF!</v>
      </c>
    </row>
    <row r="845" spans="1:17">
      <c r="A845" s="51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Q845" s="28" t="e">
        <f>#REF!</f>
        <v>#REF!</v>
      </c>
    </row>
    <row r="846" spans="1:17">
      <c r="A846" s="51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Q846" s="28" t="e">
        <f>#REF!</f>
        <v>#REF!</v>
      </c>
    </row>
    <row r="847" spans="1:17">
      <c r="A847" s="51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Q847" s="28" t="e">
        <f>#REF!</f>
        <v>#REF!</v>
      </c>
    </row>
    <row r="848" spans="1:17">
      <c r="A848" s="51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Q848" s="28" t="e">
        <f>#REF!</f>
        <v>#REF!</v>
      </c>
    </row>
    <row r="849" spans="1:17">
      <c r="A849" s="51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Q849" s="28" t="e">
        <f>#REF!</f>
        <v>#REF!</v>
      </c>
    </row>
    <row r="850" spans="1:17">
      <c r="A850" s="51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Q850" s="28" t="e">
        <f>#REF!</f>
        <v>#REF!</v>
      </c>
    </row>
    <row r="851" spans="1:17">
      <c r="A851" s="51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Q851" s="28" t="e">
        <f>#REF!</f>
        <v>#REF!</v>
      </c>
    </row>
    <row r="852" spans="1:17">
      <c r="A852" s="51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Q852" s="28" t="e">
        <f>#REF!</f>
        <v>#REF!</v>
      </c>
    </row>
    <row r="853" spans="1:17">
      <c r="A853" s="51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Q853" s="28" t="e">
        <f>#REF!</f>
        <v>#REF!</v>
      </c>
    </row>
    <row r="854" spans="1:17">
      <c r="A854" s="51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Q854" s="28" t="e">
        <f>#REF!</f>
        <v>#REF!</v>
      </c>
    </row>
    <row r="855" spans="1:17">
      <c r="A855" s="51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Q855" s="28" t="e">
        <f>#REF!</f>
        <v>#REF!</v>
      </c>
    </row>
    <row r="856" spans="1:17">
      <c r="A856" s="51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Q856" s="28" t="e">
        <f>#REF!</f>
        <v>#REF!</v>
      </c>
    </row>
    <row r="857" spans="1:17">
      <c r="A857" s="51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Q857" s="28" t="e">
        <f>#REF!</f>
        <v>#REF!</v>
      </c>
    </row>
    <row r="858" spans="1:17">
      <c r="A858" s="51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Q858" s="28" t="e">
        <f>#REF!</f>
        <v>#REF!</v>
      </c>
    </row>
    <row r="859" spans="1:17">
      <c r="A859" s="51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Q859" s="28" t="e">
        <f>#REF!</f>
        <v>#REF!</v>
      </c>
    </row>
    <row r="860" spans="1:17">
      <c r="A860" s="51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Q860" s="28" t="e">
        <f>#REF!</f>
        <v>#REF!</v>
      </c>
    </row>
    <row r="861" spans="1:17">
      <c r="A861" s="51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Q861" s="28" t="e">
        <f>#REF!</f>
        <v>#REF!</v>
      </c>
    </row>
    <row r="862" spans="1:17">
      <c r="A862" s="51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Q862" s="28" t="e">
        <f>#REF!</f>
        <v>#REF!</v>
      </c>
    </row>
    <row r="863" spans="1:17">
      <c r="A863" s="51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Q863" s="28" t="e">
        <f>#REF!</f>
        <v>#REF!</v>
      </c>
    </row>
    <row r="864" spans="1:17">
      <c r="A864" s="51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Q864" s="28" t="e">
        <f>#REF!</f>
        <v>#REF!</v>
      </c>
    </row>
    <row r="865" spans="1:17">
      <c r="A865" s="51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Q865" s="28" t="e">
        <f>#REF!</f>
        <v>#REF!</v>
      </c>
    </row>
    <row r="866" spans="1:17">
      <c r="A866" s="51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Q866" s="28" t="e">
        <f>#REF!</f>
        <v>#REF!</v>
      </c>
    </row>
    <row r="867" spans="1:17">
      <c r="A867" s="51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Q867" s="28" t="e">
        <f>#REF!</f>
        <v>#REF!</v>
      </c>
    </row>
    <row r="868" spans="1:17">
      <c r="A868" s="51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Q868" s="28" t="e">
        <f>#REF!</f>
        <v>#REF!</v>
      </c>
    </row>
    <row r="869" spans="1:17">
      <c r="A869" s="51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Q869" s="28" t="e">
        <f>#REF!</f>
        <v>#REF!</v>
      </c>
    </row>
    <row r="870" spans="1:17">
      <c r="A870" s="51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Q870" s="28" t="e">
        <f>#REF!</f>
        <v>#REF!</v>
      </c>
    </row>
    <row r="871" spans="1:17">
      <c r="A871" s="51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Q871" s="28" t="e">
        <f>#REF!</f>
        <v>#REF!</v>
      </c>
    </row>
    <row r="872" spans="1:17">
      <c r="A872" s="51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Q872" s="28" t="e">
        <f>#REF!</f>
        <v>#REF!</v>
      </c>
    </row>
    <row r="873" spans="1:17">
      <c r="A873" s="51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Q873" s="28" t="e">
        <f>#REF!</f>
        <v>#REF!</v>
      </c>
    </row>
    <row r="874" spans="1:17">
      <c r="A874" s="51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Q874" s="28" t="e">
        <f>#REF!</f>
        <v>#REF!</v>
      </c>
    </row>
    <row r="875" spans="1:17">
      <c r="A875" s="51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Q875" s="28" t="e">
        <f>#REF!</f>
        <v>#REF!</v>
      </c>
    </row>
    <row r="876" spans="1:17">
      <c r="A876" s="51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Q876" s="28" t="e">
        <f>#REF!</f>
        <v>#REF!</v>
      </c>
    </row>
    <row r="877" spans="1:17">
      <c r="A877" s="51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Q877" s="28" t="e">
        <f>#REF!</f>
        <v>#REF!</v>
      </c>
    </row>
    <row r="878" spans="1:17">
      <c r="A878" s="51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Q878" s="28" t="e">
        <f>#REF!</f>
        <v>#REF!</v>
      </c>
    </row>
    <row r="879" spans="1:17">
      <c r="A879" s="51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Q879" s="28" t="e">
        <f>#REF!</f>
        <v>#REF!</v>
      </c>
    </row>
    <row r="880" spans="1:17">
      <c r="A880" s="51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Q880" s="28" t="e">
        <f>#REF!</f>
        <v>#REF!</v>
      </c>
    </row>
    <row r="881" spans="1:17">
      <c r="A881" s="51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Q881" s="28" t="e">
        <f>#REF!</f>
        <v>#REF!</v>
      </c>
    </row>
    <row r="882" spans="1:17">
      <c r="A882" s="51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Q882" s="28" t="e">
        <f>#REF!</f>
        <v>#REF!</v>
      </c>
    </row>
    <row r="883" spans="1:17">
      <c r="A883" s="51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Q883" s="28" t="e">
        <f>#REF!</f>
        <v>#REF!</v>
      </c>
    </row>
    <row r="884" spans="1:17">
      <c r="A884" s="51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Q884" s="28" t="e">
        <f>#REF!</f>
        <v>#REF!</v>
      </c>
    </row>
    <row r="885" spans="1:17">
      <c r="A885" s="51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Q885" s="28" t="e">
        <f>#REF!</f>
        <v>#REF!</v>
      </c>
    </row>
    <row r="886" spans="1:17">
      <c r="A886" s="51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Q886" s="28" t="e">
        <f>#REF!</f>
        <v>#REF!</v>
      </c>
    </row>
    <row r="887" spans="1:17">
      <c r="A887" s="51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Q887" s="28" t="e">
        <f>#REF!</f>
        <v>#REF!</v>
      </c>
    </row>
    <row r="888" spans="1:17">
      <c r="A888" s="51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Q888" s="28" t="e">
        <f>#REF!</f>
        <v>#REF!</v>
      </c>
    </row>
    <row r="889" spans="1:17">
      <c r="A889" s="51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Q889" s="28" t="e">
        <f>#REF!</f>
        <v>#REF!</v>
      </c>
    </row>
    <row r="890" spans="1:17">
      <c r="A890" s="51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Q890" s="28" t="e">
        <f>#REF!</f>
        <v>#REF!</v>
      </c>
    </row>
    <row r="891" spans="1:17">
      <c r="A891" s="51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Q891" s="28" t="e">
        <f>#REF!</f>
        <v>#REF!</v>
      </c>
    </row>
    <row r="892" spans="1:17">
      <c r="A892" s="51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Q892" s="28" t="e">
        <f>#REF!</f>
        <v>#REF!</v>
      </c>
    </row>
    <row r="893" spans="1:17">
      <c r="A893" s="51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Q893" s="28" t="e">
        <f>#REF!</f>
        <v>#REF!</v>
      </c>
    </row>
    <row r="894" spans="1:17">
      <c r="A894" s="51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Q894" s="28" t="e">
        <f>#REF!</f>
        <v>#REF!</v>
      </c>
    </row>
    <row r="895" spans="1:17">
      <c r="A895" s="51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Q895" s="28" t="e">
        <f>#REF!</f>
        <v>#REF!</v>
      </c>
    </row>
    <row r="896" spans="1:17">
      <c r="A896" s="51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Q896" s="28" t="e">
        <f>#REF!</f>
        <v>#REF!</v>
      </c>
    </row>
    <row r="897" spans="1:17">
      <c r="A897" s="51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Q897" s="28" t="e">
        <f>#REF!</f>
        <v>#REF!</v>
      </c>
    </row>
    <row r="898" spans="1:17">
      <c r="A898" s="51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Q898" s="28" t="e">
        <f>#REF!</f>
        <v>#REF!</v>
      </c>
    </row>
    <row r="899" spans="1:17">
      <c r="A899" s="51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Q899" s="28" t="e">
        <f>#REF!</f>
        <v>#REF!</v>
      </c>
    </row>
    <row r="900" spans="1:17">
      <c r="A900" s="51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Q900" s="28" t="e">
        <f>#REF!</f>
        <v>#REF!</v>
      </c>
    </row>
    <row r="901" spans="1:17">
      <c r="A901" s="51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Q901" s="28" t="e">
        <f>#REF!</f>
        <v>#REF!</v>
      </c>
    </row>
    <row r="902" spans="1:17">
      <c r="A902" s="51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Q902" s="28" t="e">
        <f>#REF!</f>
        <v>#REF!</v>
      </c>
    </row>
    <row r="903" spans="1:17">
      <c r="A903" s="51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Q903" s="28" t="e">
        <f>#REF!</f>
        <v>#REF!</v>
      </c>
    </row>
    <row r="904" spans="1:17">
      <c r="A904" s="51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Q904" s="28" t="e">
        <f>#REF!</f>
        <v>#REF!</v>
      </c>
    </row>
    <row r="905" spans="1:17">
      <c r="A905" s="51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Q905" s="28" t="e">
        <f>#REF!</f>
        <v>#REF!</v>
      </c>
    </row>
    <row r="906" spans="1:17">
      <c r="A906" s="51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Q906" s="28" t="e">
        <f>#REF!</f>
        <v>#REF!</v>
      </c>
    </row>
    <row r="907" spans="1:17">
      <c r="A907" s="51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Q907" s="28" t="e">
        <f>#REF!</f>
        <v>#REF!</v>
      </c>
    </row>
    <row r="908" spans="1:17">
      <c r="A908" s="51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Q908" s="28" t="e">
        <f>#REF!</f>
        <v>#REF!</v>
      </c>
    </row>
    <row r="909" spans="1:17">
      <c r="A909" s="51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Q909" s="28" t="e">
        <f>#REF!</f>
        <v>#REF!</v>
      </c>
    </row>
    <row r="910" spans="1:17">
      <c r="A910" s="51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Q910" s="28" t="e">
        <f>#REF!</f>
        <v>#REF!</v>
      </c>
    </row>
    <row r="911" spans="1:17">
      <c r="A911" s="51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Q911" s="28" t="e">
        <f>#REF!</f>
        <v>#REF!</v>
      </c>
    </row>
    <row r="912" spans="1:17">
      <c r="A912" s="51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Q912" s="28" t="e">
        <f>#REF!</f>
        <v>#REF!</v>
      </c>
    </row>
    <row r="913" spans="1:17">
      <c r="A913" s="51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Q913" s="28" t="e">
        <f>#REF!</f>
        <v>#REF!</v>
      </c>
    </row>
    <row r="914" spans="1:17">
      <c r="A914" s="51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Q914" s="28" t="e">
        <f>#REF!</f>
        <v>#REF!</v>
      </c>
    </row>
    <row r="915" spans="1:17">
      <c r="A915" s="51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Q915" s="28" t="e">
        <f>#REF!</f>
        <v>#REF!</v>
      </c>
    </row>
    <row r="916" spans="1:17">
      <c r="A916" s="51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Q916" s="28" t="e">
        <f>#REF!</f>
        <v>#REF!</v>
      </c>
    </row>
    <row r="917" spans="1:17">
      <c r="A917" s="51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Q917" s="28" t="e">
        <f>#REF!</f>
        <v>#REF!</v>
      </c>
    </row>
    <row r="918" spans="1:17">
      <c r="A918" s="51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Q918" s="28" t="e">
        <f>#REF!</f>
        <v>#REF!</v>
      </c>
    </row>
    <row r="919" spans="1:17">
      <c r="A919" s="51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Q919" s="28" t="e">
        <f>#REF!</f>
        <v>#REF!</v>
      </c>
    </row>
    <row r="920" spans="1:17">
      <c r="A920" s="51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Q920" s="28" t="e">
        <f>#REF!</f>
        <v>#REF!</v>
      </c>
    </row>
    <row r="921" spans="1:17">
      <c r="A921" s="51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Q921" s="28" t="e">
        <f>#REF!</f>
        <v>#REF!</v>
      </c>
    </row>
    <row r="922" spans="1:17">
      <c r="A922" s="51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Q922" s="28" t="e">
        <f>#REF!</f>
        <v>#REF!</v>
      </c>
    </row>
    <row r="923" spans="1:17">
      <c r="A923" s="51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Q923" s="28" t="e">
        <f>#REF!</f>
        <v>#REF!</v>
      </c>
    </row>
    <row r="924" spans="1:17">
      <c r="A924" s="51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Q924" s="28" t="e">
        <f>#REF!</f>
        <v>#REF!</v>
      </c>
    </row>
    <row r="925" spans="1:17">
      <c r="A925" s="51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Q925" s="28" t="e">
        <f>#REF!</f>
        <v>#REF!</v>
      </c>
    </row>
    <row r="926" spans="1:17">
      <c r="A926" s="51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Q926" s="28" t="e">
        <f>#REF!</f>
        <v>#REF!</v>
      </c>
    </row>
    <row r="927" spans="1:17">
      <c r="A927" s="51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Q927" s="28" t="e">
        <f>#REF!</f>
        <v>#REF!</v>
      </c>
    </row>
    <row r="928" spans="1:17">
      <c r="A928" s="51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Q928" s="28" t="e">
        <f>#REF!</f>
        <v>#REF!</v>
      </c>
    </row>
    <row r="929" spans="1:17">
      <c r="A929" s="51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Q929" s="28" t="e">
        <f>#REF!</f>
        <v>#REF!</v>
      </c>
    </row>
    <row r="930" spans="1:17">
      <c r="A930" s="51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Q930" s="28" t="e">
        <f>#REF!</f>
        <v>#REF!</v>
      </c>
    </row>
    <row r="931" spans="1:17">
      <c r="A931" s="51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Q931" s="28" t="e">
        <f>#REF!</f>
        <v>#REF!</v>
      </c>
    </row>
    <row r="932" spans="1:17">
      <c r="A932" s="51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Q932" s="28" t="e">
        <f>#REF!</f>
        <v>#REF!</v>
      </c>
    </row>
    <row r="933" spans="1:17">
      <c r="A933" s="51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Q933" s="28" t="e">
        <f>#REF!</f>
        <v>#REF!</v>
      </c>
    </row>
    <row r="934" spans="1:17">
      <c r="A934" s="51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Q934" s="28" t="e">
        <f>#REF!</f>
        <v>#REF!</v>
      </c>
    </row>
    <row r="935" spans="1:17">
      <c r="A935" s="51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Q935" s="28" t="e">
        <f>#REF!</f>
        <v>#REF!</v>
      </c>
    </row>
    <row r="936" spans="1:17">
      <c r="A936" s="51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Q936" s="28" t="e">
        <f>#REF!</f>
        <v>#REF!</v>
      </c>
    </row>
    <row r="937" spans="1:17">
      <c r="A937" s="51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Q937" s="28" t="e">
        <f>#REF!</f>
        <v>#REF!</v>
      </c>
    </row>
    <row r="938" spans="1:17">
      <c r="A938" s="51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Q938" s="28" t="e">
        <f>#REF!</f>
        <v>#REF!</v>
      </c>
    </row>
    <row r="939" spans="1:17">
      <c r="A939" s="51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Q939" s="28" t="e">
        <f>#REF!</f>
        <v>#REF!</v>
      </c>
    </row>
    <row r="940" spans="1:17">
      <c r="A940" s="51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Q940" s="28" t="e">
        <f>#REF!</f>
        <v>#REF!</v>
      </c>
    </row>
    <row r="941" spans="1:17">
      <c r="A941" s="51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Q941" s="28" t="e">
        <f>#REF!</f>
        <v>#REF!</v>
      </c>
    </row>
    <row r="942" spans="1:17">
      <c r="A942" s="51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Q942" s="28" t="e">
        <f>#REF!</f>
        <v>#REF!</v>
      </c>
    </row>
    <row r="943" spans="1:17">
      <c r="A943" s="51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Q943" s="28" t="e">
        <f>#REF!</f>
        <v>#REF!</v>
      </c>
    </row>
    <row r="944" spans="1:17">
      <c r="A944" s="51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Q944" s="28" t="e">
        <f>#REF!</f>
        <v>#REF!</v>
      </c>
    </row>
    <row r="945" spans="1:17">
      <c r="A945" s="51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Q945" s="28" t="e">
        <f>#REF!</f>
        <v>#REF!</v>
      </c>
    </row>
    <row r="946" spans="1:17">
      <c r="A946" s="51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Q946" s="28" t="e">
        <f>#REF!</f>
        <v>#REF!</v>
      </c>
    </row>
    <row r="947" spans="1:17">
      <c r="A947" s="51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Q947" s="28" t="e">
        <f>#REF!</f>
        <v>#REF!</v>
      </c>
    </row>
    <row r="948" spans="1:17">
      <c r="A948" s="51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Q948" s="28" t="e">
        <f>#REF!</f>
        <v>#REF!</v>
      </c>
    </row>
    <row r="949" spans="1:17">
      <c r="A949" s="51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Q949" s="28" t="e">
        <f>#REF!</f>
        <v>#REF!</v>
      </c>
    </row>
    <row r="950" spans="1:17">
      <c r="A950" s="51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Q950" s="28" t="e">
        <f>#REF!</f>
        <v>#REF!</v>
      </c>
    </row>
    <row r="951" spans="1:17">
      <c r="A951" s="51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Q951" s="28" t="e">
        <f>#REF!</f>
        <v>#REF!</v>
      </c>
    </row>
    <row r="952" spans="1:17">
      <c r="A952" s="51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Q952" s="28" t="e">
        <f>#REF!</f>
        <v>#REF!</v>
      </c>
    </row>
    <row r="953" spans="1:17">
      <c r="A953" s="51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Q953" s="28" t="e">
        <f>#REF!</f>
        <v>#REF!</v>
      </c>
    </row>
    <row r="954" spans="1:17">
      <c r="A954" s="51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Q954" s="28" t="e">
        <f>#REF!</f>
        <v>#REF!</v>
      </c>
    </row>
    <row r="955" spans="1:17">
      <c r="A955" s="51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Q955" s="28" t="e">
        <f>#REF!</f>
        <v>#REF!</v>
      </c>
    </row>
    <row r="956" spans="1:17">
      <c r="A956" s="51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Q956" s="28" t="e">
        <f>#REF!</f>
        <v>#REF!</v>
      </c>
    </row>
    <row r="957" spans="1:17">
      <c r="A957" s="51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Q957" s="28" t="e">
        <f>#REF!</f>
        <v>#REF!</v>
      </c>
    </row>
    <row r="958" spans="1:17">
      <c r="A958" s="51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Q958" s="28" t="e">
        <f>#REF!</f>
        <v>#REF!</v>
      </c>
    </row>
    <row r="959" spans="1:17">
      <c r="A959" s="51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Q959" s="28" t="e">
        <f>#REF!</f>
        <v>#REF!</v>
      </c>
    </row>
    <row r="960" spans="1:17">
      <c r="A960" s="51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Q960" s="28" t="e">
        <f>#REF!</f>
        <v>#REF!</v>
      </c>
    </row>
    <row r="961" spans="1:17">
      <c r="A961" s="51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Q961" s="28" t="e">
        <f>#REF!</f>
        <v>#REF!</v>
      </c>
    </row>
    <row r="962" spans="1:17">
      <c r="A962" s="51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Q962" s="28" t="e">
        <f>#REF!</f>
        <v>#REF!</v>
      </c>
    </row>
    <row r="963" spans="1:17">
      <c r="A963" s="51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Q963" s="28" t="e">
        <f>#REF!</f>
        <v>#REF!</v>
      </c>
    </row>
    <row r="964" spans="1:17">
      <c r="A964" s="51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Q964" s="28" t="e">
        <f>#REF!</f>
        <v>#REF!</v>
      </c>
    </row>
    <row r="965" spans="1:17">
      <c r="A965" s="51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Q965" s="28" t="e">
        <f>#REF!</f>
        <v>#REF!</v>
      </c>
    </row>
    <row r="966" spans="1:17">
      <c r="A966" s="51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Q966" s="28" t="e">
        <f>#REF!</f>
        <v>#REF!</v>
      </c>
    </row>
    <row r="967" spans="1:17">
      <c r="A967" s="51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Q967" s="28" t="e">
        <f>#REF!</f>
        <v>#REF!</v>
      </c>
    </row>
    <row r="968" spans="1:17">
      <c r="A968" s="51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Q968" s="28" t="e">
        <f>#REF!</f>
        <v>#REF!</v>
      </c>
    </row>
    <row r="969" spans="1:17">
      <c r="A969" s="51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Q969" s="28" t="e">
        <f>#REF!</f>
        <v>#REF!</v>
      </c>
    </row>
    <row r="970" spans="1:17">
      <c r="A970" s="51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Q970" s="28" t="e">
        <f>#REF!</f>
        <v>#REF!</v>
      </c>
    </row>
    <row r="971" spans="1:17">
      <c r="A971" s="51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Q971" s="28" t="e">
        <f>#REF!</f>
        <v>#REF!</v>
      </c>
    </row>
    <row r="972" spans="1:17">
      <c r="A972" s="51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Q972" s="28" t="e">
        <f>#REF!</f>
        <v>#REF!</v>
      </c>
    </row>
    <row r="973" spans="1:17">
      <c r="A973" s="51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Q973" s="28" t="e">
        <f>#REF!</f>
        <v>#REF!</v>
      </c>
    </row>
    <row r="974" spans="1:17">
      <c r="A974" s="51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Q974" s="28" t="e">
        <f>#REF!</f>
        <v>#REF!</v>
      </c>
    </row>
    <row r="975" spans="1:17">
      <c r="A975" s="51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Q975" s="28" t="e">
        <f>#REF!</f>
        <v>#REF!</v>
      </c>
    </row>
    <row r="976" spans="1:17">
      <c r="A976" s="51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Q976" s="28" t="e">
        <f>#REF!</f>
        <v>#REF!</v>
      </c>
    </row>
    <row r="977" spans="1:17">
      <c r="A977" s="51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Q977" s="28" t="e">
        <f>#REF!</f>
        <v>#REF!</v>
      </c>
    </row>
    <row r="978" spans="1:17">
      <c r="A978" s="51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Q978" s="28" t="e">
        <f>#REF!</f>
        <v>#REF!</v>
      </c>
    </row>
    <row r="979" spans="1:17">
      <c r="A979" s="51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Q979" s="28" t="e">
        <f>#REF!</f>
        <v>#REF!</v>
      </c>
    </row>
    <row r="980" spans="1:17">
      <c r="A980" s="51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Q980" s="28" t="e">
        <f>#REF!</f>
        <v>#REF!</v>
      </c>
    </row>
    <row r="981" spans="1:17">
      <c r="A981" s="51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Q981" s="28" t="e">
        <f>#REF!</f>
        <v>#REF!</v>
      </c>
    </row>
    <row r="982" spans="1:17">
      <c r="A982" s="51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Q982" s="28" t="e">
        <f>#REF!</f>
        <v>#REF!</v>
      </c>
    </row>
    <row r="983" spans="1:17">
      <c r="A983" s="51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Q983" s="28" t="e">
        <f>#REF!</f>
        <v>#REF!</v>
      </c>
    </row>
    <row r="984" spans="1:17">
      <c r="A984" s="51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Q984" s="28" t="e">
        <f>#REF!</f>
        <v>#REF!</v>
      </c>
    </row>
    <row r="985" spans="1:17">
      <c r="A985" s="51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Q985" s="28" t="e">
        <f>#REF!</f>
        <v>#REF!</v>
      </c>
    </row>
    <row r="986" spans="1:17">
      <c r="A986" s="51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Q986" s="28" t="e">
        <f>#REF!</f>
        <v>#REF!</v>
      </c>
    </row>
    <row r="987" spans="1:17">
      <c r="A987" s="51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Q987" s="28" t="e">
        <f>#REF!</f>
        <v>#REF!</v>
      </c>
    </row>
    <row r="988" spans="1:17">
      <c r="A988" s="51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Q988" s="28" t="e">
        <f>#REF!</f>
        <v>#REF!</v>
      </c>
    </row>
    <row r="989" spans="1:17">
      <c r="A989" s="51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Q989" s="28" t="e">
        <f>#REF!</f>
        <v>#REF!</v>
      </c>
    </row>
    <row r="990" spans="1:17">
      <c r="A990" s="51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Q990" s="28" t="e">
        <f>#REF!</f>
        <v>#REF!</v>
      </c>
    </row>
    <row r="991" spans="1:17">
      <c r="A991" s="51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Q991" s="28" t="e">
        <f>#REF!</f>
        <v>#REF!</v>
      </c>
    </row>
    <row r="992" spans="1:17">
      <c r="A992" s="51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Q992" s="28" t="e">
        <f>#REF!</f>
        <v>#REF!</v>
      </c>
    </row>
    <row r="993" spans="1:17">
      <c r="A993" s="51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Q993" s="28" t="e">
        <f>#REF!</f>
        <v>#REF!</v>
      </c>
    </row>
    <row r="994" spans="1:17">
      <c r="A994" s="51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Q994" s="28" t="e">
        <f>#REF!</f>
        <v>#REF!</v>
      </c>
    </row>
    <row r="995" spans="1:17">
      <c r="A995" s="51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Q995" s="28" t="e">
        <f>#REF!</f>
        <v>#REF!</v>
      </c>
    </row>
    <row r="996" spans="1:17">
      <c r="A996" s="51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Q996" s="28" t="e">
        <f>#REF!</f>
        <v>#REF!</v>
      </c>
    </row>
    <row r="997" spans="1:17">
      <c r="A997" s="51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Q997" s="28" t="e">
        <f>#REF!</f>
        <v>#REF!</v>
      </c>
    </row>
    <row r="998" spans="1:17">
      <c r="A998" s="51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Q998" s="28" t="e">
        <f>#REF!</f>
        <v>#REF!</v>
      </c>
    </row>
    <row r="999" spans="1:17">
      <c r="A999" s="51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Q999" s="28" t="e">
        <f>#REF!</f>
        <v>#REF!</v>
      </c>
    </row>
    <row r="1000" spans="1:17">
      <c r="A1000" s="51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Q1000" s="28" t="e">
        <f>#REF!</f>
        <v>#REF!</v>
      </c>
    </row>
    <row r="1001" spans="1:17">
      <c r="A1001" s="51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Q1001" s="28" t="e">
        <f>#REF!</f>
        <v>#REF!</v>
      </c>
    </row>
    <row r="1002" spans="1:17">
      <c r="A1002" s="51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Q1002" s="28" t="e">
        <f>#REF!</f>
        <v>#REF!</v>
      </c>
    </row>
    <row r="1003" spans="1:17">
      <c r="A1003" s="51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Q1003" s="28" t="e">
        <f>#REF!</f>
        <v>#REF!</v>
      </c>
    </row>
    <row r="1004" spans="1:17">
      <c r="A1004" s="51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Q1004" s="28" t="e">
        <f>#REF!</f>
        <v>#REF!</v>
      </c>
    </row>
    <row r="1005" spans="1:17">
      <c r="A1005" s="51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Q1005" s="28" t="e">
        <f>#REF!</f>
        <v>#REF!</v>
      </c>
    </row>
    <row r="1006" spans="1:17">
      <c r="A1006" s="51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Q1006" s="28" t="e">
        <f>#REF!</f>
        <v>#REF!</v>
      </c>
    </row>
    <row r="1007" spans="1:17">
      <c r="A1007" s="51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Q1007" s="28" t="e">
        <f>#REF!</f>
        <v>#REF!</v>
      </c>
    </row>
    <row r="1008" spans="1:17">
      <c r="A1008" s="51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Q1008" s="28" t="e">
        <f>#REF!</f>
        <v>#REF!</v>
      </c>
    </row>
    <row r="1009" spans="1:17">
      <c r="A1009" s="51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Q1009" s="28" t="e">
        <f>#REF!</f>
        <v>#REF!</v>
      </c>
    </row>
    <row r="1010" spans="1:17">
      <c r="A1010" s="51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Q1010" s="28" t="e">
        <f>#REF!</f>
        <v>#REF!</v>
      </c>
    </row>
    <row r="1011" spans="1:17">
      <c r="A1011" s="51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Q1011" s="28" t="e">
        <f>#REF!</f>
        <v>#REF!</v>
      </c>
    </row>
    <row r="1012" spans="1:17">
      <c r="A1012" s="51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Q1012" s="28" t="e">
        <f>#REF!</f>
        <v>#REF!</v>
      </c>
    </row>
    <row r="1013" spans="1:17">
      <c r="A1013" s="51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Q1013" s="28" t="e">
        <f>#REF!</f>
        <v>#REF!</v>
      </c>
    </row>
    <row r="1014" spans="1:17">
      <c r="A1014" s="51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Q1014" s="28" t="e">
        <f>#REF!</f>
        <v>#REF!</v>
      </c>
    </row>
    <row r="1015" spans="1:17">
      <c r="A1015" s="51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Q1015" s="28" t="e">
        <f>#REF!</f>
        <v>#REF!</v>
      </c>
    </row>
    <row r="1016" spans="1:17">
      <c r="A1016" s="51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Q1016" s="28" t="e">
        <f>#REF!</f>
        <v>#REF!</v>
      </c>
    </row>
    <row r="1017" spans="1:17">
      <c r="A1017" s="51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Q1017" s="28" t="e">
        <f>#REF!</f>
        <v>#REF!</v>
      </c>
    </row>
    <row r="1018" spans="1:17">
      <c r="A1018" s="51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Q1018" s="28" t="e">
        <f>#REF!</f>
        <v>#REF!</v>
      </c>
    </row>
    <row r="1019" spans="1:17">
      <c r="A1019" s="51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Q1019" s="28" t="e">
        <f>#REF!</f>
        <v>#REF!</v>
      </c>
    </row>
    <row r="1020" spans="1:17">
      <c r="A1020" s="51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Q1020" s="28" t="e">
        <f>#REF!</f>
        <v>#REF!</v>
      </c>
    </row>
    <row r="1021" spans="1:17">
      <c r="A1021" s="51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Q1021" s="28" t="e">
        <f>#REF!</f>
        <v>#REF!</v>
      </c>
    </row>
    <row r="1022" spans="1:17">
      <c r="A1022" s="51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Q1022" s="28" t="e">
        <f>#REF!</f>
        <v>#REF!</v>
      </c>
    </row>
    <row r="1023" spans="1:17">
      <c r="A1023" s="51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Q1023" s="28" t="e">
        <f>#REF!</f>
        <v>#REF!</v>
      </c>
    </row>
    <row r="1024" spans="1:17">
      <c r="A1024" s="51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Q1024" s="28" t="e">
        <f>#REF!</f>
        <v>#REF!</v>
      </c>
    </row>
    <row r="1025" spans="1:17">
      <c r="A1025" s="51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Q1025" s="28" t="e">
        <f>#REF!</f>
        <v>#REF!</v>
      </c>
    </row>
    <row r="1026" spans="1:17">
      <c r="A1026" s="51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Q1026" s="28" t="e">
        <f>#REF!</f>
        <v>#REF!</v>
      </c>
    </row>
    <row r="1027" spans="1:17">
      <c r="A1027" s="51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Q1027" s="28" t="e">
        <f>#REF!</f>
        <v>#REF!</v>
      </c>
    </row>
    <row r="1028" spans="1:17">
      <c r="A1028" s="51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Q1028" s="28" t="e">
        <f>#REF!</f>
        <v>#REF!</v>
      </c>
    </row>
    <row r="1029" spans="1:17">
      <c r="A1029" s="51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Q1029" s="28" t="e">
        <f>#REF!</f>
        <v>#REF!</v>
      </c>
    </row>
    <row r="1030" spans="1:17">
      <c r="A1030" s="51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Q1030" s="28" t="e">
        <f>#REF!</f>
        <v>#REF!</v>
      </c>
    </row>
    <row r="1031" spans="1:17">
      <c r="A1031" s="51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Q1031" s="28" t="e">
        <f>#REF!</f>
        <v>#REF!</v>
      </c>
    </row>
    <row r="1032" spans="1:17">
      <c r="A1032" s="51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Q1032" s="28" t="e">
        <f>#REF!</f>
        <v>#REF!</v>
      </c>
    </row>
    <row r="1033" spans="1:17">
      <c r="A1033" s="51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Q1033" s="28" t="e">
        <f>#REF!</f>
        <v>#REF!</v>
      </c>
    </row>
    <row r="1034" spans="1:17">
      <c r="A1034" s="51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Q1034" s="28" t="e">
        <f>#REF!</f>
        <v>#REF!</v>
      </c>
    </row>
    <row r="1035" spans="1:17">
      <c r="A1035" s="51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Q1035" s="28" t="e">
        <f>#REF!</f>
        <v>#REF!</v>
      </c>
    </row>
    <row r="1036" spans="1:17">
      <c r="A1036" s="51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Q1036" s="28" t="e">
        <f>#REF!</f>
        <v>#REF!</v>
      </c>
    </row>
    <row r="1037" spans="1:17">
      <c r="A1037" s="51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Q1037" s="28" t="e">
        <f>#REF!</f>
        <v>#REF!</v>
      </c>
    </row>
    <row r="1038" spans="1:17">
      <c r="A1038" s="51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Q1038" s="28" t="e">
        <f>#REF!</f>
        <v>#REF!</v>
      </c>
    </row>
    <row r="1039" spans="1:17">
      <c r="A1039" s="51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Q1039" s="28" t="e">
        <f>#REF!</f>
        <v>#REF!</v>
      </c>
    </row>
    <row r="1040" spans="1:17">
      <c r="A1040" s="51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Q1040" s="28" t="e">
        <f>#REF!</f>
        <v>#REF!</v>
      </c>
    </row>
    <row r="1041" spans="1:17">
      <c r="A1041" s="51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Q1041" s="28" t="e">
        <f>#REF!</f>
        <v>#REF!</v>
      </c>
    </row>
    <row r="1042" spans="1:17">
      <c r="A1042" s="51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Q1042" s="28" t="e">
        <f>#REF!</f>
        <v>#REF!</v>
      </c>
    </row>
    <row r="1043" spans="1:17">
      <c r="A1043" s="51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Q1043" s="28" t="e">
        <f>#REF!</f>
        <v>#REF!</v>
      </c>
    </row>
    <row r="1044" spans="1:17">
      <c r="A1044" s="51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Q1044" s="28" t="e">
        <f>#REF!</f>
        <v>#REF!</v>
      </c>
    </row>
    <row r="1045" spans="1:17">
      <c r="A1045" s="51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Q1045" s="28" t="e">
        <f>#REF!</f>
        <v>#REF!</v>
      </c>
    </row>
    <row r="1046" spans="1:17">
      <c r="A1046" s="51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Q1046" s="28" t="e">
        <f>#REF!</f>
        <v>#REF!</v>
      </c>
    </row>
    <row r="1047" spans="1:17">
      <c r="A1047" s="51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Q1047" s="28" t="e">
        <f>#REF!</f>
        <v>#REF!</v>
      </c>
    </row>
    <row r="1048" spans="1:17">
      <c r="A1048" s="51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Q1048" s="28" t="e">
        <f>#REF!</f>
        <v>#REF!</v>
      </c>
    </row>
    <row r="1049" spans="1:17">
      <c r="A1049" s="51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Q1049" s="28" t="e">
        <f>#REF!</f>
        <v>#REF!</v>
      </c>
    </row>
    <row r="1050" spans="1:17">
      <c r="A1050" s="51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Q1050" s="28" t="e">
        <f>#REF!</f>
        <v>#REF!</v>
      </c>
    </row>
    <row r="1051" spans="1:17">
      <c r="A1051" s="51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Q1051" s="28" t="e">
        <f>#REF!</f>
        <v>#REF!</v>
      </c>
    </row>
    <row r="1052" spans="1:17">
      <c r="A1052" s="51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Q1052" s="28" t="e">
        <f>#REF!</f>
        <v>#REF!</v>
      </c>
    </row>
    <row r="1053" spans="1:17">
      <c r="A1053" s="51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Q1053" s="28" t="e">
        <f>#REF!</f>
        <v>#REF!</v>
      </c>
    </row>
    <row r="1054" spans="1:17">
      <c r="A1054" s="51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Q1054" s="28" t="e">
        <f>#REF!</f>
        <v>#REF!</v>
      </c>
    </row>
    <row r="1055" spans="1:17">
      <c r="A1055" s="51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Q1055" s="28" t="e">
        <f>#REF!</f>
        <v>#REF!</v>
      </c>
    </row>
    <row r="1056" spans="1:17">
      <c r="A1056" s="51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Q1056" s="28" t="e">
        <f>#REF!</f>
        <v>#REF!</v>
      </c>
    </row>
    <row r="1057" spans="1:17">
      <c r="A1057" s="51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Q1057" s="28" t="e">
        <f>#REF!</f>
        <v>#REF!</v>
      </c>
    </row>
    <row r="1058" spans="1:17">
      <c r="A1058" s="51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Q1058" s="28" t="e">
        <f>#REF!</f>
        <v>#REF!</v>
      </c>
    </row>
    <row r="1059" spans="1:17">
      <c r="A1059" s="51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Q1059" s="28" t="e">
        <f>#REF!</f>
        <v>#REF!</v>
      </c>
    </row>
    <row r="1060" spans="1:17">
      <c r="A1060" s="51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Q1060" s="28" t="e">
        <f>#REF!</f>
        <v>#REF!</v>
      </c>
    </row>
    <row r="1061" spans="1:17">
      <c r="A1061" s="51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Q1061" s="28" t="e">
        <f>#REF!</f>
        <v>#REF!</v>
      </c>
    </row>
    <row r="1062" spans="1:17">
      <c r="A1062" s="51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Q1062" s="28" t="e">
        <f>#REF!</f>
        <v>#REF!</v>
      </c>
    </row>
    <row r="1063" spans="1:17">
      <c r="A1063" s="51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Q1063" s="28" t="e">
        <f>#REF!</f>
        <v>#REF!</v>
      </c>
    </row>
    <row r="1064" spans="1:17">
      <c r="A1064" s="51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Q1064" s="28" t="e">
        <f>#REF!</f>
        <v>#REF!</v>
      </c>
    </row>
    <row r="1065" spans="1:17">
      <c r="A1065" s="51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Q1065" s="28" t="e">
        <f>#REF!</f>
        <v>#REF!</v>
      </c>
    </row>
    <row r="1066" spans="1:17">
      <c r="A1066" s="51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Q1066" s="28" t="e">
        <f>#REF!</f>
        <v>#REF!</v>
      </c>
    </row>
    <row r="1067" spans="1:17">
      <c r="A1067" s="51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Q1067" s="28" t="e">
        <f>#REF!</f>
        <v>#REF!</v>
      </c>
    </row>
    <row r="1068" spans="1:17">
      <c r="A1068" s="51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Q1068" s="28" t="e">
        <f>#REF!</f>
        <v>#REF!</v>
      </c>
    </row>
    <row r="1069" spans="1:17">
      <c r="A1069" s="51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Q1069" s="28" t="e">
        <f>#REF!</f>
        <v>#REF!</v>
      </c>
    </row>
    <row r="1070" spans="1:17">
      <c r="O1070" s="10"/>
      <c r="Q1070" s="10"/>
    </row>
    <row r="1071" spans="1:17">
      <c r="O1071" s="10"/>
      <c r="Q1071" s="10"/>
    </row>
    <row r="1072" spans="1:17">
      <c r="O1072" s="10"/>
      <c r="Q1072" s="10"/>
    </row>
    <row r="1073" spans="15:17">
      <c r="O1073" s="10"/>
      <c r="Q1073" s="10"/>
    </row>
    <row r="1074" spans="15:17">
      <c r="O1074" s="10"/>
      <c r="Q1074" s="10"/>
    </row>
  </sheetData>
  <sheetProtection formatCells="0" formatColumns="0" formatRows="0" insertColumns="0" insertRows="0" insertHyperlinks="0" deleteColumns="0" deleteRows="0" sort="0" autoFilter="0" pivotTables="0"/>
  <autoFilter ref="B14:O14"/>
  <sortState ref="A15:J600">
    <sortCondition descending="1" ref="B13"/>
  </sortState>
  <mergeCells count="1">
    <mergeCell ref="B2:G8"/>
  </mergeCells>
  <dataValidations count="1">
    <dataValidation type="list" allowBlank="1" showInputMessage="1" showErrorMessage="1" sqref="K47:K563 K13:K38">
      <formula1>"ADITIVO,VIGÊNCIA,TERMINADO,CANCELADO"</formula1>
    </dataValidation>
  </dataValidations>
  <pageMargins left="0.51181102362204722" right="0.51181102362204722" top="0.78740157480314965" bottom="0.78740157480314965" header="0.31496062992125984" footer="0.31496062992125984"/>
  <pageSetup paperSize="9" scale="27" fitToHeight="0" orientation="landscape" r:id="rId1"/>
  <colBreaks count="1" manualBreakCount="1">
    <brk id="16" max="2002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F978"/>
  <sheetViews>
    <sheetView tabSelected="1" workbookViewId="0">
      <selection activeCell="G1" sqref="G1"/>
    </sheetView>
  </sheetViews>
  <sheetFormatPr defaultRowHeight="15"/>
  <cols>
    <col min="1" max="1" width="3.7109375" style="63" customWidth="1"/>
    <col min="2" max="2" width="12.7109375" style="63" bestFit="1" customWidth="1"/>
    <col min="3" max="3" width="44.5703125" style="63" bestFit="1" customWidth="1"/>
    <col min="4" max="4" width="13.140625" style="63" bestFit="1" customWidth="1"/>
    <col min="5" max="5" width="9.140625" style="63"/>
    <col min="6" max="6" width="34.85546875" style="63" bestFit="1" customWidth="1"/>
    <col min="7" max="7" width="40.42578125" style="63" customWidth="1"/>
    <col min="8" max="8" width="36.5703125" style="63" bestFit="1" customWidth="1"/>
    <col min="9" max="9" width="10.7109375" style="63" bestFit="1" customWidth="1"/>
    <col min="10" max="10" width="13.42578125" style="63" bestFit="1" customWidth="1"/>
    <col min="11" max="16384" width="9.140625" style="63"/>
  </cols>
  <sheetData>
    <row r="1" spans="1:32" ht="18" customHeight="1">
      <c r="A1" s="65"/>
      <c r="B1" s="64"/>
      <c r="C1" s="64"/>
      <c r="D1" s="64"/>
      <c r="E1" s="64"/>
      <c r="F1" s="64"/>
      <c r="G1" s="64"/>
      <c r="H1" s="64"/>
      <c r="I1" s="64"/>
      <c r="J1" s="64"/>
      <c r="K1" s="62"/>
      <c r="L1" s="62"/>
      <c r="M1" s="62"/>
      <c r="N1" s="62"/>
      <c r="O1" s="62"/>
    </row>
    <row r="2" spans="1:32" ht="42" customHeight="1">
      <c r="A2" s="65"/>
      <c r="B2" s="154" t="s">
        <v>221</v>
      </c>
      <c r="C2" s="154"/>
      <c r="D2" s="154"/>
      <c r="E2" s="154"/>
      <c r="F2" s="154"/>
      <c r="G2" s="74"/>
      <c r="H2" s="74"/>
      <c r="I2" s="74"/>
      <c r="J2" s="64"/>
      <c r="K2" s="62"/>
      <c r="L2" s="62"/>
      <c r="M2" s="62"/>
      <c r="N2" s="62"/>
      <c r="O2" s="62"/>
    </row>
    <row r="3" spans="1:32" ht="19.5" customHeight="1">
      <c r="A3" s="65"/>
      <c r="B3" s="154"/>
      <c r="C3" s="154"/>
      <c r="D3" s="154"/>
      <c r="E3" s="154"/>
      <c r="F3" s="154"/>
      <c r="G3" s="74"/>
      <c r="H3" s="74"/>
      <c r="I3" s="74"/>
      <c r="J3" s="64"/>
      <c r="K3" s="62"/>
      <c r="L3" s="62"/>
      <c r="M3" s="62"/>
      <c r="N3" s="62"/>
      <c r="O3" s="62"/>
    </row>
    <row r="4" spans="1:32" ht="14.25" customHeight="1">
      <c r="A4" s="65"/>
      <c r="B4" s="154"/>
      <c r="C4" s="154"/>
      <c r="D4" s="154"/>
      <c r="E4" s="154"/>
      <c r="F4" s="154"/>
      <c r="G4" s="74"/>
      <c r="H4" s="74"/>
      <c r="I4" s="74"/>
      <c r="J4" s="62"/>
      <c r="K4" s="62"/>
      <c r="L4" s="62"/>
      <c r="M4" s="62"/>
      <c r="N4" s="62"/>
      <c r="O4" s="62"/>
    </row>
    <row r="5" spans="1:32" ht="15" customHeight="1">
      <c r="A5" s="65"/>
      <c r="B5" s="154"/>
      <c r="C5" s="154"/>
      <c r="D5" s="154"/>
      <c r="E5" s="154"/>
      <c r="F5" s="154"/>
      <c r="G5" s="74"/>
      <c r="H5" s="74"/>
      <c r="I5" s="74"/>
      <c r="J5" s="62"/>
      <c r="K5" s="62"/>
      <c r="L5" s="62"/>
      <c r="M5" s="62"/>
      <c r="N5" s="62"/>
      <c r="O5" s="62"/>
    </row>
    <row r="6" spans="1:32" ht="15" customHeight="1">
      <c r="A6" s="65"/>
      <c r="B6" s="154"/>
      <c r="C6" s="154"/>
      <c r="D6" s="154"/>
      <c r="E6" s="154"/>
      <c r="F6" s="154"/>
      <c r="G6" s="74"/>
      <c r="H6" s="74"/>
      <c r="I6" s="74"/>
      <c r="J6" s="62"/>
      <c r="K6" s="62"/>
      <c r="L6" s="62"/>
      <c r="M6" s="62"/>
      <c r="N6" s="62"/>
      <c r="O6" s="62"/>
    </row>
    <row r="7" spans="1:32" ht="20.25" customHeight="1" thickBot="1">
      <c r="A7" s="65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AF7" s="63" t="e">
        <f>SUMIFS('GESTÃO DE PAGAMENTOS'!$I$15:$I$5000,'GESTÃO DE PAGAMENTOS'!$C$10:$C$5000,$AF$3,'GESTÃO DE PAGAMENTOS'!$C$10:$C$5000,"PAGO")</f>
        <v>#VALUE!</v>
      </c>
    </row>
    <row r="8" spans="1:32" ht="72.75" hidden="1">
      <c r="A8" s="65"/>
      <c r="K8" s="62"/>
      <c r="L8" s="62"/>
      <c r="M8" s="62"/>
      <c r="N8" s="62"/>
      <c r="O8" s="62"/>
    </row>
    <row r="9" spans="1:32" ht="19.5" customHeight="1" thickBot="1">
      <c r="A9" s="65"/>
      <c r="B9" s="79" t="s">
        <v>224</v>
      </c>
      <c r="C9" s="79" t="s">
        <v>146</v>
      </c>
      <c r="D9" s="79" t="s">
        <v>180</v>
      </c>
      <c r="E9" s="79" t="s">
        <v>179</v>
      </c>
      <c r="F9" s="79" t="s">
        <v>226</v>
      </c>
      <c r="G9" s="79" t="s">
        <v>225</v>
      </c>
      <c r="H9" s="79" t="s">
        <v>227</v>
      </c>
      <c r="I9" s="79" t="s">
        <v>166</v>
      </c>
      <c r="J9" s="79" t="s">
        <v>147</v>
      </c>
      <c r="K9" s="62"/>
      <c r="L9" s="62"/>
      <c r="M9" s="62"/>
      <c r="N9" s="62"/>
      <c r="O9" s="62"/>
    </row>
    <row r="10" spans="1:32" ht="36.75" customHeight="1">
      <c r="A10" s="75">
        <f t="shared" ref="A10:A73" si="0">E10</f>
        <v>0</v>
      </c>
      <c r="B10" s="66"/>
      <c r="C10" s="67"/>
      <c r="D10" s="66"/>
      <c r="E10" s="68"/>
      <c r="F10" s="69"/>
      <c r="G10" s="70"/>
      <c r="H10" s="71"/>
      <c r="I10" s="72"/>
      <c r="J10" s="73"/>
      <c r="K10" s="62"/>
      <c r="L10" s="62"/>
      <c r="M10" s="62"/>
      <c r="N10" s="62"/>
      <c r="O10" s="62"/>
    </row>
    <row r="11" spans="1:32" ht="54" customHeight="1">
      <c r="A11" s="75">
        <f t="shared" si="0"/>
        <v>0</v>
      </c>
      <c r="B11" s="66"/>
      <c r="C11" s="67"/>
      <c r="D11" s="66"/>
      <c r="E11" s="68"/>
      <c r="F11" s="69"/>
      <c r="G11" s="70"/>
      <c r="H11" s="71"/>
      <c r="I11" s="72"/>
      <c r="J11" s="73"/>
      <c r="K11" s="62"/>
      <c r="L11" s="62"/>
      <c r="M11" s="62"/>
      <c r="N11" s="62"/>
      <c r="O11" s="62"/>
    </row>
    <row r="12" spans="1:32" ht="35.25" customHeight="1">
      <c r="A12" s="75">
        <f t="shared" si="0"/>
        <v>0</v>
      </c>
      <c r="B12" s="66"/>
      <c r="C12" s="67"/>
      <c r="D12" s="68"/>
      <c r="E12" s="68"/>
      <c r="F12" s="69"/>
      <c r="G12" s="70"/>
      <c r="H12" s="71"/>
      <c r="I12" s="72"/>
      <c r="J12" s="73"/>
      <c r="K12" s="62"/>
      <c r="L12" s="62"/>
      <c r="M12" s="62"/>
      <c r="N12" s="62"/>
      <c r="O12" s="62"/>
    </row>
    <row r="13" spans="1:32" ht="54.75" customHeight="1">
      <c r="A13" s="75">
        <f t="shared" si="0"/>
        <v>0</v>
      </c>
      <c r="B13" s="67"/>
      <c r="C13" s="67"/>
      <c r="D13" s="68"/>
      <c r="E13" s="68"/>
      <c r="F13" s="69"/>
      <c r="G13" s="70"/>
      <c r="H13" s="71"/>
      <c r="I13" s="72"/>
      <c r="J13" s="73"/>
      <c r="K13" s="62"/>
      <c r="L13" s="62"/>
      <c r="M13" s="62"/>
      <c r="N13" s="62"/>
      <c r="O13" s="62"/>
    </row>
    <row r="14" spans="1:32" ht="51.75" customHeight="1">
      <c r="A14" s="75">
        <f t="shared" si="0"/>
        <v>0</v>
      </c>
      <c r="B14" s="67"/>
      <c r="C14" s="67"/>
      <c r="D14" s="66"/>
      <c r="E14" s="68"/>
      <c r="F14" s="69"/>
      <c r="G14" s="70"/>
      <c r="H14" s="71"/>
      <c r="I14" s="72"/>
      <c r="J14" s="73"/>
      <c r="K14" s="62"/>
      <c r="L14" s="62"/>
      <c r="M14" s="62"/>
      <c r="N14" s="62"/>
      <c r="O14" s="62"/>
    </row>
    <row r="15" spans="1:32">
      <c r="A15" s="75">
        <f t="shared" si="0"/>
        <v>0</v>
      </c>
      <c r="B15" s="67"/>
      <c r="C15" s="67"/>
      <c r="D15" s="66"/>
      <c r="E15" s="68"/>
      <c r="F15" s="69"/>
      <c r="G15" s="70"/>
      <c r="H15" s="71"/>
      <c r="I15" s="72"/>
      <c r="J15" s="73"/>
      <c r="K15" s="62"/>
      <c r="L15" s="62"/>
      <c r="M15" s="62"/>
      <c r="N15" s="62"/>
      <c r="O15" s="62"/>
    </row>
    <row r="16" spans="1:32">
      <c r="A16" s="75">
        <f t="shared" si="0"/>
        <v>0</v>
      </c>
      <c r="B16" s="67"/>
      <c r="C16" s="67"/>
      <c r="D16" s="66"/>
      <c r="E16" s="68"/>
      <c r="F16" s="69"/>
      <c r="G16" s="70"/>
      <c r="H16" s="71"/>
      <c r="I16" s="72"/>
      <c r="J16" s="73"/>
      <c r="K16" s="62"/>
      <c r="L16" s="62"/>
      <c r="M16" s="62"/>
      <c r="N16" s="62"/>
      <c r="O16" s="62"/>
    </row>
    <row r="17" spans="1:15">
      <c r="A17" s="75">
        <f t="shared" si="0"/>
        <v>0</v>
      </c>
      <c r="B17" s="66"/>
      <c r="C17" s="67"/>
      <c r="D17" s="66"/>
      <c r="E17" s="68"/>
      <c r="F17" s="69"/>
      <c r="G17" s="70"/>
      <c r="H17" s="71"/>
      <c r="I17" s="72"/>
      <c r="J17" s="73"/>
      <c r="K17" s="62"/>
      <c r="L17" s="62"/>
      <c r="M17" s="62"/>
      <c r="N17" s="62"/>
      <c r="O17" s="62"/>
    </row>
    <row r="18" spans="1:15">
      <c r="A18" s="75">
        <f t="shared" si="0"/>
        <v>0</v>
      </c>
      <c r="B18" s="66"/>
      <c r="C18" s="67"/>
      <c r="D18" s="66"/>
      <c r="E18" s="68"/>
      <c r="F18" s="69"/>
      <c r="G18" s="70"/>
      <c r="H18" s="71"/>
      <c r="I18" s="72"/>
      <c r="J18" s="73"/>
      <c r="K18" s="62"/>
      <c r="L18" s="62"/>
      <c r="M18" s="62"/>
      <c r="N18" s="62"/>
      <c r="O18" s="62"/>
    </row>
    <row r="19" spans="1:15">
      <c r="A19" s="75">
        <f t="shared" si="0"/>
        <v>0</v>
      </c>
      <c r="B19" s="76"/>
      <c r="C19" s="67"/>
      <c r="D19" s="68"/>
      <c r="E19" s="68"/>
      <c r="F19" s="69"/>
      <c r="G19" s="70"/>
      <c r="H19" s="71"/>
      <c r="I19" s="72"/>
      <c r="J19" s="73"/>
      <c r="K19" s="62"/>
      <c r="L19" s="62"/>
      <c r="M19" s="62"/>
      <c r="N19" s="62"/>
      <c r="O19" s="62"/>
    </row>
    <row r="20" spans="1:15" ht="51.75" customHeight="1">
      <c r="A20" s="75">
        <f t="shared" si="0"/>
        <v>0</v>
      </c>
      <c r="B20" s="76"/>
      <c r="C20" s="67"/>
      <c r="D20" s="68"/>
      <c r="E20" s="68"/>
      <c r="F20" s="69"/>
      <c r="G20" s="70"/>
      <c r="H20" s="71"/>
      <c r="I20" s="72"/>
      <c r="J20" s="73"/>
      <c r="K20" s="62"/>
      <c r="L20" s="62"/>
      <c r="M20" s="62"/>
      <c r="N20" s="62"/>
      <c r="O20" s="62"/>
    </row>
    <row r="21" spans="1:15" ht="49.5" customHeight="1">
      <c r="A21" s="75">
        <f t="shared" si="0"/>
        <v>0</v>
      </c>
      <c r="B21" s="76"/>
      <c r="C21" s="67"/>
      <c r="D21" s="68"/>
      <c r="E21" s="68"/>
      <c r="F21" s="69"/>
      <c r="G21" s="70"/>
      <c r="H21" s="71"/>
      <c r="I21" s="72"/>
      <c r="J21" s="73"/>
      <c r="K21" s="62"/>
      <c r="L21" s="62"/>
      <c r="M21" s="62"/>
      <c r="N21" s="62"/>
      <c r="O21" s="62"/>
    </row>
    <row r="22" spans="1:15">
      <c r="A22" s="75">
        <f t="shared" si="0"/>
        <v>0</v>
      </c>
      <c r="B22" s="76"/>
      <c r="C22" s="66"/>
      <c r="D22" s="68"/>
      <c r="E22" s="68"/>
      <c r="F22" s="69"/>
      <c r="G22" s="70"/>
      <c r="H22" s="71"/>
      <c r="I22" s="72"/>
      <c r="J22" s="73"/>
      <c r="K22" s="62"/>
      <c r="L22" s="62"/>
      <c r="M22" s="62"/>
      <c r="N22" s="62"/>
      <c r="O22" s="62"/>
    </row>
    <row r="23" spans="1:15">
      <c r="A23" s="75">
        <f t="shared" si="0"/>
        <v>0</v>
      </c>
      <c r="B23" s="66"/>
      <c r="C23" s="66"/>
      <c r="D23" s="66"/>
      <c r="E23" s="68"/>
      <c r="F23" s="69"/>
      <c r="G23" s="70"/>
      <c r="H23" s="71"/>
      <c r="I23" s="72"/>
      <c r="J23" s="73"/>
      <c r="K23" s="62"/>
      <c r="L23" s="62"/>
      <c r="M23" s="62"/>
      <c r="N23" s="62"/>
      <c r="O23" s="62"/>
    </row>
    <row r="24" spans="1:15">
      <c r="A24" s="75">
        <f t="shared" si="0"/>
        <v>0</v>
      </c>
      <c r="B24" s="66"/>
      <c r="C24" s="66"/>
      <c r="D24" s="66"/>
      <c r="E24" s="68"/>
      <c r="F24" s="69"/>
      <c r="G24" s="70"/>
      <c r="H24" s="71"/>
      <c r="I24" s="72"/>
      <c r="J24" s="73"/>
      <c r="K24" s="62"/>
      <c r="L24" s="62"/>
      <c r="M24" s="62"/>
      <c r="N24" s="62"/>
      <c r="O24" s="62"/>
    </row>
    <row r="25" spans="1:15">
      <c r="A25" s="75">
        <f t="shared" si="0"/>
        <v>0</v>
      </c>
      <c r="B25" s="66"/>
      <c r="C25" s="66"/>
      <c r="D25" s="66"/>
      <c r="E25" s="68"/>
      <c r="F25" s="69"/>
      <c r="G25" s="70"/>
      <c r="H25" s="71"/>
      <c r="I25" s="72"/>
      <c r="J25" s="73"/>
      <c r="K25" s="62"/>
      <c r="L25" s="62"/>
      <c r="M25" s="62"/>
      <c r="N25" s="62"/>
      <c r="O25" s="62"/>
    </row>
    <row r="26" spans="1:15">
      <c r="A26" s="75">
        <f t="shared" si="0"/>
        <v>0</v>
      </c>
      <c r="B26" s="66"/>
      <c r="C26" s="66"/>
      <c r="D26" s="66"/>
      <c r="E26" s="68"/>
      <c r="F26" s="69"/>
      <c r="G26" s="70"/>
      <c r="H26" s="71"/>
      <c r="I26" s="72"/>
      <c r="J26" s="73"/>
      <c r="K26" s="62"/>
      <c r="L26" s="62"/>
      <c r="M26" s="62"/>
      <c r="N26" s="62"/>
      <c r="O26" s="62"/>
    </row>
    <row r="27" spans="1:15">
      <c r="A27" s="75">
        <f t="shared" si="0"/>
        <v>0</v>
      </c>
      <c r="B27" s="66"/>
      <c r="C27" s="66"/>
      <c r="D27" s="66"/>
      <c r="E27" s="68"/>
      <c r="F27" s="69"/>
      <c r="G27" s="70"/>
      <c r="H27" s="71"/>
      <c r="I27" s="72"/>
      <c r="J27" s="73"/>
      <c r="K27" s="62"/>
      <c r="L27" s="62"/>
      <c r="M27" s="62"/>
      <c r="N27" s="62"/>
      <c r="O27" s="62"/>
    </row>
    <row r="28" spans="1:15">
      <c r="A28" s="75">
        <f t="shared" si="0"/>
        <v>0</v>
      </c>
      <c r="B28" s="66"/>
      <c r="C28" s="66"/>
      <c r="D28" s="66"/>
      <c r="E28" s="68"/>
      <c r="F28" s="69"/>
      <c r="G28" s="70"/>
      <c r="H28" s="71"/>
      <c r="I28" s="72"/>
      <c r="J28" s="73"/>
      <c r="K28" s="62"/>
      <c r="L28" s="62"/>
      <c r="M28" s="62"/>
      <c r="N28" s="62"/>
      <c r="O28" s="62"/>
    </row>
    <row r="29" spans="1:15">
      <c r="A29" s="75">
        <f t="shared" si="0"/>
        <v>0</v>
      </c>
      <c r="B29" s="66"/>
      <c r="C29" s="66"/>
      <c r="D29" s="66"/>
      <c r="E29" s="68"/>
      <c r="F29" s="69"/>
      <c r="G29" s="70"/>
      <c r="H29" s="71"/>
      <c r="I29" s="72"/>
      <c r="J29" s="73"/>
      <c r="K29" s="62"/>
      <c r="L29" s="62"/>
      <c r="M29" s="62"/>
      <c r="N29" s="62"/>
      <c r="O29" s="62"/>
    </row>
    <row r="30" spans="1:15">
      <c r="A30" s="75">
        <f t="shared" si="0"/>
        <v>0</v>
      </c>
      <c r="B30" s="66"/>
      <c r="C30" s="66"/>
      <c r="D30" s="66"/>
      <c r="E30" s="68"/>
      <c r="F30" s="69"/>
      <c r="G30" s="70"/>
      <c r="H30" s="71"/>
      <c r="I30" s="72"/>
      <c r="J30" s="73"/>
      <c r="K30" s="62"/>
      <c r="L30" s="62"/>
      <c r="M30" s="62"/>
      <c r="N30" s="62"/>
      <c r="O30" s="62"/>
    </row>
    <row r="31" spans="1:15">
      <c r="A31" s="75">
        <f t="shared" si="0"/>
        <v>0</v>
      </c>
      <c r="B31" s="66"/>
      <c r="C31" s="66"/>
      <c r="D31" s="66"/>
      <c r="E31" s="68"/>
      <c r="F31" s="69"/>
      <c r="G31" s="70"/>
      <c r="H31" s="71"/>
      <c r="I31" s="72"/>
      <c r="J31" s="73"/>
      <c r="K31" s="62"/>
      <c r="L31" s="62"/>
      <c r="M31" s="62"/>
      <c r="N31" s="62"/>
      <c r="O31" s="62"/>
    </row>
    <row r="32" spans="1:15">
      <c r="A32" s="75">
        <f t="shared" si="0"/>
        <v>0</v>
      </c>
      <c r="B32" s="66"/>
      <c r="C32" s="66"/>
      <c r="D32" s="66"/>
      <c r="E32" s="68"/>
      <c r="F32" s="69"/>
      <c r="G32" s="70"/>
      <c r="H32" s="71"/>
      <c r="I32" s="72"/>
      <c r="J32" s="73"/>
      <c r="K32" s="62"/>
      <c r="L32" s="62"/>
      <c r="M32" s="62"/>
      <c r="N32" s="62"/>
      <c r="O32" s="62"/>
    </row>
    <row r="33" spans="1:15">
      <c r="A33" s="75">
        <f t="shared" si="0"/>
        <v>0</v>
      </c>
      <c r="B33" s="66"/>
      <c r="C33" s="66"/>
      <c r="D33" s="66"/>
      <c r="E33" s="68"/>
      <c r="F33" s="69"/>
      <c r="G33" s="70"/>
      <c r="H33" s="71"/>
      <c r="I33" s="72"/>
      <c r="J33" s="73"/>
      <c r="K33" s="62"/>
      <c r="L33" s="62"/>
      <c r="M33" s="62"/>
      <c r="N33" s="62"/>
      <c r="O33" s="62"/>
    </row>
    <row r="34" spans="1:15">
      <c r="A34" s="75">
        <f t="shared" si="0"/>
        <v>0</v>
      </c>
      <c r="B34" s="66"/>
      <c r="C34" s="66"/>
      <c r="D34" s="66"/>
      <c r="E34" s="68"/>
      <c r="F34" s="69"/>
      <c r="G34" s="70"/>
      <c r="H34" s="71"/>
      <c r="I34" s="72"/>
      <c r="J34" s="73"/>
      <c r="K34" s="62"/>
      <c r="L34" s="62"/>
      <c r="M34" s="62"/>
      <c r="N34" s="62"/>
      <c r="O34" s="62"/>
    </row>
    <row r="35" spans="1:15">
      <c r="A35" s="75">
        <f t="shared" si="0"/>
        <v>0</v>
      </c>
      <c r="B35" s="66"/>
      <c r="C35" s="66"/>
      <c r="D35" s="66"/>
      <c r="E35" s="68"/>
      <c r="F35" s="69"/>
      <c r="G35" s="70"/>
      <c r="H35" s="71"/>
      <c r="I35" s="72"/>
      <c r="J35" s="73"/>
      <c r="K35" s="62"/>
      <c r="L35" s="62"/>
      <c r="M35" s="62"/>
      <c r="N35" s="62"/>
      <c r="O35" s="62"/>
    </row>
    <row r="36" spans="1:15">
      <c r="A36" s="75">
        <f t="shared" si="0"/>
        <v>0</v>
      </c>
      <c r="B36" s="66"/>
      <c r="C36" s="66"/>
      <c r="D36" s="66"/>
      <c r="E36" s="68"/>
      <c r="F36" s="69"/>
      <c r="G36" s="70"/>
      <c r="H36" s="71"/>
      <c r="I36" s="72"/>
      <c r="J36" s="73"/>
      <c r="K36" s="62"/>
      <c r="L36" s="62"/>
      <c r="M36" s="62"/>
      <c r="N36" s="62"/>
      <c r="O36" s="62"/>
    </row>
    <row r="37" spans="1:15">
      <c r="A37" s="75">
        <f t="shared" si="0"/>
        <v>0</v>
      </c>
      <c r="B37" s="66"/>
      <c r="C37" s="66"/>
      <c r="D37" s="66"/>
      <c r="E37" s="68"/>
      <c r="F37" s="69"/>
      <c r="G37" s="70"/>
      <c r="H37" s="71"/>
      <c r="I37" s="72"/>
      <c r="J37" s="73"/>
      <c r="K37" s="62"/>
      <c r="L37" s="62"/>
      <c r="M37" s="62"/>
      <c r="N37" s="62"/>
      <c r="O37" s="62"/>
    </row>
    <row r="38" spans="1:15">
      <c r="A38" s="75">
        <f t="shared" si="0"/>
        <v>0</v>
      </c>
      <c r="B38" s="66"/>
      <c r="C38" s="66"/>
      <c r="D38" s="66"/>
      <c r="E38" s="68"/>
      <c r="F38" s="69"/>
      <c r="G38" s="70"/>
      <c r="H38" s="71"/>
      <c r="I38" s="72"/>
      <c r="J38" s="73"/>
      <c r="K38" s="62"/>
      <c r="L38" s="62"/>
      <c r="M38" s="62"/>
      <c r="N38" s="62"/>
      <c r="O38" s="62"/>
    </row>
    <row r="39" spans="1:15">
      <c r="A39" s="75">
        <f t="shared" si="0"/>
        <v>0</v>
      </c>
      <c r="B39" s="66"/>
      <c r="C39" s="66"/>
      <c r="D39" s="66"/>
      <c r="E39" s="68"/>
      <c r="F39" s="69"/>
      <c r="G39" s="70"/>
      <c r="H39" s="71"/>
      <c r="I39" s="72"/>
      <c r="J39" s="73"/>
      <c r="K39" s="62"/>
      <c r="L39" s="62"/>
      <c r="M39" s="62"/>
      <c r="N39" s="62"/>
      <c r="O39" s="62"/>
    </row>
    <row r="40" spans="1:15">
      <c r="A40" s="75">
        <f t="shared" si="0"/>
        <v>0</v>
      </c>
      <c r="B40" s="66"/>
      <c r="C40" s="66"/>
      <c r="D40" s="66"/>
      <c r="E40" s="68"/>
      <c r="F40" s="69"/>
      <c r="G40" s="70"/>
      <c r="H40" s="71"/>
      <c r="I40" s="72"/>
      <c r="J40" s="73"/>
      <c r="K40" s="62"/>
      <c r="L40" s="62"/>
      <c r="M40" s="62"/>
      <c r="N40" s="62"/>
      <c r="O40" s="62"/>
    </row>
    <row r="41" spans="1:15">
      <c r="A41" s="75">
        <f t="shared" si="0"/>
        <v>0</v>
      </c>
      <c r="B41" s="66"/>
      <c r="C41" s="66"/>
      <c r="D41" s="66"/>
      <c r="E41" s="68"/>
      <c r="F41" s="69"/>
      <c r="G41" s="70"/>
      <c r="H41" s="71"/>
      <c r="I41" s="72"/>
      <c r="J41" s="73"/>
      <c r="K41" s="62"/>
      <c r="L41" s="62"/>
      <c r="M41" s="62"/>
      <c r="N41" s="62"/>
      <c r="O41" s="62"/>
    </row>
    <row r="42" spans="1:15">
      <c r="A42" s="75">
        <f t="shared" si="0"/>
        <v>0</v>
      </c>
      <c r="B42" s="66"/>
      <c r="C42" s="66"/>
      <c r="D42" s="66"/>
      <c r="E42" s="68"/>
      <c r="F42" s="69"/>
      <c r="G42" s="70"/>
      <c r="H42" s="71"/>
      <c r="I42" s="72"/>
      <c r="J42" s="73"/>
      <c r="K42" s="62"/>
      <c r="L42" s="62"/>
      <c r="M42" s="62"/>
      <c r="N42" s="62"/>
      <c r="O42" s="62"/>
    </row>
    <row r="43" spans="1:15">
      <c r="A43" s="75">
        <f t="shared" si="0"/>
        <v>0</v>
      </c>
      <c r="B43" s="66"/>
      <c r="C43" s="66"/>
      <c r="D43" s="66"/>
      <c r="E43" s="68"/>
      <c r="F43" s="69"/>
      <c r="G43" s="70"/>
      <c r="H43" s="71"/>
      <c r="I43" s="72"/>
      <c r="J43" s="73"/>
      <c r="K43" s="62"/>
      <c r="L43" s="62"/>
      <c r="M43" s="62"/>
      <c r="N43" s="62"/>
      <c r="O43" s="62"/>
    </row>
    <row r="44" spans="1:15">
      <c r="A44" s="75">
        <f t="shared" si="0"/>
        <v>0</v>
      </c>
      <c r="B44" s="66"/>
      <c r="C44" s="66"/>
      <c r="D44" s="66"/>
      <c r="E44" s="68"/>
      <c r="F44" s="69"/>
      <c r="G44" s="70"/>
      <c r="H44" s="71"/>
      <c r="I44" s="72"/>
      <c r="J44" s="73"/>
      <c r="K44" s="62"/>
      <c r="L44" s="62"/>
      <c r="M44" s="62"/>
      <c r="N44" s="62"/>
      <c r="O44" s="62"/>
    </row>
    <row r="45" spans="1:15">
      <c r="A45" s="75">
        <f t="shared" si="0"/>
        <v>0</v>
      </c>
      <c r="B45" s="66"/>
      <c r="C45" s="66"/>
      <c r="D45" s="66"/>
      <c r="E45" s="68"/>
      <c r="F45" s="69"/>
      <c r="G45" s="70"/>
      <c r="H45" s="71"/>
      <c r="I45" s="72"/>
      <c r="J45" s="73"/>
      <c r="K45" s="62"/>
      <c r="L45" s="62"/>
      <c r="M45" s="62"/>
      <c r="N45" s="62"/>
      <c r="O45" s="62"/>
    </row>
    <row r="46" spans="1:15">
      <c r="A46" s="75">
        <f t="shared" si="0"/>
        <v>0</v>
      </c>
      <c r="B46" s="66"/>
      <c r="C46" s="66"/>
      <c r="D46" s="66"/>
      <c r="E46" s="68"/>
      <c r="F46" s="69"/>
      <c r="G46" s="70"/>
      <c r="H46" s="71"/>
      <c r="I46" s="72"/>
      <c r="J46" s="73"/>
      <c r="K46" s="62"/>
      <c r="L46" s="62"/>
      <c r="M46" s="62"/>
      <c r="N46" s="62"/>
      <c r="O46" s="62"/>
    </row>
    <row r="47" spans="1:15">
      <c r="A47" s="75">
        <f t="shared" si="0"/>
        <v>0</v>
      </c>
      <c r="B47" s="66"/>
      <c r="C47" s="66"/>
      <c r="D47" s="66"/>
      <c r="E47" s="68"/>
      <c r="F47" s="69"/>
      <c r="G47" s="70"/>
      <c r="H47" s="71"/>
      <c r="I47" s="72"/>
      <c r="J47" s="73"/>
      <c r="K47" s="62"/>
      <c r="L47" s="62"/>
      <c r="M47" s="62"/>
      <c r="N47" s="62"/>
      <c r="O47" s="62"/>
    </row>
    <row r="48" spans="1:15">
      <c r="A48" s="75">
        <f t="shared" si="0"/>
        <v>0</v>
      </c>
      <c r="B48" s="66"/>
      <c r="C48" s="66"/>
      <c r="D48" s="66"/>
      <c r="E48" s="68"/>
      <c r="F48" s="69"/>
      <c r="G48" s="70"/>
      <c r="H48" s="71"/>
      <c r="I48" s="72"/>
      <c r="J48" s="73"/>
      <c r="K48" s="62"/>
      <c r="L48" s="62"/>
      <c r="M48" s="62"/>
      <c r="N48" s="62"/>
      <c r="O48" s="62"/>
    </row>
    <row r="49" spans="1:15">
      <c r="A49" s="75">
        <f t="shared" si="0"/>
        <v>0</v>
      </c>
      <c r="B49" s="66"/>
      <c r="C49" s="66"/>
      <c r="D49" s="66"/>
      <c r="E49" s="68"/>
      <c r="F49" s="69"/>
      <c r="G49" s="70"/>
      <c r="H49" s="71"/>
      <c r="I49" s="72"/>
      <c r="J49" s="73"/>
      <c r="K49" s="62"/>
      <c r="L49" s="62"/>
      <c r="M49" s="62"/>
      <c r="N49" s="62"/>
      <c r="O49" s="62"/>
    </row>
    <row r="50" spans="1:15">
      <c r="A50" s="75">
        <f t="shared" si="0"/>
        <v>0</v>
      </c>
      <c r="B50" s="66"/>
      <c r="C50" s="66"/>
      <c r="D50" s="66"/>
      <c r="E50" s="68"/>
      <c r="F50" s="69"/>
      <c r="G50" s="70"/>
      <c r="H50" s="71"/>
      <c r="I50" s="72"/>
      <c r="J50" s="73"/>
      <c r="K50" s="62"/>
      <c r="L50" s="62"/>
      <c r="M50" s="62"/>
      <c r="N50" s="62"/>
      <c r="O50" s="62"/>
    </row>
    <row r="51" spans="1:15">
      <c r="A51" s="75">
        <f t="shared" si="0"/>
        <v>0</v>
      </c>
      <c r="B51" s="66"/>
      <c r="C51" s="66"/>
      <c r="D51" s="66"/>
      <c r="E51" s="68"/>
      <c r="F51" s="69"/>
      <c r="G51" s="70"/>
      <c r="H51" s="71"/>
      <c r="I51" s="72"/>
      <c r="J51" s="73"/>
      <c r="K51" s="62"/>
      <c r="L51" s="62"/>
      <c r="M51" s="62"/>
      <c r="N51" s="62"/>
      <c r="O51" s="62"/>
    </row>
    <row r="52" spans="1:15">
      <c r="A52" s="75">
        <f t="shared" si="0"/>
        <v>0</v>
      </c>
      <c r="B52" s="66"/>
      <c r="C52" s="66"/>
      <c r="D52" s="66"/>
      <c r="E52" s="68"/>
      <c r="F52" s="69"/>
      <c r="G52" s="70"/>
      <c r="H52" s="71"/>
      <c r="I52" s="72"/>
      <c r="J52" s="73"/>
      <c r="K52" s="62"/>
      <c r="L52" s="62"/>
      <c r="M52" s="62"/>
      <c r="N52" s="62"/>
      <c r="O52" s="62"/>
    </row>
    <row r="53" spans="1:15">
      <c r="A53" s="75">
        <f t="shared" si="0"/>
        <v>0</v>
      </c>
      <c r="B53" s="66"/>
      <c r="C53" s="66"/>
      <c r="D53" s="66"/>
      <c r="E53" s="68"/>
      <c r="F53" s="69"/>
      <c r="G53" s="70"/>
      <c r="H53" s="71"/>
      <c r="I53" s="72"/>
      <c r="J53" s="73"/>
      <c r="K53" s="62"/>
      <c r="L53" s="62"/>
      <c r="M53" s="62"/>
      <c r="N53" s="62"/>
      <c r="O53" s="62"/>
    </row>
    <row r="54" spans="1:15">
      <c r="A54" s="75">
        <f t="shared" si="0"/>
        <v>0</v>
      </c>
      <c r="B54" s="66"/>
      <c r="C54" s="66"/>
      <c r="D54" s="66"/>
      <c r="E54" s="68"/>
      <c r="F54" s="69"/>
      <c r="G54" s="70"/>
      <c r="H54" s="71"/>
      <c r="I54" s="72"/>
      <c r="J54" s="73"/>
      <c r="K54" s="62"/>
      <c r="L54" s="62"/>
      <c r="M54" s="62"/>
      <c r="N54" s="62"/>
      <c r="O54" s="62"/>
    </row>
    <row r="55" spans="1:15">
      <c r="A55" s="75">
        <f t="shared" si="0"/>
        <v>0</v>
      </c>
      <c r="B55" s="66"/>
      <c r="C55" s="66"/>
      <c r="D55" s="66"/>
      <c r="E55" s="68"/>
      <c r="F55" s="69"/>
      <c r="G55" s="70"/>
      <c r="H55" s="71"/>
      <c r="I55" s="72"/>
      <c r="J55" s="73"/>
      <c r="K55" s="62"/>
      <c r="L55" s="62"/>
      <c r="M55" s="62"/>
      <c r="N55" s="62"/>
      <c r="O55" s="62"/>
    </row>
    <row r="56" spans="1:15">
      <c r="A56" s="75">
        <f t="shared" si="0"/>
        <v>0</v>
      </c>
      <c r="B56" s="66"/>
      <c r="C56" s="66"/>
      <c r="D56" s="66"/>
      <c r="E56" s="68"/>
      <c r="F56" s="69"/>
      <c r="G56" s="70"/>
      <c r="H56" s="71"/>
      <c r="I56" s="72"/>
      <c r="J56" s="73"/>
      <c r="K56" s="62"/>
      <c r="L56" s="62"/>
      <c r="M56" s="62"/>
      <c r="N56" s="62"/>
      <c r="O56" s="62"/>
    </row>
    <row r="57" spans="1:15">
      <c r="A57" s="75">
        <f t="shared" si="0"/>
        <v>0</v>
      </c>
      <c r="B57" s="66"/>
      <c r="C57" s="66"/>
      <c r="D57" s="66"/>
      <c r="E57" s="68"/>
      <c r="F57" s="69"/>
      <c r="G57" s="70"/>
      <c r="H57" s="71"/>
      <c r="I57" s="72"/>
      <c r="J57" s="73"/>
      <c r="K57" s="62"/>
      <c r="L57" s="62"/>
      <c r="M57" s="62"/>
      <c r="N57" s="62"/>
      <c r="O57" s="62"/>
    </row>
    <row r="58" spans="1:15">
      <c r="A58" s="75">
        <f t="shared" si="0"/>
        <v>0</v>
      </c>
      <c r="B58" s="66"/>
      <c r="C58" s="66"/>
      <c r="D58" s="66"/>
      <c r="E58" s="68"/>
      <c r="F58" s="69"/>
      <c r="G58" s="70"/>
      <c r="H58" s="71"/>
      <c r="I58" s="72"/>
      <c r="J58" s="73"/>
      <c r="K58" s="62"/>
      <c r="L58" s="62"/>
      <c r="M58" s="62"/>
      <c r="N58" s="62"/>
      <c r="O58" s="62"/>
    </row>
    <row r="59" spans="1:15">
      <c r="A59" s="75">
        <f t="shared" si="0"/>
        <v>0</v>
      </c>
      <c r="B59" s="66"/>
      <c r="C59" s="66"/>
      <c r="D59" s="66"/>
      <c r="E59" s="68"/>
      <c r="F59" s="69"/>
      <c r="G59" s="70"/>
      <c r="H59" s="71"/>
      <c r="I59" s="72"/>
      <c r="J59" s="73"/>
      <c r="K59" s="62"/>
      <c r="L59" s="62"/>
      <c r="M59" s="62"/>
      <c r="N59" s="62"/>
      <c r="O59" s="62"/>
    </row>
    <row r="60" spans="1:15">
      <c r="A60" s="75">
        <f t="shared" si="0"/>
        <v>0</v>
      </c>
      <c r="B60" s="66"/>
      <c r="C60" s="66"/>
      <c r="D60" s="66"/>
      <c r="E60" s="68"/>
      <c r="F60" s="69"/>
      <c r="G60" s="70"/>
      <c r="H60" s="71"/>
      <c r="I60" s="72"/>
      <c r="J60" s="73"/>
      <c r="K60" s="62"/>
      <c r="L60" s="62"/>
      <c r="M60" s="62"/>
      <c r="N60" s="62"/>
      <c r="O60" s="62"/>
    </row>
    <row r="61" spans="1:15">
      <c r="A61" s="75">
        <f t="shared" si="0"/>
        <v>0</v>
      </c>
      <c r="B61" s="66"/>
      <c r="C61" s="66"/>
      <c r="D61" s="66"/>
      <c r="E61" s="68"/>
      <c r="F61" s="69"/>
      <c r="G61" s="70"/>
      <c r="H61" s="71"/>
      <c r="I61" s="72"/>
      <c r="J61" s="73"/>
      <c r="K61" s="62"/>
      <c r="L61" s="62"/>
      <c r="M61" s="62"/>
      <c r="N61" s="62"/>
      <c r="O61" s="62"/>
    </row>
    <row r="62" spans="1:15">
      <c r="A62" s="75">
        <f t="shared" si="0"/>
        <v>0</v>
      </c>
      <c r="B62" s="66"/>
      <c r="C62" s="66"/>
      <c r="D62" s="66"/>
      <c r="E62" s="68"/>
      <c r="F62" s="69"/>
      <c r="G62" s="70"/>
      <c r="H62" s="71"/>
      <c r="I62" s="72"/>
      <c r="J62" s="73"/>
      <c r="K62" s="62"/>
      <c r="L62" s="62"/>
      <c r="M62" s="62"/>
      <c r="N62" s="62"/>
      <c r="O62" s="62"/>
    </row>
    <row r="63" spans="1:15">
      <c r="A63" s="75">
        <f t="shared" si="0"/>
        <v>0</v>
      </c>
      <c r="B63" s="66"/>
      <c r="C63" s="66"/>
      <c r="D63" s="66"/>
      <c r="E63" s="68"/>
      <c r="F63" s="69"/>
      <c r="G63" s="70"/>
      <c r="H63" s="71"/>
      <c r="I63" s="72"/>
      <c r="J63" s="73"/>
      <c r="K63" s="62"/>
      <c r="L63" s="62"/>
      <c r="M63" s="62"/>
      <c r="N63" s="62"/>
      <c r="O63" s="62"/>
    </row>
    <row r="64" spans="1:15">
      <c r="A64" s="75">
        <f t="shared" si="0"/>
        <v>0</v>
      </c>
      <c r="B64" s="66"/>
      <c r="C64" s="66"/>
      <c r="D64" s="66"/>
      <c r="E64" s="68"/>
      <c r="F64" s="69"/>
      <c r="G64" s="70"/>
      <c r="H64" s="71"/>
      <c r="I64" s="72"/>
      <c r="J64" s="73"/>
      <c r="K64" s="62"/>
      <c r="L64" s="62"/>
      <c r="M64" s="62"/>
      <c r="N64" s="62"/>
      <c r="O64" s="62"/>
    </row>
    <row r="65" spans="1:15">
      <c r="A65" s="75">
        <f t="shared" si="0"/>
        <v>0</v>
      </c>
      <c r="B65" s="66"/>
      <c r="C65" s="66"/>
      <c r="D65" s="66"/>
      <c r="E65" s="68"/>
      <c r="F65" s="69"/>
      <c r="G65" s="70"/>
      <c r="H65" s="71"/>
      <c r="I65" s="72"/>
      <c r="J65" s="73"/>
      <c r="K65" s="62"/>
      <c r="L65" s="62"/>
      <c r="M65" s="62"/>
      <c r="N65" s="62"/>
      <c r="O65" s="62"/>
    </row>
    <row r="66" spans="1:15">
      <c r="A66" s="75">
        <f t="shared" si="0"/>
        <v>0</v>
      </c>
      <c r="B66" s="66"/>
      <c r="C66" s="66"/>
      <c r="D66" s="66"/>
      <c r="E66" s="68"/>
      <c r="F66" s="69"/>
      <c r="G66" s="70"/>
      <c r="H66" s="71"/>
      <c r="I66" s="72"/>
      <c r="J66" s="73"/>
      <c r="K66" s="62"/>
      <c r="L66" s="62"/>
      <c r="M66" s="62"/>
      <c r="N66" s="62"/>
      <c r="O66" s="62"/>
    </row>
    <row r="67" spans="1:15">
      <c r="A67" s="75">
        <f t="shared" si="0"/>
        <v>0</v>
      </c>
      <c r="B67" s="66"/>
      <c r="C67" s="66"/>
      <c r="D67" s="66"/>
      <c r="E67" s="68"/>
      <c r="F67" s="69"/>
      <c r="G67" s="70"/>
      <c r="H67" s="71"/>
      <c r="I67" s="72"/>
      <c r="J67" s="73"/>
      <c r="K67" s="62"/>
      <c r="L67" s="62"/>
      <c r="M67" s="62"/>
      <c r="N67" s="62"/>
      <c r="O67" s="62"/>
    </row>
    <row r="68" spans="1:15">
      <c r="A68" s="75">
        <f t="shared" si="0"/>
        <v>0</v>
      </c>
      <c r="B68" s="66"/>
      <c r="C68" s="66"/>
      <c r="D68" s="66"/>
      <c r="E68" s="68"/>
      <c r="F68" s="69"/>
      <c r="G68" s="70"/>
      <c r="H68" s="71"/>
      <c r="I68" s="72"/>
      <c r="J68" s="73"/>
      <c r="K68" s="62"/>
      <c r="L68" s="62"/>
      <c r="M68" s="62"/>
      <c r="N68" s="62"/>
      <c r="O68" s="62"/>
    </row>
    <row r="69" spans="1:15">
      <c r="A69" s="75">
        <f t="shared" si="0"/>
        <v>0</v>
      </c>
      <c r="B69" s="66"/>
      <c r="C69" s="66"/>
      <c r="D69" s="66"/>
      <c r="E69" s="68"/>
      <c r="F69" s="69"/>
      <c r="G69" s="70"/>
      <c r="H69" s="71"/>
      <c r="I69" s="72"/>
      <c r="J69" s="73"/>
      <c r="K69" s="62"/>
      <c r="L69" s="62"/>
      <c r="M69" s="62"/>
      <c r="N69" s="62"/>
      <c r="O69" s="62"/>
    </row>
    <row r="70" spans="1:15">
      <c r="A70" s="75">
        <f t="shared" si="0"/>
        <v>0</v>
      </c>
      <c r="B70" s="66"/>
      <c r="C70" s="66"/>
      <c r="D70" s="66"/>
      <c r="E70" s="68"/>
      <c r="F70" s="69"/>
      <c r="G70" s="70"/>
      <c r="H70" s="71"/>
      <c r="I70" s="72"/>
      <c r="J70" s="73"/>
      <c r="K70" s="62"/>
      <c r="L70" s="62"/>
      <c r="M70" s="62"/>
      <c r="N70" s="62"/>
      <c r="O70" s="62"/>
    </row>
    <row r="71" spans="1:15">
      <c r="A71" s="75">
        <f t="shared" si="0"/>
        <v>0</v>
      </c>
      <c r="B71" s="66"/>
      <c r="C71" s="66"/>
      <c r="D71" s="66"/>
      <c r="E71" s="68"/>
      <c r="F71" s="69"/>
      <c r="G71" s="70"/>
      <c r="H71" s="71"/>
      <c r="I71" s="72"/>
      <c r="J71" s="73"/>
      <c r="K71" s="62"/>
      <c r="L71" s="62"/>
      <c r="M71" s="62"/>
      <c r="N71" s="62"/>
      <c r="O71" s="62"/>
    </row>
    <row r="72" spans="1:15">
      <c r="A72" s="75">
        <f t="shared" si="0"/>
        <v>0</v>
      </c>
      <c r="B72" s="66"/>
      <c r="C72" s="66"/>
      <c r="D72" s="66"/>
      <c r="E72" s="68"/>
      <c r="F72" s="69"/>
      <c r="G72" s="70"/>
      <c r="H72" s="71"/>
      <c r="I72" s="72"/>
      <c r="J72" s="73"/>
      <c r="K72" s="62"/>
      <c r="L72" s="62"/>
      <c r="M72" s="62"/>
      <c r="N72" s="62"/>
      <c r="O72" s="62"/>
    </row>
    <row r="73" spans="1:15">
      <c r="A73" s="75">
        <f t="shared" si="0"/>
        <v>0</v>
      </c>
      <c r="B73" s="66"/>
      <c r="C73" s="66"/>
      <c r="D73" s="66"/>
      <c r="E73" s="68"/>
      <c r="F73" s="69"/>
      <c r="G73" s="70"/>
      <c r="H73" s="71"/>
      <c r="I73" s="72"/>
      <c r="J73" s="73"/>
      <c r="K73" s="62"/>
      <c r="L73" s="62"/>
      <c r="M73" s="62"/>
      <c r="N73" s="62"/>
      <c r="O73" s="62"/>
    </row>
    <row r="74" spans="1:15">
      <c r="A74" s="75">
        <f t="shared" ref="A74:A137" si="1">E74</f>
        <v>0</v>
      </c>
      <c r="B74" s="66"/>
      <c r="C74" s="66"/>
      <c r="D74" s="66"/>
      <c r="E74" s="68"/>
      <c r="F74" s="69"/>
      <c r="G74" s="70"/>
      <c r="H74" s="71"/>
      <c r="I74" s="72"/>
      <c r="J74" s="73"/>
      <c r="K74" s="62"/>
      <c r="L74" s="62"/>
      <c r="M74" s="62"/>
      <c r="N74" s="62"/>
      <c r="O74" s="62"/>
    </row>
    <row r="75" spans="1:15">
      <c r="A75" s="75">
        <f t="shared" si="1"/>
        <v>0</v>
      </c>
      <c r="B75" s="66"/>
      <c r="C75" s="66"/>
      <c r="D75" s="66"/>
      <c r="E75" s="68"/>
      <c r="F75" s="69"/>
      <c r="G75" s="70"/>
      <c r="H75" s="71"/>
      <c r="I75" s="72"/>
      <c r="J75" s="73"/>
      <c r="K75" s="62"/>
      <c r="L75" s="62"/>
      <c r="M75" s="62"/>
      <c r="N75" s="62"/>
      <c r="O75" s="62"/>
    </row>
    <row r="76" spans="1:15">
      <c r="A76" s="75">
        <f t="shared" si="1"/>
        <v>0</v>
      </c>
      <c r="B76" s="66"/>
      <c r="C76" s="66"/>
      <c r="D76" s="66"/>
      <c r="E76" s="68"/>
      <c r="F76" s="69"/>
      <c r="G76" s="70"/>
      <c r="H76" s="71"/>
      <c r="I76" s="72"/>
      <c r="J76" s="73"/>
      <c r="K76" s="62"/>
      <c r="L76" s="62"/>
      <c r="M76" s="62"/>
      <c r="N76" s="62"/>
      <c r="O76" s="62"/>
    </row>
    <row r="77" spans="1:15">
      <c r="A77" s="75">
        <f t="shared" si="1"/>
        <v>0</v>
      </c>
      <c r="B77" s="66"/>
      <c r="C77" s="66"/>
      <c r="D77" s="66"/>
      <c r="E77" s="68"/>
      <c r="F77" s="69"/>
      <c r="G77" s="70"/>
      <c r="H77" s="71"/>
      <c r="I77" s="72"/>
      <c r="J77" s="73"/>
      <c r="K77" s="62"/>
      <c r="L77" s="62"/>
      <c r="M77" s="62"/>
      <c r="N77" s="62"/>
      <c r="O77" s="62"/>
    </row>
    <row r="78" spans="1:15">
      <c r="A78" s="75">
        <f t="shared" si="1"/>
        <v>0</v>
      </c>
      <c r="B78" s="66"/>
      <c r="C78" s="66"/>
      <c r="D78" s="66"/>
      <c r="E78" s="68"/>
      <c r="F78" s="69"/>
      <c r="G78" s="70"/>
      <c r="H78" s="71"/>
      <c r="I78" s="72"/>
      <c r="J78" s="73"/>
      <c r="K78" s="62"/>
      <c r="L78" s="62"/>
      <c r="M78" s="62"/>
      <c r="N78" s="62"/>
      <c r="O78" s="62"/>
    </row>
    <row r="79" spans="1:15">
      <c r="A79" s="75">
        <f t="shared" si="1"/>
        <v>0</v>
      </c>
      <c r="B79" s="66"/>
      <c r="C79" s="66"/>
      <c r="D79" s="66"/>
      <c r="E79" s="68"/>
      <c r="F79" s="69"/>
      <c r="G79" s="70"/>
      <c r="H79" s="71"/>
      <c r="I79" s="72"/>
      <c r="J79" s="73"/>
      <c r="K79" s="62"/>
      <c r="L79" s="62"/>
      <c r="M79" s="62"/>
      <c r="N79" s="62"/>
      <c r="O79" s="62"/>
    </row>
    <row r="80" spans="1:15">
      <c r="A80" s="75">
        <f t="shared" si="1"/>
        <v>0</v>
      </c>
      <c r="B80" s="66"/>
      <c r="C80" s="66"/>
      <c r="D80" s="66"/>
      <c r="E80" s="68"/>
      <c r="F80" s="69"/>
      <c r="G80" s="70"/>
      <c r="H80" s="71"/>
      <c r="I80" s="72"/>
      <c r="J80" s="73"/>
      <c r="K80" s="62"/>
      <c r="L80" s="62"/>
      <c r="M80" s="62"/>
      <c r="N80" s="62"/>
      <c r="O80" s="62"/>
    </row>
    <row r="81" spans="1:15">
      <c r="A81" s="75">
        <f t="shared" si="1"/>
        <v>0</v>
      </c>
      <c r="B81" s="66"/>
      <c r="C81" s="66"/>
      <c r="D81" s="66"/>
      <c r="E81" s="68"/>
      <c r="F81" s="69"/>
      <c r="G81" s="70"/>
      <c r="H81" s="71"/>
      <c r="I81" s="72"/>
      <c r="J81" s="73"/>
      <c r="K81" s="62"/>
      <c r="L81" s="62"/>
      <c r="M81" s="62"/>
      <c r="N81" s="62"/>
      <c r="O81" s="62"/>
    </row>
    <row r="82" spans="1:15">
      <c r="A82" s="75">
        <f t="shared" si="1"/>
        <v>0</v>
      </c>
      <c r="B82" s="66"/>
      <c r="C82" s="66"/>
      <c r="D82" s="66"/>
      <c r="E82" s="68"/>
      <c r="F82" s="69"/>
      <c r="G82" s="70"/>
      <c r="H82" s="71"/>
      <c r="I82" s="72"/>
      <c r="J82" s="73"/>
      <c r="K82" s="62"/>
      <c r="L82" s="62"/>
      <c r="M82" s="62"/>
      <c r="N82" s="62"/>
      <c r="O82" s="62"/>
    </row>
    <row r="83" spans="1:15">
      <c r="A83" s="75">
        <f t="shared" si="1"/>
        <v>0</v>
      </c>
      <c r="B83" s="66"/>
      <c r="C83" s="66"/>
      <c r="D83" s="66"/>
      <c r="E83" s="68"/>
      <c r="F83" s="69"/>
      <c r="G83" s="70"/>
      <c r="H83" s="71"/>
      <c r="I83" s="72"/>
      <c r="J83" s="73"/>
      <c r="K83" s="62"/>
      <c r="L83" s="62"/>
      <c r="M83" s="62"/>
      <c r="N83" s="62"/>
      <c r="O83" s="62"/>
    </row>
    <row r="84" spans="1:15">
      <c r="A84" s="75">
        <f t="shared" si="1"/>
        <v>0</v>
      </c>
      <c r="B84" s="66"/>
      <c r="C84" s="66"/>
      <c r="D84" s="66"/>
      <c r="E84" s="68"/>
      <c r="F84" s="69"/>
      <c r="G84" s="70"/>
      <c r="H84" s="71"/>
      <c r="I84" s="72"/>
      <c r="J84" s="73"/>
      <c r="K84" s="62"/>
      <c r="L84" s="62"/>
      <c r="M84" s="62"/>
      <c r="N84" s="62"/>
      <c r="O84" s="62"/>
    </row>
    <row r="85" spans="1:15">
      <c r="A85" s="75">
        <f t="shared" si="1"/>
        <v>0</v>
      </c>
      <c r="B85" s="66"/>
      <c r="C85" s="66"/>
      <c r="D85" s="66"/>
      <c r="E85" s="68"/>
      <c r="F85" s="69"/>
      <c r="G85" s="70"/>
      <c r="H85" s="71"/>
      <c r="I85" s="72"/>
      <c r="J85" s="73"/>
      <c r="K85" s="62"/>
      <c r="L85" s="62"/>
      <c r="M85" s="62"/>
      <c r="N85" s="62"/>
      <c r="O85" s="62"/>
    </row>
    <row r="86" spans="1:15">
      <c r="A86" s="75">
        <f t="shared" si="1"/>
        <v>0</v>
      </c>
      <c r="B86" s="66"/>
      <c r="C86" s="66"/>
      <c r="D86" s="66"/>
      <c r="E86" s="68"/>
      <c r="F86" s="69"/>
      <c r="G86" s="70"/>
      <c r="H86" s="71"/>
      <c r="I86" s="72"/>
      <c r="J86" s="73"/>
      <c r="K86" s="62"/>
      <c r="L86" s="62"/>
      <c r="M86" s="62"/>
      <c r="N86" s="62"/>
      <c r="O86" s="62"/>
    </row>
    <row r="87" spans="1:15">
      <c r="A87" s="75">
        <f t="shared" si="1"/>
        <v>0</v>
      </c>
      <c r="B87" s="66"/>
      <c r="C87" s="66"/>
      <c r="D87" s="66"/>
      <c r="E87" s="68"/>
      <c r="F87" s="69"/>
      <c r="G87" s="70"/>
      <c r="H87" s="71"/>
      <c r="I87" s="72"/>
      <c r="J87" s="73"/>
      <c r="K87" s="62"/>
      <c r="L87" s="62"/>
      <c r="M87" s="62"/>
      <c r="N87" s="62"/>
      <c r="O87" s="62"/>
    </row>
    <row r="88" spans="1:15">
      <c r="A88" s="75">
        <f t="shared" si="1"/>
        <v>0</v>
      </c>
      <c r="B88" s="66"/>
      <c r="C88" s="66"/>
      <c r="D88" s="66"/>
      <c r="E88" s="68"/>
      <c r="F88" s="69"/>
      <c r="G88" s="70"/>
      <c r="H88" s="71"/>
      <c r="I88" s="72"/>
      <c r="J88" s="73"/>
      <c r="K88" s="62"/>
      <c r="L88" s="62"/>
      <c r="M88" s="62"/>
      <c r="N88" s="62"/>
      <c r="O88" s="62"/>
    </row>
    <row r="89" spans="1:15">
      <c r="A89" s="75">
        <f t="shared" si="1"/>
        <v>0</v>
      </c>
      <c r="B89" s="66"/>
      <c r="C89" s="66"/>
      <c r="D89" s="66"/>
      <c r="E89" s="68"/>
      <c r="F89" s="69"/>
      <c r="G89" s="70"/>
      <c r="H89" s="71"/>
      <c r="I89" s="72"/>
      <c r="J89" s="73"/>
      <c r="K89" s="62"/>
      <c r="L89" s="62"/>
      <c r="M89" s="62"/>
      <c r="N89" s="62"/>
      <c r="O89" s="62"/>
    </row>
    <row r="90" spans="1:15">
      <c r="A90" s="75">
        <f t="shared" si="1"/>
        <v>0</v>
      </c>
      <c r="B90" s="66"/>
      <c r="C90" s="66"/>
      <c r="D90" s="66"/>
      <c r="E90" s="68"/>
      <c r="F90" s="69"/>
      <c r="G90" s="70"/>
      <c r="H90" s="71"/>
      <c r="I90" s="72"/>
      <c r="J90" s="73"/>
      <c r="K90" s="62"/>
      <c r="L90" s="62"/>
      <c r="M90" s="62"/>
      <c r="N90" s="62"/>
      <c r="O90" s="62"/>
    </row>
    <row r="91" spans="1:15">
      <c r="A91" s="75">
        <f t="shared" si="1"/>
        <v>0</v>
      </c>
      <c r="B91" s="66"/>
      <c r="C91" s="66"/>
      <c r="D91" s="66"/>
      <c r="E91" s="68"/>
      <c r="F91" s="69"/>
      <c r="G91" s="70"/>
      <c r="H91" s="71"/>
      <c r="I91" s="72"/>
      <c r="J91" s="73"/>
      <c r="K91" s="62"/>
      <c r="L91" s="62"/>
      <c r="M91" s="62"/>
      <c r="N91" s="62"/>
      <c r="O91" s="62"/>
    </row>
    <row r="92" spans="1:15">
      <c r="A92" s="75">
        <f t="shared" si="1"/>
        <v>0</v>
      </c>
      <c r="B92" s="66"/>
      <c r="C92" s="66"/>
      <c r="D92" s="66"/>
      <c r="E92" s="68"/>
      <c r="F92" s="69"/>
      <c r="G92" s="70"/>
      <c r="H92" s="71"/>
      <c r="I92" s="72"/>
      <c r="J92" s="73"/>
      <c r="K92" s="62"/>
      <c r="L92" s="62"/>
      <c r="M92" s="62"/>
      <c r="N92" s="62"/>
      <c r="O92" s="62"/>
    </row>
    <row r="93" spans="1:15">
      <c r="A93" s="75">
        <f t="shared" si="1"/>
        <v>0</v>
      </c>
      <c r="B93" s="66"/>
      <c r="C93" s="66"/>
      <c r="D93" s="66"/>
      <c r="E93" s="68"/>
      <c r="F93" s="69"/>
      <c r="G93" s="70"/>
      <c r="H93" s="71"/>
      <c r="I93" s="72"/>
      <c r="J93" s="73"/>
      <c r="K93" s="62"/>
      <c r="L93" s="62"/>
      <c r="M93" s="62"/>
      <c r="N93" s="62"/>
      <c r="O93" s="62"/>
    </row>
    <row r="94" spans="1:15">
      <c r="A94" s="75">
        <f t="shared" si="1"/>
        <v>0</v>
      </c>
      <c r="B94" s="66"/>
      <c r="C94" s="66"/>
      <c r="D94" s="66"/>
      <c r="E94" s="68"/>
      <c r="F94" s="69"/>
      <c r="G94" s="70"/>
      <c r="H94" s="71"/>
      <c r="I94" s="72"/>
      <c r="J94" s="73"/>
      <c r="K94" s="62"/>
      <c r="L94" s="62"/>
      <c r="M94" s="62"/>
      <c r="N94" s="62"/>
      <c r="O94" s="62"/>
    </row>
    <row r="95" spans="1:15">
      <c r="A95" s="75">
        <f t="shared" si="1"/>
        <v>0</v>
      </c>
      <c r="B95" s="66"/>
      <c r="C95" s="66"/>
      <c r="D95" s="66"/>
      <c r="E95" s="68"/>
      <c r="F95" s="69"/>
      <c r="G95" s="70"/>
      <c r="H95" s="71"/>
      <c r="I95" s="72"/>
      <c r="J95" s="73"/>
      <c r="K95" s="62"/>
      <c r="L95" s="62"/>
      <c r="M95" s="62"/>
      <c r="N95" s="62"/>
      <c r="O95" s="62"/>
    </row>
    <row r="96" spans="1:15">
      <c r="A96" s="75">
        <f t="shared" si="1"/>
        <v>0</v>
      </c>
      <c r="B96" s="66"/>
      <c r="C96" s="66"/>
      <c r="D96" s="66"/>
      <c r="E96" s="68"/>
      <c r="F96" s="69"/>
      <c r="G96" s="70"/>
      <c r="H96" s="71"/>
      <c r="I96" s="72"/>
      <c r="J96" s="73"/>
      <c r="K96" s="62"/>
      <c r="L96" s="62"/>
      <c r="M96" s="62"/>
      <c r="N96" s="62"/>
      <c r="O96" s="62"/>
    </row>
    <row r="97" spans="1:15">
      <c r="A97" s="75">
        <f t="shared" si="1"/>
        <v>0</v>
      </c>
      <c r="B97" s="66"/>
      <c r="C97" s="66"/>
      <c r="D97" s="66"/>
      <c r="E97" s="68"/>
      <c r="F97" s="69"/>
      <c r="G97" s="70"/>
      <c r="H97" s="71"/>
      <c r="I97" s="72"/>
      <c r="J97" s="73"/>
      <c r="K97" s="62"/>
      <c r="L97" s="62"/>
      <c r="M97" s="62"/>
      <c r="N97" s="62"/>
      <c r="O97" s="62"/>
    </row>
    <row r="98" spans="1:15">
      <c r="A98" s="75">
        <f t="shared" si="1"/>
        <v>0</v>
      </c>
      <c r="B98" s="66"/>
      <c r="C98" s="66"/>
      <c r="D98" s="66"/>
      <c r="E98" s="68"/>
      <c r="F98" s="69"/>
      <c r="G98" s="70"/>
      <c r="H98" s="71"/>
      <c r="I98" s="72"/>
      <c r="J98" s="73"/>
      <c r="K98" s="62"/>
      <c r="L98" s="62"/>
      <c r="M98" s="62"/>
      <c r="N98" s="62"/>
      <c r="O98" s="62"/>
    </row>
    <row r="99" spans="1:15">
      <c r="A99" s="75">
        <f t="shared" si="1"/>
        <v>0</v>
      </c>
      <c r="B99" s="66"/>
      <c r="C99" s="66"/>
      <c r="D99" s="66"/>
      <c r="E99" s="68"/>
      <c r="F99" s="69"/>
      <c r="G99" s="70"/>
      <c r="H99" s="71"/>
      <c r="I99" s="72"/>
      <c r="J99" s="73"/>
      <c r="K99" s="62"/>
      <c r="L99" s="62"/>
      <c r="M99" s="62"/>
      <c r="N99" s="62"/>
      <c r="O99" s="62"/>
    </row>
    <row r="100" spans="1:15">
      <c r="A100" s="75">
        <f t="shared" si="1"/>
        <v>0</v>
      </c>
      <c r="B100" s="66"/>
      <c r="C100" s="66"/>
      <c r="D100" s="66"/>
      <c r="E100" s="68"/>
      <c r="F100" s="69"/>
      <c r="G100" s="70"/>
      <c r="H100" s="71"/>
      <c r="I100" s="72"/>
      <c r="J100" s="73"/>
      <c r="K100" s="62"/>
      <c r="L100" s="62"/>
      <c r="M100" s="62"/>
      <c r="N100" s="62"/>
      <c r="O100" s="62"/>
    </row>
    <row r="101" spans="1:15">
      <c r="A101" s="75">
        <f t="shared" si="1"/>
        <v>0</v>
      </c>
      <c r="B101" s="66"/>
      <c r="C101" s="66"/>
      <c r="D101" s="66"/>
      <c r="E101" s="68"/>
      <c r="F101" s="69"/>
      <c r="G101" s="70"/>
      <c r="H101" s="71"/>
      <c r="I101" s="72"/>
      <c r="J101" s="73"/>
      <c r="K101" s="62"/>
      <c r="L101" s="62"/>
      <c r="M101" s="62"/>
      <c r="N101" s="62"/>
      <c r="O101" s="62"/>
    </row>
    <row r="102" spans="1:15">
      <c r="A102" s="75">
        <f t="shared" si="1"/>
        <v>0</v>
      </c>
      <c r="B102" s="66"/>
      <c r="C102" s="66"/>
      <c r="D102" s="66"/>
      <c r="E102" s="68"/>
      <c r="F102" s="69"/>
      <c r="G102" s="70"/>
      <c r="H102" s="71"/>
      <c r="I102" s="72"/>
      <c r="J102" s="73"/>
      <c r="K102" s="62"/>
      <c r="L102" s="62"/>
      <c r="M102" s="62"/>
      <c r="N102" s="62"/>
      <c r="O102" s="62"/>
    </row>
    <row r="103" spans="1:15">
      <c r="A103" s="75">
        <f t="shared" si="1"/>
        <v>0</v>
      </c>
      <c r="B103" s="66"/>
      <c r="C103" s="66"/>
      <c r="D103" s="66"/>
      <c r="E103" s="68"/>
      <c r="F103" s="69"/>
      <c r="G103" s="70"/>
      <c r="H103" s="71"/>
      <c r="I103" s="72"/>
      <c r="J103" s="73"/>
      <c r="K103" s="62"/>
      <c r="L103" s="62"/>
      <c r="M103" s="62"/>
      <c r="N103" s="62"/>
      <c r="O103" s="62"/>
    </row>
    <row r="104" spans="1:15">
      <c r="A104" s="75">
        <f t="shared" si="1"/>
        <v>0</v>
      </c>
      <c r="B104" s="66"/>
      <c r="C104" s="66"/>
      <c r="D104" s="66"/>
      <c r="E104" s="68"/>
      <c r="F104" s="69"/>
      <c r="G104" s="70"/>
      <c r="H104" s="71"/>
      <c r="I104" s="72"/>
      <c r="J104" s="73"/>
      <c r="K104" s="62"/>
      <c r="L104" s="62"/>
      <c r="M104" s="62"/>
      <c r="N104" s="62"/>
      <c r="O104" s="62"/>
    </row>
    <row r="105" spans="1:15">
      <c r="A105" s="75">
        <f t="shared" si="1"/>
        <v>0</v>
      </c>
      <c r="B105" s="66"/>
      <c r="C105" s="66"/>
      <c r="D105" s="66"/>
      <c r="E105" s="68"/>
      <c r="F105" s="69"/>
      <c r="G105" s="70"/>
      <c r="H105" s="71"/>
      <c r="I105" s="72"/>
      <c r="J105" s="73"/>
      <c r="K105" s="62"/>
      <c r="L105" s="62"/>
      <c r="M105" s="62"/>
      <c r="N105" s="62"/>
      <c r="O105" s="62"/>
    </row>
    <row r="106" spans="1:15">
      <c r="A106" s="75">
        <f t="shared" si="1"/>
        <v>0</v>
      </c>
      <c r="B106" s="66"/>
      <c r="C106" s="66"/>
      <c r="D106" s="66"/>
      <c r="E106" s="68"/>
      <c r="F106" s="69"/>
      <c r="G106" s="70"/>
      <c r="H106" s="71"/>
      <c r="I106" s="72"/>
      <c r="J106" s="73"/>
      <c r="K106" s="62"/>
      <c r="L106" s="62"/>
      <c r="M106" s="62"/>
      <c r="N106" s="62"/>
      <c r="O106" s="62"/>
    </row>
    <row r="107" spans="1:15">
      <c r="A107" s="75">
        <f t="shared" si="1"/>
        <v>0</v>
      </c>
      <c r="B107" s="66"/>
      <c r="C107" s="66"/>
      <c r="D107" s="66"/>
      <c r="E107" s="68"/>
      <c r="F107" s="69"/>
      <c r="G107" s="70"/>
      <c r="H107" s="71"/>
      <c r="I107" s="72"/>
      <c r="J107" s="73"/>
      <c r="K107" s="62"/>
      <c r="L107" s="62"/>
      <c r="M107" s="62"/>
      <c r="N107" s="62"/>
      <c r="O107" s="62"/>
    </row>
    <row r="108" spans="1:15">
      <c r="A108" s="75">
        <f t="shared" si="1"/>
        <v>0</v>
      </c>
      <c r="B108" s="66"/>
      <c r="C108" s="66"/>
      <c r="D108" s="66"/>
      <c r="E108" s="68"/>
      <c r="F108" s="69"/>
      <c r="G108" s="70"/>
      <c r="H108" s="71"/>
      <c r="I108" s="72"/>
      <c r="J108" s="73"/>
      <c r="K108" s="62"/>
      <c r="L108" s="62"/>
      <c r="M108" s="62"/>
      <c r="N108" s="62"/>
      <c r="O108" s="62"/>
    </row>
    <row r="109" spans="1:15">
      <c r="A109" s="75">
        <f t="shared" si="1"/>
        <v>0</v>
      </c>
      <c r="B109" s="66"/>
      <c r="C109" s="66"/>
      <c r="D109" s="66"/>
      <c r="E109" s="68"/>
      <c r="F109" s="69"/>
      <c r="G109" s="70"/>
      <c r="H109" s="71"/>
      <c r="I109" s="72"/>
      <c r="J109" s="73"/>
      <c r="K109" s="62"/>
      <c r="L109" s="62"/>
      <c r="M109" s="62"/>
      <c r="N109" s="62"/>
      <c r="O109" s="62"/>
    </row>
    <row r="110" spans="1:15">
      <c r="A110" s="75">
        <f t="shared" si="1"/>
        <v>0</v>
      </c>
      <c r="B110" s="66"/>
      <c r="C110" s="66"/>
      <c r="D110" s="66"/>
      <c r="E110" s="68"/>
      <c r="F110" s="69"/>
      <c r="G110" s="70"/>
      <c r="H110" s="71"/>
      <c r="I110" s="72"/>
      <c r="J110" s="73"/>
      <c r="K110" s="62"/>
      <c r="L110" s="62"/>
      <c r="M110" s="62"/>
      <c r="N110" s="62"/>
      <c r="O110" s="62"/>
    </row>
    <row r="111" spans="1:15">
      <c r="A111" s="75">
        <f t="shared" si="1"/>
        <v>0</v>
      </c>
      <c r="B111" s="66"/>
      <c r="C111" s="66"/>
      <c r="D111" s="66"/>
      <c r="E111" s="68"/>
      <c r="F111" s="69"/>
      <c r="G111" s="70"/>
      <c r="H111" s="71"/>
      <c r="I111" s="72"/>
      <c r="J111" s="73"/>
      <c r="K111" s="62"/>
      <c r="L111" s="62"/>
      <c r="M111" s="62"/>
      <c r="N111" s="62"/>
      <c r="O111" s="62"/>
    </row>
    <row r="112" spans="1:15">
      <c r="A112" s="75">
        <f t="shared" si="1"/>
        <v>0</v>
      </c>
      <c r="B112" s="66"/>
      <c r="C112" s="66"/>
      <c r="D112" s="66"/>
      <c r="E112" s="68"/>
      <c r="F112" s="69"/>
      <c r="G112" s="70"/>
      <c r="H112" s="71"/>
      <c r="I112" s="72"/>
      <c r="J112" s="73"/>
      <c r="K112" s="62"/>
      <c r="L112" s="62"/>
      <c r="M112" s="62"/>
      <c r="N112" s="62"/>
      <c r="O112" s="62"/>
    </row>
    <row r="113" spans="1:15">
      <c r="A113" s="75">
        <f t="shared" si="1"/>
        <v>0</v>
      </c>
      <c r="B113" s="66"/>
      <c r="C113" s="66"/>
      <c r="D113" s="66"/>
      <c r="E113" s="68"/>
      <c r="F113" s="69"/>
      <c r="G113" s="70"/>
      <c r="H113" s="71"/>
      <c r="I113" s="72"/>
      <c r="J113" s="73"/>
      <c r="K113" s="62"/>
      <c r="L113" s="62"/>
      <c r="M113" s="62"/>
      <c r="N113" s="62"/>
      <c r="O113" s="62"/>
    </row>
    <row r="114" spans="1:15">
      <c r="A114" s="75">
        <f t="shared" si="1"/>
        <v>0</v>
      </c>
      <c r="B114" s="66"/>
      <c r="C114" s="66"/>
      <c r="D114" s="66"/>
      <c r="E114" s="68"/>
      <c r="F114" s="69"/>
      <c r="G114" s="70"/>
      <c r="H114" s="71"/>
      <c r="I114" s="72"/>
      <c r="J114" s="73"/>
      <c r="K114" s="62"/>
      <c r="L114" s="62"/>
      <c r="M114" s="62"/>
      <c r="N114" s="62"/>
      <c r="O114" s="62"/>
    </row>
    <row r="115" spans="1:15">
      <c r="A115" s="75">
        <f t="shared" si="1"/>
        <v>0</v>
      </c>
      <c r="B115" s="66"/>
      <c r="C115" s="66"/>
      <c r="D115" s="66"/>
      <c r="E115" s="68"/>
      <c r="F115" s="69"/>
      <c r="G115" s="70"/>
      <c r="H115" s="71"/>
      <c r="I115" s="72"/>
      <c r="J115" s="73"/>
      <c r="K115" s="62"/>
      <c r="L115" s="62"/>
      <c r="M115" s="62"/>
      <c r="N115" s="62"/>
      <c r="O115" s="62"/>
    </row>
    <row r="116" spans="1:15">
      <c r="A116" s="75">
        <f t="shared" si="1"/>
        <v>0</v>
      </c>
      <c r="B116" s="66"/>
      <c r="C116" s="66"/>
      <c r="D116" s="66"/>
      <c r="E116" s="68"/>
      <c r="F116" s="69"/>
      <c r="G116" s="70"/>
      <c r="H116" s="71"/>
      <c r="I116" s="72"/>
      <c r="J116" s="73"/>
      <c r="K116" s="62"/>
      <c r="L116" s="62"/>
      <c r="M116" s="62"/>
      <c r="N116" s="62"/>
      <c r="O116" s="62"/>
    </row>
    <row r="117" spans="1:15">
      <c r="A117" s="75">
        <f t="shared" si="1"/>
        <v>0</v>
      </c>
      <c r="B117" s="66"/>
      <c r="C117" s="66"/>
      <c r="D117" s="66"/>
      <c r="E117" s="68"/>
      <c r="F117" s="69"/>
      <c r="G117" s="70"/>
      <c r="H117" s="71"/>
      <c r="I117" s="72"/>
      <c r="J117" s="73"/>
      <c r="K117" s="62"/>
      <c r="L117" s="62"/>
      <c r="M117" s="62"/>
      <c r="N117" s="62"/>
      <c r="O117" s="62"/>
    </row>
    <row r="118" spans="1:15">
      <c r="A118" s="75">
        <f t="shared" si="1"/>
        <v>0</v>
      </c>
      <c r="B118" s="66"/>
      <c r="C118" s="66"/>
      <c r="D118" s="66"/>
      <c r="E118" s="68"/>
      <c r="F118" s="69"/>
      <c r="G118" s="70"/>
      <c r="H118" s="71"/>
      <c r="I118" s="72"/>
      <c r="J118" s="73"/>
      <c r="K118" s="62"/>
      <c r="L118" s="62"/>
      <c r="M118" s="62"/>
      <c r="N118" s="62"/>
      <c r="O118" s="62"/>
    </row>
    <row r="119" spans="1:15">
      <c r="A119" s="75">
        <f t="shared" si="1"/>
        <v>0</v>
      </c>
      <c r="B119" s="66"/>
      <c r="C119" s="66"/>
      <c r="D119" s="66"/>
      <c r="E119" s="68"/>
      <c r="F119" s="69"/>
      <c r="G119" s="70"/>
      <c r="H119" s="71"/>
      <c r="I119" s="72"/>
      <c r="J119" s="73"/>
      <c r="K119" s="62"/>
      <c r="L119" s="62"/>
      <c r="M119" s="62"/>
      <c r="N119" s="62"/>
      <c r="O119" s="62"/>
    </row>
    <row r="120" spans="1:15">
      <c r="A120" s="75">
        <f t="shared" si="1"/>
        <v>0</v>
      </c>
      <c r="B120" s="66"/>
      <c r="C120" s="66"/>
      <c r="D120" s="66"/>
      <c r="E120" s="68"/>
      <c r="F120" s="69"/>
      <c r="G120" s="70"/>
      <c r="H120" s="71"/>
      <c r="I120" s="72"/>
      <c r="J120" s="73"/>
      <c r="K120" s="62"/>
      <c r="L120" s="62"/>
      <c r="M120" s="62"/>
      <c r="N120" s="62"/>
      <c r="O120" s="62"/>
    </row>
    <row r="121" spans="1:15">
      <c r="A121" s="75">
        <f t="shared" si="1"/>
        <v>0</v>
      </c>
      <c r="B121" s="66"/>
      <c r="C121" s="66"/>
      <c r="D121" s="66"/>
      <c r="E121" s="68"/>
      <c r="F121" s="69"/>
      <c r="G121" s="70"/>
      <c r="H121" s="71"/>
      <c r="I121" s="72"/>
      <c r="J121" s="73"/>
      <c r="K121" s="62"/>
      <c r="L121" s="62"/>
      <c r="M121" s="62"/>
      <c r="N121" s="62"/>
      <c r="O121" s="62"/>
    </row>
    <row r="122" spans="1:15">
      <c r="A122" s="75">
        <f t="shared" si="1"/>
        <v>0</v>
      </c>
      <c r="B122" s="66"/>
      <c r="C122" s="66"/>
      <c r="D122" s="66"/>
      <c r="E122" s="68"/>
      <c r="F122" s="69"/>
      <c r="G122" s="70"/>
      <c r="H122" s="71"/>
      <c r="I122" s="72"/>
      <c r="J122" s="73"/>
      <c r="K122" s="62"/>
      <c r="L122" s="62"/>
      <c r="M122" s="62"/>
      <c r="N122" s="62"/>
      <c r="O122" s="62"/>
    </row>
    <row r="123" spans="1:15">
      <c r="A123" s="75">
        <f t="shared" si="1"/>
        <v>0</v>
      </c>
      <c r="B123" s="66"/>
      <c r="C123" s="66"/>
      <c r="D123" s="66"/>
      <c r="E123" s="68"/>
      <c r="F123" s="69"/>
      <c r="G123" s="70"/>
      <c r="H123" s="71"/>
      <c r="I123" s="72"/>
      <c r="J123" s="73"/>
      <c r="K123" s="62"/>
      <c r="L123" s="62"/>
      <c r="M123" s="62"/>
      <c r="N123" s="62"/>
      <c r="O123" s="62"/>
    </row>
    <row r="124" spans="1:15">
      <c r="A124" s="75">
        <f t="shared" si="1"/>
        <v>0</v>
      </c>
      <c r="B124" s="66"/>
      <c r="C124" s="66"/>
      <c r="D124" s="66"/>
      <c r="E124" s="68"/>
      <c r="F124" s="69"/>
      <c r="G124" s="70"/>
      <c r="H124" s="71"/>
      <c r="I124" s="72"/>
      <c r="J124" s="73"/>
      <c r="K124" s="62"/>
      <c r="L124" s="62"/>
      <c r="M124" s="62"/>
      <c r="N124" s="62"/>
      <c r="O124" s="62"/>
    </row>
    <row r="125" spans="1:15">
      <c r="A125" s="75">
        <f t="shared" si="1"/>
        <v>0</v>
      </c>
      <c r="B125" s="66"/>
      <c r="C125" s="66"/>
      <c r="D125" s="66"/>
      <c r="E125" s="68"/>
      <c r="F125" s="69"/>
      <c r="G125" s="70"/>
      <c r="H125" s="71"/>
      <c r="I125" s="72"/>
      <c r="J125" s="73"/>
      <c r="K125" s="62"/>
      <c r="L125" s="62"/>
      <c r="M125" s="62"/>
      <c r="N125" s="62"/>
      <c r="O125" s="62"/>
    </row>
    <row r="126" spans="1:15">
      <c r="A126" s="75">
        <f t="shared" si="1"/>
        <v>0</v>
      </c>
      <c r="B126" s="66"/>
      <c r="C126" s="66"/>
      <c r="D126" s="66"/>
      <c r="E126" s="68"/>
      <c r="F126" s="69"/>
      <c r="G126" s="70"/>
      <c r="H126" s="71"/>
      <c r="I126" s="72"/>
      <c r="J126" s="73"/>
      <c r="K126" s="62"/>
      <c r="L126" s="62"/>
      <c r="M126" s="62"/>
      <c r="N126" s="62"/>
      <c r="O126" s="62"/>
    </row>
    <row r="127" spans="1:15">
      <c r="A127" s="75">
        <f t="shared" si="1"/>
        <v>0</v>
      </c>
      <c r="B127" s="66"/>
      <c r="C127" s="66"/>
      <c r="D127" s="66"/>
      <c r="E127" s="68"/>
      <c r="F127" s="69"/>
      <c r="G127" s="70"/>
      <c r="H127" s="71"/>
      <c r="I127" s="72"/>
      <c r="J127" s="73"/>
      <c r="K127" s="62"/>
      <c r="L127" s="62"/>
      <c r="M127" s="62"/>
      <c r="N127" s="62"/>
      <c r="O127" s="62"/>
    </row>
    <row r="128" spans="1:15">
      <c r="A128" s="75">
        <f t="shared" si="1"/>
        <v>0</v>
      </c>
      <c r="B128" s="66"/>
      <c r="C128" s="66"/>
      <c r="D128" s="66"/>
      <c r="E128" s="68"/>
      <c r="F128" s="69"/>
      <c r="G128" s="70"/>
      <c r="H128" s="71"/>
      <c r="I128" s="72"/>
      <c r="J128" s="73"/>
      <c r="K128" s="62"/>
      <c r="L128" s="62"/>
      <c r="M128" s="62"/>
      <c r="N128" s="62"/>
      <c r="O128" s="62"/>
    </row>
    <row r="129" spans="1:15">
      <c r="A129" s="75">
        <f t="shared" si="1"/>
        <v>0</v>
      </c>
      <c r="B129" s="66"/>
      <c r="C129" s="66"/>
      <c r="D129" s="66"/>
      <c r="E129" s="68"/>
      <c r="F129" s="69"/>
      <c r="G129" s="70"/>
      <c r="H129" s="71"/>
      <c r="I129" s="72"/>
      <c r="J129" s="73"/>
      <c r="K129" s="62"/>
      <c r="L129" s="62"/>
      <c r="M129" s="62"/>
      <c r="N129" s="62"/>
      <c r="O129" s="62"/>
    </row>
    <row r="130" spans="1:15">
      <c r="A130" s="75">
        <f t="shared" si="1"/>
        <v>0</v>
      </c>
      <c r="B130" s="66"/>
      <c r="C130" s="66"/>
      <c r="D130" s="66"/>
      <c r="E130" s="68"/>
      <c r="F130" s="69"/>
      <c r="G130" s="70"/>
      <c r="H130" s="71"/>
      <c r="I130" s="72"/>
      <c r="J130" s="73"/>
      <c r="K130" s="62"/>
      <c r="L130" s="62"/>
      <c r="M130" s="62"/>
      <c r="N130" s="62"/>
      <c r="O130" s="62"/>
    </row>
    <row r="131" spans="1:15">
      <c r="A131" s="75">
        <f t="shared" si="1"/>
        <v>0</v>
      </c>
      <c r="B131" s="66"/>
      <c r="C131" s="66"/>
      <c r="D131" s="66"/>
      <c r="E131" s="68"/>
      <c r="F131" s="69"/>
      <c r="G131" s="70"/>
      <c r="H131" s="71"/>
      <c r="I131" s="72"/>
      <c r="J131" s="73"/>
      <c r="K131" s="62"/>
      <c r="L131" s="62"/>
      <c r="M131" s="62"/>
      <c r="N131" s="62"/>
      <c r="O131" s="62"/>
    </row>
    <row r="132" spans="1:15">
      <c r="A132" s="75">
        <f t="shared" si="1"/>
        <v>0</v>
      </c>
      <c r="B132" s="66"/>
      <c r="C132" s="66"/>
      <c r="D132" s="66"/>
      <c r="E132" s="68"/>
      <c r="F132" s="69"/>
      <c r="G132" s="70"/>
      <c r="H132" s="71"/>
      <c r="I132" s="72"/>
      <c r="J132" s="73"/>
      <c r="K132" s="62"/>
      <c r="L132" s="62"/>
      <c r="M132" s="62"/>
      <c r="N132" s="62"/>
      <c r="O132" s="62"/>
    </row>
    <row r="133" spans="1:15">
      <c r="A133" s="75">
        <f t="shared" si="1"/>
        <v>0</v>
      </c>
      <c r="B133" s="66"/>
      <c r="C133" s="66"/>
      <c r="D133" s="66"/>
      <c r="E133" s="68"/>
      <c r="F133" s="69"/>
      <c r="G133" s="70"/>
      <c r="H133" s="71"/>
      <c r="I133" s="72"/>
      <c r="J133" s="73"/>
      <c r="K133" s="62"/>
      <c r="L133" s="62"/>
      <c r="M133" s="62"/>
      <c r="N133" s="62"/>
      <c r="O133" s="62"/>
    </row>
    <row r="134" spans="1:15">
      <c r="A134" s="75">
        <f t="shared" si="1"/>
        <v>0</v>
      </c>
      <c r="B134" s="66"/>
      <c r="C134" s="66"/>
      <c r="D134" s="66"/>
      <c r="E134" s="68"/>
      <c r="F134" s="69"/>
      <c r="G134" s="70"/>
      <c r="H134" s="71"/>
      <c r="I134" s="72"/>
      <c r="J134" s="73"/>
      <c r="K134" s="62"/>
      <c r="L134" s="62"/>
      <c r="M134" s="62"/>
      <c r="N134" s="62"/>
      <c r="O134" s="62"/>
    </row>
    <row r="135" spans="1:15">
      <c r="A135" s="75">
        <f t="shared" si="1"/>
        <v>0</v>
      </c>
      <c r="B135" s="66"/>
      <c r="C135" s="66"/>
      <c r="D135" s="66"/>
      <c r="E135" s="68"/>
      <c r="F135" s="69"/>
      <c r="G135" s="70"/>
      <c r="H135" s="71"/>
      <c r="I135" s="72"/>
      <c r="J135" s="73"/>
      <c r="K135" s="62"/>
      <c r="L135" s="62"/>
      <c r="M135" s="62"/>
      <c r="N135" s="62"/>
      <c r="O135" s="62"/>
    </row>
    <row r="136" spans="1:15">
      <c r="A136" s="75">
        <f t="shared" si="1"/>
        <v>0</v>
      </c>
      <c r="B136" s="66"/>
      <c r="C136" s="66"/>
      <c r="D136" s="66"/>
      <c r="E136" s="68"/>
      <c r="F136" s="69"/>
      <c r="G136" s="70"/>
      <c r="H136" s="71"/>
      <c r="I136" s="72"/>
      <c r="J136" s="73"/>
      <c r="K136" s="62"/>
      <c r="L136" s="62"/>
      <c r="M136" s="62"/>
      <c r="N136" s="62"/>
      <c r="O136" s="62"/>
    </row>
    <row r="137" spans="1:15">
      <c r="A137" s="75">
        <f t="shared" si="1"/>
        <v>0</v>
      </c>
      <c r="B137" s="66"/>
      <c r="C137" s="66"/>
      <c r="D137" s="66"/>
      <c r="E137" s="68"/>
      <c r="F137" s="69"/>
      <c r="G137" s="70"/>
      <c r="H137" s="71"/>
      <c r="I137" s="72"/>
      <c r="J137" s="73"/>
      <c r="K137" s="62"/>
      <c r="L137" s="62"/>
      <c r="M137" s="62"/>
      <c r="N137" s="62"/>
      <c r="O137" s="62"/>
    </row>
    <row r="138" spans="1:15">
      <c r="A138" s="75">
        <f t="shared" ref="A138:A201" si="2">E138</f>
        <v>0</v>
      </c>
      <c r="B138" s="66"/>
      <c r="C138" s="66"/>
      <c r="D138" s="66"/>
      <c r="E138" s="68"/>
      <c r="F138" s="69"/>
      <c r="G138" s="70"/>
      <c r="H138" s="71"/>
      <c r="I138" s="72"/>
      <c r="J138" s="73"/>
      <c r="K138" s="62"/>
      <c r="L138" s="62"/>
      <c r="M138" s="62"/>
      <c r="N138" s="62"/>
      <c r="O138" s="62"/>
    </row>
    <row r="139" spans="1:15">
      <c r="A139" s="75">
        <f t="shared" si="2"/>
        <v>0</v>
      </c>
      <c r="B139" s="66"/>
      <c r="C139" s="66"/>
      <c r="D139" s="66"/>
      <c r="E139" s="68"/>
      <c r="F139" s="69"/>
      <c r="G139" s="70"/>
      <c r="H139" s="71"/>
      <c r="I139" s="72"/>
      <c r="J139" s="73"/>
      <c r="K139" s="62"/>
      <c r="L139" s="62"/>
      <c r="M139" s="62"/>
      <c r="N139" s="62"/>
      <c r="O139" s="62"/>
    </row>
    <row r="140" spans="1:15">
      <c r="A140" s="75">
        <f t="shared" si="2"/>
        <v>0</v>
      </c>
      <c r="B140" s="66"/>
      <c r="C140" s="66"/>
      <c r="D140" s="66"/>
      <c r="E140" s="68"/>
      <c r="F140" s="69"/>
      <c r="G140" s="70"/>
      <c r="H140" s="71"/>
      <c r="I140" s="72"/>
      <c r="J140" s="73"/>
      <c r="K140" s="62"/>
      <c r="L140" s="62"/>
      <c r="M140" s="62"/>
      <c r="N140" s="62"/>
      <c r="O140" s="62"/>
    </row>
    <row r="141" spans="1:15">
      <c r="A141" s="75">
        <f t="shared" si="2"/>
        <v>0</v>
      </c>
      <c r="B141" s="66"/>
      <c r="C141" s="66"/>
      <c r="D141" s="66"/>
      <c r="E141" s="68"/>
      <c r="F141" s="69"/>
      <c r="G141" s="70"/>
      <c r="H141" s="71"/>
      <c r="I141" s="72"/>
      <c r="J141" s="73"/>
      <c r="K141" s="62"/>
      <c r="L141" s="62"/>
      <c r="M141" s="62"/>
      <c r="N141" s="62"/>
      <c r="O141" s="62"/>
    </row>
    <row r="142" spans="1:15">
      <c r="A142" s="75">
        <f t="shared" si="2"/>
        <v>0</v>
      </c>
      <c r="B142" s="66"/>
      <c r="C142" s="66"/>
      <c r="D142" s="66"/>
      <c r="E142" s="68"/>
      <c r="F142" s="69"/>
      <c r="G142" s="70"/>
      <c r="H142" s="71"/>
      <c r="I142" s="72"/>
      <c r="J142" s="73"/>
      <c r="K142" s="62"/>
      <c r="L142" s="62"/>
      <c r="M142" s="62"/>
      <c r="N142" s="62"/>
      <c r="O142" s="62"/>
    </row>
    <row r="143" spans="1:15">
      <c r="A143" s="75">
        <f t="shared" si="2"/>
        <v>0</v>
      </c>
      <c r="B143" s="66"/>
      <c r="C143" s="66"/>
      <c r="D143" s="66"/>
      <c r="E143" s="68"/>
      <c r="F143" s="69"/>
      <c r="G143" s="70"/>
      <c r="H143" s="71"/>
      <c r="I143" s="72"/>
      <c r="J143" s="73"/>
      <c r="K143" s="62"/>
      <c r="L143" s="62"/>
      <c r="M143" s="62"/>
      <c r="N143" s="62"/>
      <c r="O143" s="62"/>
    </row>
    <row r="144" spans="1:15">
      <c r="A144" s="75">
        <f t="shared" si="2"/>
        <v>0</v>
      </c>
      <c r="B144" s="66"/>
      <c r="C144" s="66"/>
      <c r="D144" s="66"/>
      <c r="E144" s="68"/>
      <c r="F144" s="69"/>
      <c r="G144" s="70"/>
      <c r="H144" s="71"/>
      <c r="I144" s="72"/>
      <c r="J144" s="73"/>
      <c r="K144" s="62"/>
      <c r="L144" s="62"/>
      <c r="M144" s="62"/>
      <c r="N144" s="62"/>
      <c r="O144" s="62"/>
    </row>
    <row r="145" spans="1:15">
      <c r="A145" s="75">
        <f t="shared" si="2"/>
        <v>0</v>
      </c>
      <c r="B145" s="66"/>
      <c r="C145" s="66"/>
      <c r="D145" s="66"/>
      <c r="E145" s="68"/>
      <c r="F145" s="69"/>
      <c r="G145" s="70"/>
      <c r="H145" s="71"/>
      <c r="I145" s="72"/>
      <c r="J145" s="73"/>
      <c r="K145" s="62"/>
      <c r="L145" s="62"/>
      <c r="M145" s="62"/>
      <c r="N145" s="62"/>
      <c r="O145" s="62"/>
    </row>
    <row r="146" spans="1:15">
      <c r="A146" s="75">
        <f t="shared" si="2"/>
        <v>0</v>
      </c>
      <c r="B146" s="66"/>
      <c r="C146" s="66"/>
      <c r="D146" s="66"/>
      <c r="E146" s="68"/>
      <c r="F146" s="69"/>
      <c r="G146" s="70"/>
      <c r="H146" s="71"/>
      <c r="I146" s="72"/>
      <c r="J146" s="73"/>
      <c r="K146" s="62"/>
      <c r="L146" s="62"/>
      <c r="M146" s="62"/>
      <c r="N146" s="62"/>
      <c r="O146" s="62"/>
    </row>
    <row r="147" spans="1:15">
      <c r="A147" s="75">
        <f t="shared" si="2"/>
        <v>0</v>
      </c>
      <c r="B147" s="66"/>
      <c r="C147" s="66"/>
      <c r="D147" s="66"/>
      <c r="E147" s="68"/>
      <c r="F147" s="69"/>
      <c r="G147" s="70"/>
      <c r="H147" s="71"/>
      <c r="I147" s="72"/>
      <c r="J147" s="73"/>
      <c r="K147" s="62"/>
      <c r="L147" s="62"/>
      <c r="M147" s="62"/>
      <c r="N147" s="62"/>
      <c r="O147" s="62"/>
    </row>
    <row r="148" spans="1:15">
      <c r="A148" s="75">
        <f t="shared" si="2"/>
        <v>0</v>
      </c>
      <c r="B148" s="66"/>
      <c r="C148" s="66"/>
      <c r="D148" s="66"/>
      <c r="E148" s="68"/>
      <c r="F148" s="69"/>
      <c r="G148" s="70"/>
      <c r="H148" s="71"/>
      <c r="I148" s="72"/>
      <c r="J148" s="73"/>
      <c r="K148" s="62"/>
      <c r="L148" s="62"/>
      <c r="M148" s="62"/>
      <c r="N148" s="62"/>
      <c r="O148" s="62"/>
    </row>
    <row r="149" spans="1:15">
      <c r="A149" s="75">
        <f t="shared" si="2"/>
        <v>0</v>
      </c>
      <c r="B149" s="66"/>
      <c r="C149" s="66"/>
      <c r="D149" s="66"/>
      <c r="E149" s="68"/>
      <c r="F149" s="69"/>
      <c r="G149" s="70"/>
      <c r="H149" s="71"/>
      <c r="I149" s="72"/>
      <c r="J149" s="73"/>
      <c r="K149" s="62"/>
      <c r="L149" s="62"/>
      <c r="M149" s="62"/>
      <c r="N149" s="62"/>
      <c r="O149" s="62"/>
    </row>
    <row r="150" spans="1:15">
      <c r="A150" s="75">
        <f t="shared" si="2"/>
        <v>0</v>
      </c>
      <c r="B150" s="66"/>
      <c r="C150" s="66"/>
      <c r="D150" s="66"/>
      <c r="E150" s="68"/>
      <c r="F150" s="69"/>
      <c r="G150" s="70"/>
      <c r="H150" s="71"/>
      <c r="I150" s="72"/>
      <c r="J150" s="73"/>
      <c r="K150" s="62"/>
      <c r="L150" s="62"/>
      <c r="M150" s="62"/>
      <c r="N150" s="62"/>
      <c r="O150" s="62"/>
    </row>
    <row r="151" spans="1:15">
      <c r="A151" s="75">
        <f t="shared" si="2"/>
        <v>0</v>
      </c>
      <c r="B151" s="66"/>
      <c r="C151" s="66"/>
      <c r="D151" s="66"/>
      <c r="E151" s="68"/>
      <c r="F151" s="69"/>
      <c r="G151" s="70"/>
      <c r="H151" s="71"/>
      <c r="I151" s="72"/>
      <c r="J151" s="73"/>
      <c r="K151" s="62"/>
      <c r="L151" s="62"/>
      <c r="M151" s="62"/>
      <c r="N151" s="62"/>
      <c r="O151" s="62"/>
    </row>
    <row r="152" spans="1:15">
      <c r="A152" s="75">
        <f t="shared" si="2"/>
        <v>0</v>
      </c>
      <c r="B152" s="66"/>
      <c r="C152" s="66"/>
      <c r="D152" s="66"/>
      <c r="E152" s="68"/>
      <c r="F152" s="69"/>
      <c r="G152" s="70"/>
      <c r="H152" s="71"/>
      <c r="I152" s="72"/>
      <c r="J152" s="73"/>
      <c r="K152" s="62"/>
      <c r="L152" s="62"/>
      <c r="M152" s="62"/>
      <c r="N152" s="62"/>
      <c r="O152" s="62"/>
    </row>
    <row r="153" spans="1:15">
      <c r="A153" s="75">
        <f t="shared" si="2"/>
        <v>0</v>
      </c>
      <c r="B153" s="66"/>
      <c r="C153" s="66"/>
      <c r="D153" s="66"/>
      <c r="E153" s="68"/>
      <c r="F153" s="69"/>
      <c r="G153" s="70"/>
      <c r="H153" s="71"/>
      <c r="I153" s="72"/>
      <c r="J153" s="73"/>
      <c r="K153" s="62"/>
      <c r="L153" s="62"/>
      <c r="M153" s="62"/>
      <c r="N153" s="62"/>
      <c r="O153" s="62"/>
    </row>
    <row r="154" spans="1:15">
      <c r="A154" s="75">
        <f t="shared" si="2"/>
        <v>0</v>
      </c>
      <c r="B154" s="66"/>
      <c r="C154" s="66"/>
      <c r="D154" s="66"/>
      <c r="E154" s="68"/>
      <c r="F154" s="69"/>
      <c r="G154" s="70"/>
      <c r="H154" s="71"/>
      <c r="I154" s="72"/>
      <c r="J154" s="73"/>
      <c r="K154" s="62"/>
      <c r="L154" s="62"/>
      <c r="M154" s="62"/>
      <c r="N154" s="62"/>
      <c r="O154" s="62"/>
    </row>
    <row r="155" spans="1:15">
      <c r="A155" s="75">
        <f t="shared" si="2"/>
        <v>0</v>
      </c>
      <c r="B155" s="66"/>
      <c r="C155" s="66"/>
      <c r="D155" s="66"/>
      <c r="E155" s="68"/>
      <c r="F155" s="69"/>
      <c r="G155" s="70"/>
      <c r="H155" s="71"/>
      <c r="I155" s="72"/>
      <c r="J155" s="73"/>
      <c r="K155" s="62"/>
      <c r="L155" s="62"/>
      <c r="M155" s="62"/>
      <c r="N155" s="62"/>
      <c r="O155" s="62"/>
    </row>
    <row r="156" spans="1:15">
      <c r="A156" s="75">
        <f t="shared" si="2"/>
        <v>0</v>
      </c>
      <c r="B156" s="66"/>
      <c r="C156" s="66"/>
      <c r="D156" s="66"/>
      <c r="E156" s="68"/>
      <c r="F156" s="69"/>
      <c r="G156" s="70"/>
      <c r="H156" s="71"/>
      <c r="I156" s="72"/>
      <c r="J156" s="73"/>
      <c r="K156" s="62"/>
      <c r="L156" s="62"/>
      <c r="M156" s="62"/>
      <c r="N156" s="62"/>
      <c r="O156" s="62"/>
    </row>
    <row r="157" spans="1:15">
      <c r="A157" s="75">
        <f t="shared" si="2"/>
        <v>0</v>
      </c>
      <c r="B157" s="66"/>
      <c r="C157" s="66"/>
      <c r="D157" s="66"/>
      <c r="E157" s="68"/>
      <c r="F157" s="69"/>
      <c r="G157" s="70"/>
      <c r="H157" s="71"/>
      <c r="I157" s="72"/>
      <c r="J157" s="73"/>
      <c r="K157" s="62"/>
      <c r="L157" s="62"/>
      <c r="M157" s="62"/>
      <c r="N157" s="62"/>
      <c r="O157" s="62"/>
    </row>
    <row r="158" spans="1:15">
      <c r="A158" s="75">
        <f t="shared" si="2"/>
        <v>0</v>
      </c>
      <c r="B158" s="66"/>
      <c r="C158" s="66"/>
      <c r="D158" s="66"/>
      <c r="E158" s="68"/>
      <c r="F158" s="69"/>
      <c r="G158" s="70"/>
      <c r="H158" s="71"/>
      <c r="I158" s="72"/>
      <c r="J158" s="73"/>
      <c r="K158" s="62"/>
      <c r="L158" s="62"/>
      <c r="M158" s="62"/>
      <c r="N158" s="62"/>
      <c r="O158" s="62"/>
    </row>
    <row r="159" spans="1:15">
      <c r="A159" s="75">
        <f t="shared" si="2"/>
        <v>0</v>
      </c>
      <c r="B159" s="66"/>
      <c r="C159" s="66"/>
      <c r="D159" s="66"/>
      <c r="E159" s="68"/>
      <c r="F159" s="69"/>
      <c r="G159" s="70"/>
      <c r="H159" s="71"/>
      <c r="I159" s="72"/>
      <c r="J159" s="73"/>
      <c r="K159" s="62"/>
      <c r="L159" s="62"/>
      <c r="M159" s="62"/>
      <c r="N159" s="62"/>
      <c r="O159" s="62"/>
    </row>
    <row r="160" spans="1:15">
      <c r="A160" s="75">
        <f t="shared" si="2"/>
        <v>0</v>
      </c>
      <c r="B160" s="66"/>
      <c r="C160" s="66"/>
      <c r="D160" s="66"/>
      <c r="E160" s="68"/>
      <c r="F160" s="69"/>
      <c r="G160" s="70"/>
      <c r="H160" s="71"/>
      <c r="I160" s="72"/>
      <c r="J160" s="73"/>
      <c r="K160" s="62"/>
      <c r="L160" s="62"/>
      <c r="M160" s="62"/>
      <c r="N160" s="62"/>
      <c r="O160" s="62"/>
    </row>
    <row r="161" spans="1:15">
      <c r="A161" s="75">
        <f t="shared" si="2"/>
        <v>0</v>
      </c>
      <c r="B161" s="66"/>
      <c r="C161" s="66"/>
      <c r="D161" s="66"/>
      <c r="E161" s="68"/>
      <c r="F161" s="69"/>
      <c r="G161" s="70"/>
      <c r="H161" s="71"/>
      <c r="I161" s="72"/>
      <c r="J161" s="73"/>
      <c r="K161" s="62"/>
      <c r="L161" s="62"/>
      <c r="M161" s="62"/>
      <c r="N161" s="62"/>
      <c r="O161" s="62"/>
    </row>
    <row r="162" spans="1:15">
      <c r="A162" s="75">
        <f t="shared" si="2"/>
        <v>0</v>
      </c>
      <c r="B162" s="66"/>
      <c r="C162" s="66"/>
      <c r="D162" s="66"/>
      <c r="E162" s="68"/>
      <c r="F162" s="69"/>
      <c r="G162" s="70"/>
      <c r="H162" s="71"/>
      <c r="I162" s="72"/>
      <c r="J162" s="73"/>
      <c r="K162" s="62"/>
      <c r="L162" s="62"/>
      <c r="M162" s="62"/>
      <c r="N162" s="62"/>
      <c r="O162" s="62"/>
    </row>
    <row r="163" spans="1:15">
      <c r="A163" s="75">
        <f t="shared" si="2"/>
        <v>0</v>
      </c>
      <c r="B163" s="66"/>
      <c r="C163" s="66"/>
      <c r="D163" s="66"/>
      <c r="E163" s="68"/>
      <c r="F163" s="69"/>
      <c r="G163" s="70"/>
      <c r="H163" s="71"/>
      <c r="I163" s="72"/>
      <c r="J163" s="73"/>
      <c r="K163" s="62"/>
      <c r="L163" s="62"/>
      <c r="M163" s="62"/>
      <c r="N163" s="62"/>
      <c r="O163" s="62"/>
    </row>
    <row r="164" spans="1:15">
      <c r="A164" s="75">
        <f t="shared" si="2"/>
        <v>0</v>
      </c>
      <c r="B164" s="66"/>
      <c r="C164" s="66"/>
      <c r="D164" s="66"/>
      <c r="E164" s="68"/>
      <c r="F164" s="69"/>
      <c r="G164" s="70"/>
      <c r="H164" s="71"/>
      <c r="I164" s="72"/>
      <c r="J164" s="73"/>
      <c r="K164" s="62"/>
      <c r="L164" s="62"/>
      <c r="M164" s="62"/>
      <c r="N164" s="62"/>
      <c r="O164" s="62"/>
    </row>
    <row r="165" spans="1:15">
      <c r="A165" s="75">
        <f t="shared" si="2"/>
        <v>0</v>
      </c>
      <c r="B165" s="66"/>
      <c r="C165" s="66"/>
      <c r="D165" s="66"/>
      <c r="E165" s="68"/>
      <c r="F165" s="69"/>
      <c r="G165" s="70"/>
      <c r="H165" s="71"/>
      <c r="I165" s="72"/>
      <c r="J165" s="73"/>
      <c r="K165" s="62"/>
      <c r="L165" s="62"/>
      <c r="M165" s="62"/>
      <c r="N165" s="62"/>
      <c r="O165" s="62"/>
    </row>
    <row r="166" spans="1:15">
      <c r="A166" s="75">
        <f t="shared" si="2"/>
        <v>0</v>
      </c>
      <c r="B166" s="66"/>
      <c r="C166" s="66"/>
      <c r="D166" s="66"/>
      <c r="E166" s="68"/>
      <c r="F166" s="69"/>
      <c r="G166" s="70"/>
      <c r="H166" s="71"/>
      <c r="I166" s="72"/>
      <c r="J166" s="73"/>
      <c r="K166" s="62"/>
      <c r="L166" s="62"/>
      <c r="M166" s="62"/>
      <c r="N166" s="62"/>
      <c r="O166" s="62"/>
    </row>
    <row r="167" spans="1:15">
      <c r="A167" s="75">
        <f t="shared" si="2"/>
        <v>0</v>
      </c>
      <c r="B167" s="66"/>
      <c r="C167" s="66"/>
      <c r="D167" s="66"/>
      <c r="E167" s="68"/>
      <c r="F167" s="69"/>
      <c r="G167" s="70"/>
      <c r="H167" s="71"/>
      <c r="I167" s="72"/>
      <c r="J167" s="73"/>
      <c r="K167" s="62"/>
      <c r="L167" s="62"/>
      <c r="M167" s="62"/>
      <c r="N167" s="62"/>
      <c r="O167" s="62"/>
    </row>
    <row r="168" spans="1:15">
      <c r="A168" s="75">
        <f t="shared" si="2"/>
        <v>0</v>
      </c>
      <c r="B168" s="66"/>
      <c r="C168" s="66"/>
      <c r="D168" s="66"/>
      <c r="E168" s="68"/>
      <c r="F168" s="69"/>
      <c r="G168" s="70"/>
      <c r="H168" s="71"/>
      <c r="I168" s="72"/>
      <c r="J168" s="73"/>
      <c r="K168" s="62"/>
      <c r="L168" s="62"/>
      <c r="M168" s="62"/>
      <c r="N168" s="62"/>
      <c r="O168" s="62"/>
    </row>
    <row r="169" spans="1:15">
      <c r="A169" s="75">
        <f t="shared" si="2"/>
        <v>0</v>
      </c>
      <c r="B169" s="66"/>
      <c r="C169" s="66"/>
      <c r="D169" s="66"/>
      <c r="E169" s="68"/>
      <c r="F169" s="69"/>
      <c r="G169" s="70"/>
      <c r="H169" s="71"/>
      <c r="I169" s="72"/>
      <c r="J169" s="73"/>
      <c r="K169" s="62"/>
      <c r="L169" s="62"/>
      <c r="M169" s="62"/>
      <c r="N169" s="62"/>
      <c r="O169" s="62"/>
    </row>
    <row r="170" spans="1:15">
      <c r="A170" s="75">
        <f t="shared" si="2"/>
        <v>0</v>
      </c>
      <c r="B170" s="66"/>
      <c r="C170" s="66"/>
      <c r="D170" s="66"/>
      <c r="E170" s="68"/>
      <c r="F170" s="69"/>
      <c r="G170" s="70"/>
      <c r="H170" s="71"/>
      <c r="I170" s="72"/>
      <c r="J170" s="73"/>
      <c r="K170" s="62"/>
      <c r="L170" s="62"/>
      <c r="M170" s="62"/>
      <c r="N170" s="62"/>
      <c r="O170" s="62"/>
    </row>
    <row r="171" spans="1:15">
      <c r="A171" s="75">
        <f t="shared" si="2"/>
        <v>0</v>
      </c>
      <c r="B171" s="66"/>
      <c r="C171" s="66"/>
      <c r="D171" s="66"/>
      <c r="E171" s="68"/>
      <c r="F171" s="69"/>
      <c r="G171" s="70"/>
      <c r="H171" s="71"/>
      <c r="I171" s="72"/>
      <c r="J171" s="73"/>
      <c r="K171" s="62"/>
      <c r="L171" s="62"/>
      <c r="M171" s="62"/>
      <c r="N171" s="62"/>
      <c r="O171" s="62"/>
    </row>
    <row r="172" spans="1:15">
      <c r="A172" s="75">
        <f t="shared" si="2"/>
        <v>0</v>
      </c>
      <c r="B172" s="66"/>
      <c r="C172" s="66"/>
      <c r="D172" s="66"/>
      <c r="E172" s="68"/>
      <c r="F172" s="69"/>
      <c r="G172" s="70"/>
      <c r="H172" s="71"/>
      <c r="I172" s="72"/>
      <c r="J172" s="73"/>
      <c r="K172" s="62"/>
      <c r="L172" s="62"/>
      <c r="M172" s="62"/>
      <c r="N172" s="62"/>
      <c r="O172" s="62"/>
    </row>
    <row r="173" spans="1:15">
      <c r="A173" s="75">
        <f t="shared" si="2"/>
        <v>0</v>
      </c>
      <c r="B173" s="66"/>
      <c r="C173" s="66"/>
      <c r="D173" s="66"/>
      <c r="E173" s="68"/>
      <c r="F173" s="69"/>
      <c r="G173" s="70"/>
      <c r="H173" s="71"/>
      <c r="I173" s="72"/>
      <c r="J173" s="73"/>
      <c r="K173" s="62"/>
      <c r="L173" s="62"/>
      <c r="M173" s="62"/>
      <c r="N173" s="62"/>
      <c r="O173" s="62"/>
    </row>
    <row r="174" spans="1:15">
      <c r="A174" s="75">
        <f t="shared" si="2"/>
        <v>0</v>
      </c>
      <c r="B174" s="66"/>
      <c r="C174" s="66"/>
      <c r="D174" s="66"/>
      <c r="E174" s="68"/>
      <c r="F174" s="69"/>
      <c r="G174" s="70"/>
      <c r="H174" s="71"/>
      <c r="I174" s="72"/>
      <c r="J174" s="73"/>
      <c r="K174" s="62"/>
      <c r="L174" s="62"/>
      <c r="M174" s="62"/>
      <c r="N174" s="62"/>
      <c r="O174" s="62"/>
    </row>
    <row r="175" spans="1:15">
      <c r="A175" s="75">
        <f t="shared" si="2"/>
        <v>0</v>
      </c>
      <c r="B175" s="66"/>
      <c r="C175" s="66"/>
      <c r="D175" s="66"/>
      <c r="E175" s="68"/>
      <c r="F175" s="69"/>
      <c r="G175" s="70"/>
      <c r="H175" s="71"/>
      <c r="I175" s="72"/>
      <c r="J175" s="73"/>
      <c r="K175" s="62"/>
      <c r="L175" s="62"/>
      <c r="M175" s="62"/>
      <c r="N175" s="62"/>
      <c r="O175" s="62"/>
    </row>
    <row r="176" spans="1:15">
      <c r="A176" s="75">
        <f t="shared" si="2"/>
        <v>0</v>
      </c>
      <c r="B176" s="66"/>
      <c r="C176" s="66"/>
      <c r="D176" s="66"/>
      <c r="E176" s="68"/>
      <c r="F176" s="69"/>
      <c r="G176" s="70"/>
      <c r="H176" s="71"/>
      <c r="I176" s="72"/>
      <c r="J176" s="73"/>
      <c r="K176" s="62"/>
      <c r="L176" s="62"/>
      <c r="M176" s="62"/>
      <c r="N176" s="62"/>
      <c r="O176" s="62"/>
    </row>
    <row r="177" spans="1:15">
      <c r="A177" s="75">
        <f t="shared" si="2"/>
        <v>0</v>
      </c>
      <c r="B177" s="66"/>
      <c r="C177" s="66"/>
      <c r="D177" s="66"/>
      <c r="E177" s="68"/>
      <c r="F177" s="69"/>
      <c r="G177" s="70"/>
      <c r="H177" s="71"/>
      <c r="I177" s="72"/>
      <c r="J177" s="73"/>
      <c r="K177" s="62"/>
      <c r="L177" s="62"/>
      <c r="M177" s="62"/>
      <c r="N177" s="62"/>
      <c r="O177" s="62"/>
    </row>
    <row r="178" spans="1:15">
      <c r="A178" s="75">
        <f t="shared" si="2"/>
        <v>0</v>
      </c>
      <c r="B178" s="66"/>
      <c r="C178" s="66"/>
      <c r="D178" s="66"/>
      <c r="E178" s="68"/>
      <c r="F178" s="69"/>
      <c r="G178" s="70"/>
      <c r="H178" s="71"/>
      <c r="I178" s="72"/>
      <c r="J178" s="73"/>
      <c r="K178" s="62"/>
      <c r="L178" s="62"/>
      <c r="M178" s="62"/>
      <c r="N178" s="62"/>
      <c r="O178" s="62"/>
    </row>
    <row r="179" spans="1:15">
      <c r="A179" s="75">
        <f t="shared" si="2"/>
        <v>0</v>
      </c>
      <c r="B179" s="66"/>
      <c r="C179" s="66"/>
      <c r="D179" s="66"/>
      <c r="E179" s="68"/>
      <c r="F179" s="69"/>
      <c r="G179" s="70"/>
      <c r="H179" s="71"/>
      <c r="I179" s="72"/>
      <c r="J179" s="73"/>
      <c r="K179" s="62"/>
      <c r="L179" s="62"/>
      <c r="M179" s="62"/>
      <c r="N179" s="62"/>
      <c r="O179" s="62"/>
    </row>
    <row r="180" spans="1:15">
      <c r="A180" s="75">
        <f t="shared" si="2"/>
        <v>0</v>
      </c>
      <c r="B180" s="66"/>
      <c r="C180" s="66"/>
      <c r="D180" s="66"/>
      <c r="E180" s="68"/>
      <c r="F180" s="69"/>
      <c r="G180" s="70"/>
      <c r="H180" s="71"/>
      <c r="I180" s="72"/>
      <c r="J180" s="73"/>
      <c r="K180" s="62"/>
      <c r="L180" s="62"/>
      <c r="M180" s="62"/>
      <c r="N180" s="62"/>
      <c r="O180" s="62"/>
    </row>
    <row r="181" spans="1:15">
      <c r="A181" s="75">
        <f t="shared" si="2"/>
        <v>0</v>
      </c>
      <c r="B181" s="66"/>
      <c r="C181" s="66"/>
      <c r="D181" s="66"/>
      <c r="E181" s="68"/>
      <c r="F181" s="69"/>
      <c r="G181" s="70"/>
      <c r="H181" s="71"/>
      <c r="I181" s="72"/>
      <c r="J181" s="73"/>
      <c r="K181" s="62"/>
      <c r="L181" s="62"/>
      <c r="M181" s="62"/>
      <c r="N181" s="62"/>
      <c r="O181" s="62"/>
    </row>
    <row r="182" spans="1:15">
      <c r="A182" s="75">
        <f t="shared" si="2"/>
        <v>0</v>
      </c>
      <c r="B182" s="66"/>
      <c r="C182" s="66"/>
      <c r="D182" s="66"/>
      <c r="E182" s="68"/>
      <c r="F182" s="69"/>
      <c r="G182" s="70"/>
      <c r="H182" s="71"/>
      <c r="I182" s="72"/>
      <c r="J182" s="73"/>
      <c r="K182" s="62"/>
      <c r="L182" s="62"/>
      <c r="M182" s="62"/>
      <c r="N182" s="62"/>
      <c r="O182" s="62"/>
    </row>
    <row r="183" spans="1:15">
      <c r="A183" s="75">
        <f t="shared" si="2"/>
        <v>0</v>
      </c>
      <c r="B183" s="66"/>
      <c r="C183" s="66"/>
      <c r="D183" s="66"/>
      <c r="E183" s="68"/>
      <c r="F183" s="69"/>
      <c r="G183" s="70"/>
      <c r="H183" s="71"/>
      <c r="I183" s="72"/>
      <c r="J183" s="73"/>
      <c r="K183" s="62"/>
      <c r="L183" s="62"/>
      <c r="M183" s="62"/>
      <c r="N183" s="62"/>
      <c r="O183" s="62"/>
    </row>
    <row r="184" spans="1:15">
      <c r="A184" s="75">
        <f t="shared" si="2"/>
        <v>0</v>
      </c>
      <c r="B184" s="66"/>
      <c r="C184" s="66"/>
      <c r="D184" s="66"/>
      <c r="E184" s="68"/>
      <c r="F184" s="69"/>
      <c r="G184" s="70"/>
      <c r="H184" s="71"/>
      <c r="I184" s="72"/>
      <c r="J184" s="73"/>
      <c r="K184" s="62"/>
      <c r="L184" s="62"/>
      <c r="M184" s="62"/>
      <c r="N184" s="62"/>
      <c r="O184" s="62"/>
    </row>
    <row r="185" spans="1:15">
      <c r="A185" s="75">
        <f t="shared" si="2"/>
        <v>0</v>
      </c>
      <c r="B185" s="66"/>
      <c r="C185" s="66"/>
      <c r="D185" s="66"/>
      <c r="E185" s="68"/>
      <c r="F185" s="69"/>
      <c r="G185" s="70"/>
      <c r="H185" s="71"/>
      <c r="I185" s="72"/>
      <c r="J185" s="73"/>
      <c r="K185" s="62"/>
      <c r="L185" s="62"/>
      <c r="M185" s="62"/>
      <c r="N185" s="62"/>
      <c r="O185" s="62"/>
    </row>
    <row r="186" spans="1:15">
      <c r="A186" s="75">
        <f t="shared" si="2"/>
        <v>0</v>
      </c>
      <c r="B186" s="66"/>
      <c r="C186" s="66"/>
      <c r="D186" s="66"/>
      <c r="E186" s="68"/>
      <c r="F186" s="69"/>
      <c r="G186" s="70"/>
      <c r="H186" s="71"/>
      <c r="I186" s="72"/>
      <c r="J186" s="73"/>
      <c r="K186" s="62"/>
      <c r="L186" s="62"/>
      <c r="M186" s="62"/>
      <c r="N186" s="62"/>
      <c r="O186" s="62"/>
    </row>
    <row r="187" spans="1:15">
      <c r="A187" s="75">
        <f t="shared" si="2"/>
        <v>0</v>
      </c>
      <c r="B187" s="66"/>
      <c r="C187" s="66"/>
      <c r="D187" s="66"/>
      <c r="E187" s="68"/>
      <c r="F187" s="69"/>
      <c r="G187" s="70"/>
      <c r="H187" s="71"/>
      <c r="I187" s="72"/>
      <c r="J187" s="73"/>
      <c r="K187" s="62"/>
      <c r="L187" s="62"/>
      <c r="M187" s="62"/>
      <c r="N187" s="62"/>
      <c r="O187" s="62"/>
    </row>
    <row r="188" spans="1:15">
      <c r="A188" s="75">
        <f t="shared" si="2"/>
        <v>0</v>
      </c>
      <c r="B188" s="66"/>
      <c r="C188" s="66"/>
      <c r="D188" s="66"/>
      <c r="E188" s="68"/>
      <c r="F188" s="69"/>
      <c r="G188" s="70"/>
      <c r="H188" s="71"/>
      <c r="I188" s="72"/>
      <c r="J188" s="73"/>
      <c r="K188" s="62"/>
      <c r="L188" s="62"/>
      <c r="M188" s="62"/>
      <c r="N188" s="62"/>
      <c r="O188" s="62"/>
    </row>
    <row r="189" spans="1:15">
      <c r="A189" s="75">
        <f t="shared" si="2"/>
        <v>0</v>
      </c>
      <c r="B189" s="66"/>
      <c r="C189" s="66"/>
      <c r="D189" s="66"/>
      <c r="E189" s="68"/>
      <c r="F189" s="69"/>
      <c r="G189" s="70"/>
      <c r="H189" s="71"/>
      <c r="I189" s="72"/>
      <c r="J189" s="73"/>
      <c r="K189" s="62"/>
      <c r="L189" s="62"/>
      <c r="M189" s="62"/>
      <c r="N189" s="62"/>
      <c r="O189" s="62"/>
    </row>
    <row r="190" spans="1:15">
      <c r="A190" s="75">
        <f t="shared" si="2"/>
        <v>0</v>
      </c>
      <c r="B190" s="66"/>
      <c r="C190" s="66"/>
      <c r="D190" s="66"/>
      <c r="E190" s="68"/>
      <c r="F190" s="69"/>
      <c r="G190" s="70"/>
      <c r="H190" s="71"/>
      <c r="I190" s="72"/>
      <c r="J190" s="73"/>
      <c r="K190" s="62"/>
      <c r="L190" s="62"/>
      <c r="M190" s="62"/>
      <c r="N190" s="62"/>
      <c r="O190" s="62"/>
    </row>
    <row r="191" spans="1:15">
      <c r="A191" s="75">
        <f t="shared" si="2"/>
        <v>0</v>
      </c>
      <c r="B191" s="66"/>
      <c r="C191" s="66"/>
      <c r="D191" s="66"/>
      <c r="E191" s="68"/>
      <c r="F191" s="69"/>
      <c r="G191" s="70"/>
      <c r="H191" s="71"/>
      <c r="I191" s="72"/>
      <c r="J191" s="73"/>
      <c r="K191" s="62"/>
      <c r="L191" s="62"/>
      <c r="M191" s="62"/>
      <c r="N191" s="62"/>
      <c r="O191" s="62"/>
    </row>
    <row r="192" spans="1:15">
      <c r="A192" s="75">
        <f t="shared" si="2"/>
        <v>0</v>
      </c>
      <c r="B192" s="66"/>
      <c r="C192" s="66"/>
      <c r="D192" s="66"/>
      <c r="E192" s="68"/>
      <c r="F192" s="69"/>
      <c r="G192" s="70"/>
      <c r="H192" s="71"/>
      <c r="I192" s="72"/>
      <c r="J192" s="73"/>
      <c r="K192" s="62"/>
      <c r="L192" s="62"/>
      <c r="M192" s="62"/>
      <c r="N192" s="62"/>
      <c r="O192" s="62"/>
    </row>
    <row r="193" spans="1:15">
      <c r="A193" s="75">
        <f t="shared" si="2"/>
        <v>0</v>
      </c>
      <c r="B193" s="66"/>
      <c r="C193" s="66"/>
      <c r="D193" s="66"/>
      <c r="E193" s="68"/>
      <c r="F193" s="69"/>
      <c r="G193" s="70"/>
      <c r="H193" s="71"/>
      <c r="I193" s="72"/>
      <c r="J193" s="73"/>
      <c r="K193" s="62"/>
      <c r="L193" s="62"/>
      <c r="M193" s="62"/>
      <c r="N193" s="62"/>
      <c r="O193" s="62"/>
    </row>
    <row r="194" spans="1:15">
      <c r="A194" s="75">
        <f t="shared" si="2"/>
        <v>0</v>
      </c>
      <c r="B194" s="66"/>
      <c r="C194" s="66"/>
      <c r="D194" s="66"/>
      <c r="E194" s="68"/>
      <c r="F194" s="69"/>
      <c r="G194" s="70"/>
      <c r="H194" s="71"/>
      <c r="I194" s="72"/>
      <c r="J194" s="73"/>
      <c r="K194" s="62"/>
      <c r="L194" s="62"/>
      <c r="M194" s="62"/>
      <c r="N194" s="62"/>
      <c r="O194" s="62"/>
    </row>
    <row r="195" spans="1:15">
      <c r="A195" s="75">
        <f t="shared" si="2"/>
        <v>0</v>
      </c>
      <c r="B195" s="66"/>
      <c r="C195" s="66"/>
      <c r="D195" s="66"/>
      <c r="E195" s="68"/>
      <c r="F195" s="69"/>
      <c r="G195" s="70"/>
      <c r="H195" s="71"/>
      <c r="I195" s="72"/>
      <c r="J195" s="73"/>
      <c r="K195" s="62"/>
      <c r="L195" s="62"/>
      <c r="M195" s="62"/>
      <c r="N195" s="62"/>
      <c r="O195" s="62"/>
    </row>
    <row r="196" spans="1:15">
      <c r="A196" s="75">
        <f t="shared" si="2"/>
        <v>0</v>
      </c>
      <c r="B196" s="66"/>
      <c r="C196" s="66"/>
      <c r="D196" s="66"/>
      <c r="E196" s="68"/>
      <c r="F196" s="69"/>
      <c r="G196" s="70"/>
      <c r="H196" s="71"/>
      <c r="I196" s="72"/>
      <c r="J196" s="73"/>
      <c r="K196" s="62"/>
      <c r="L196" s="62"/>
      <c r="M196" s="62"/>
      <c r="N196" s="62"/>
      <c r="O196" s="62"/>
    </row>
    <row r="197" spans="1:15">
      <c r="A197" s="75">
        <f t="shared" si="2"/>
        <v>0</v>
      </c>
      <c r="B197" s="66"/>
      <c r="C197" s="66"/>
      <c r="D197" s="66"/>
      <c r="E197" s="68"/>
      <c r="F197" s="69"/>
      <c r="G197" s="70"/>
      <c r="H197" s="71"/>
      <c r="I197" s="72"/>
      <c r="J197" s="73"/>
      <c r="K197" s="62"/>
      <c r="L197" s="62"/>
      <c r="M197" s="62"/>
      <c r="N197" s="62"/>
      <c r="O197" s="62"/>
    </row>
    <row r="198" spans="1:15">
      <c r="A198" s="75">
        <f t="shared" si="2"/>
        <v>0</v>
      </c>
      <c r="B198" s="66"/>
      <c r="C198" s="66"/>
      <c r="D198" s="66"/>
      <c r="E198" s="68"/>
      <c r="F198" s="69"/>
      <c r="G198" s="70"/>
      <c r="H198" s="71"/>
      <c r="I198" s="72"/>
      <c r="J198" s="73"/>
      <c r="K198" s="62"/>
      <c r="L198" s="62"/>
      <c r="M198" s="62"/>
      <c r="N198" s="62"/>
      <c r="O198" s="62"/>
    </row>
    <row r="199" spans="1:15">
      <c r="A199" s="75">
        <f t="shared" si="2"/>
        <v>0</v>
      </c>
      <c r="B199" s="66"/>
      <c r="C199" s="66"/>
      <c r="D199" s="66"/>
      <c r="E199" s="68"/>
      <c r="F199" s="69"/>
      <c r="G199" s="70"/>
      <c r="H199" s="71"/>
      <c r="I199" s="72"/>
      <c r="J199" s="73"/>
      <c r="K199" s="62"/>
      <c r="L199" s="62"/>
      <c r="M199" s="62"/>
      <c r="N199" s="62"/>
      <c r="O199" s="62"/>
    </row>
    <row r="200" spans="1:15">
      <c r="A200" s="75">
        <f t="shared" si="2"/>
        <v>0</v>
      </c>
      <c r="B200" s="66"/>
      <c r="C200" s="66"/>
      <c r="D200" s="66"/>
      <c r="E200" s="68"/>
      <c r="F200" s="69"/>
      <c r="G200" s="70"/>
      <c r="H200" s="71"/>
      <c r="I200" s="72"/>
      <c r="J200" s="73"/>
      <c r="K200" s="62"/>
      <c r="L200" s="62"/>
      <c r="M200" s="62"/>
      <c r="N200" s="62"/>
      <c r="O200" s="62"/>
    </row>
    <row r="201" spans="1:15">
      <c r="A201" s="75">
        <f t="shared" si="2"/>
        <v>0</v>
      </c>
      <c r="B201" s="66"/>
      <c r="C201" s="66"/>
      <c r="D201" s="66"/>
      <c r="E201" s="68"/>
      <c r="F201" s="69"/>
      <c r="G201" s="70"/>
      <c r="H201" s="71"/>
      <c r="I201" s="72"/>
      <c r="J201" s="73"/>
      <c r="K201" s="62"/>
      <c r="L201" s="62"/>
      <c r="M201" s="62"/>
      <c r="N201" s="62"/>
      <c r="O201" s="62"/>
    </row>
    <row r="202" spans="1:15">
      <c r="A202" s="75">
        <f t="shared" ref="A202:A265" si="3">E202</f>
        <v>0</v>
      </c>
      <c r="B202" s="66"/>
      <c r="C202" s="66"/>
      <c r="D202" s="66"/>
      <c r="E202" s="68"/>
      <c r="F202" s="69"/>
      <c r="G202" s="70"/>
      <c r="H202" s="71"/>
      <c r="I202" s="72"/>
      <c r="J202" s="73"/>
      <c r="K202" s="62"/>
      <c r="L202" s="62"/>
      <c r="M202" s="62"/>
      <c r="N202" s="62"/>
      <c r="O202" s="62"/>
    </row>
    <row r="203" spans="1:15">
      <c r="A203" s="75">
        <f t="shared" si="3"/>
        <v>0</v>
      </c>
      <c r="B203" s="66"/>
      <c r="C203" s="66"/>
      <c r="D203" s="66"/>
      <c r="E203" s="68"/>
      <c r="F203" s="69"/>
      <c r="G203" s="70"/>
      <c r="H203" s="71"/>
      <c r="I203" s="72"/>
      <c r="J203" s="73"/>
      <c r="K203" s="62"/>
      <c r="L203" s="62"/>
      <c r="M203" s="62"/>
      <c r="N203" s="62"/>
      <c r="O203" s="62"/>
    </row>
    <row r="204" spans="1:15">
      <c r="A204" s="75">
        <f t="shared" si="3"/>
        <v>0</v>
      </c>
      <c r="B204" s="66"/>
      <c r="C204" s="66"/>
      <c r="D204" s="66"/>
      <c r="E204" s="68"/>
      <c r="F204" s="69"/>
      <c r="G204" s="70"/>
      <c r="H204" s="71"/>
      <c r="I204" s="72"/>
      <c r="J204" s="73"/>
      <c r="K204" s="62"/>
      <c r="L204" s="62"/>
      <c r="M204" s="62"/>
      <c r="N204" s="62"/>
      <c r="O204" s="62"/>
    </row>
    <row r="205" spans="1:15">
      <c r="A205" s="75">
        <f t="shared" si="3"/>
        <v>0</v>
      </c>
      <c r="B205" s="66"/>
      <c r="C205" s="66"/>
      <c r="D205" s="66"/>
      <c r="E205" s="68"/>
      <c r="F205" s="69"/>
      <c r="G205" s="70"/>
      <c r="H205" s="71"/>
      <c r="I205" s="72"/>
      <c r="J205" s="73"/>
      <c r="K205" s="62"/>
      <c r="L205" s="62"/>
      <c r="M205" s="62"/>
      <c r="N205" s="62"/>
      <c r="O205" s="62"/>
    </row>
    <row r="206" spans="1:15">
      <c r="A206" s="75">
        <f t="shared" si="3"/>
        <v>0</v>
      </c>
      <c r="B206" s="66"/>
      <c r="C206" s="66"/>
      <c r="D206" s="66"/>
      <c r="E206" s="68"/>
      <c r="F206" s="69"/>
      <c r="G206" s="70"/>
      <c r="H206" s="71"/>
      <c r="I206" s="72"/>
      <c r="J206" s="73"/>
      <c r="K206" s="62"/>
      <c r="L206" s="62"/>
      <c r="M206" s="62"/>
      <c r="N206" s="62"/>
      <c r="O206" s="62"/>
    </row>
    <row r="207" spans="1:15">
      <c r="A207" s="75">
        <f t="shared" si="3"/>
        <v>0</v>
      </c>
      <c r="B207" s="66"/>
      <c r="C207" s="66"/>
      <c r="D207" s="66"/>
      <c r="E207" s="68"/>
      <c r="F207" s="69"/>
      <c r="G207" s="70"/>
      <c r="H207" s="71"/>
      <c r="I207" s="72"/>
      <c r="J207" s="73"/>
      <c r="K207" s="62"/>
      <c r="L207" s="62"/>
      <c r="M207" s="62"/>
      <c r="N207" s="62"/>
      <c r="O207" s="62"/>
    </row>
    <row r="208" spans="1:15">
      <c r="A208" s="75">
        <f t="shared" si="3"/>
        <v>0</v>
      </c>
      <c r="B208" s="66"/>
      <c r="C208" s="66"/>
      <c r="D208" s="66"/>
      <c r="E208" s="68"/>
      <c r="F208" s="69"/>
      <c r="G208" s="70"/>
      <c r="H208" s="71"/>
      <c r="I208" s="72"/>
      <c r="J208" s="73"/>
      <c r="K208" s="62"/>
      <c r="L208" s="62"/>
      <c r="M208" s="62"/>
      <c r="N208" s="62"/>
      <c r="O208" s="62"/>
    </row>
    <row r="209" spans="1:15">
      <c r="A209" s="75">
        <f t="shared" si="3"/>
        <v>0</v>
      </c>
      <c r="B209" s="66"/>
      <c r="C209" s="66"/>
      <c r="D209" s="66"/>
      <c r="E209" s="68"/>
      <c r="F209" s="69"/>
      <c r="G209" s="70"/>
      <c r="H209" s="71"/>
      <c r="I209" s="72"/>
      <c r="J209" s="73"/>
      <c r="K209" s="62"/>
      <c r="L209" s="62"/>
      <c r="M209" s="62"/>
      <c r="N209" s="62"/>
      <c r="O209" s="62"/>
    </row>
    <row r="210" spans="1:15">
      <c r="A210" s="75">
        <f t="shared" si="3"/>
        <v>0</v>
      </c>
      <c r="B210" s="66"/>
      <c r="C210" s="66"/>
      <c r="D210" s="66"/>
      <c r="E210" s="68"/>
      <c r="F210" s="69"/>
      <c r="G210" s="70"/>
      <c r="H210" s="71"/>
      <c r="I210" s="72"/>
      <c r="J210" s="73"/>
      <c r="K210" s="62"/>
      <c r="L210" s="62"/>
      <c r="M210" s="62"/>
      <c r="N210" s="62"/>
      <c r="O210" s="62"/>
    </row>
    <row r="211" spans="1:15">
      <c r="A211" s="75">
        <f t="shared" si="3"/>
        <v>0</v>
      </c>
      <c r="B211" s="66"/>
      <c r="C211" s="66"/>
      <c r="D211" s="66"/>
      <c r="E211" s="68"/>
      <c r="F211" s="69"/>
      <c r="G211" s="70"/>
      <c r="H211" s="71"/>
      <c r="I211" s="72"/>
      <c r="J211" s="73"/>
      <c r="K211" s="62"/>
      <c r="L211" s="62"/>
      <c r="M211" s="62"/>
      <c r="N211" s="62"/>
      <c r="O211" s="62"/>
    </row>
    <row r="212" spans="1:15">
      <c r="A212" s="75">
        <f t="shared" si="3"/>
        <v>0</v>
      </c>
      <c r="B212" s="66"/>
      <c r="C212" s="66"/>
      <c r="D212" s="66"/>
      <c r="E212" s="68"/>
      <c r="F212" s="69"/>
      <c r="G212" s="70"/>
      <c r="H212" s="71"/>
      <c r="I212" s="72"/>
      <c r="J212" s="73"/>
      <c r="K212" s="62"/>
      <c r="L212" s="62"/>
      <c r="M212" s="62"/>
      <c r="N212" s="62"/>
      <c r="O212" s="62"/>
    </row>
    <row r="213" spans="1:15">
      <c r="A213" s="75">
        <f t="shared" si="3"/>
        <v>0</v>
      </c>
      <c r="B213" s="66"/>
      <c r="C213" s="66"/>
      <c r="D213" s="66"/>
      <c r="E213" s="68"/>
      <c r="F213" s="69"/>
      <c r="G213" s="70"/>
      <c r="H213" s="71"/>
      <c r="I213" s="72"/>
      <c r="J213" s="73"/>
      <c r="K213" s="62"/>
      <c r="L213" s="62"/>
      <c r="M213" s="62"/>
      <c r="N213" s="62"/>
      <c r="O213" s="62"/>
    </row>
    <row r="214" spans="1:15">
      <c r="A214" s="75">
        <f t="shared" si="3"/>
        <v>0</v>
      </c>
      <c r="B214" s="66"/>
      <c r="C214" s="66"/>
      <c r="D214" s="66"/>
      <c r="E214" s="68"/>
      <c r="F214" s="69"/>
      <c r="G214" s="70"/>
      <c r="H214" s="71"/>
      <c r="I214" s="72"/>
      <c r="J214" s="73"/>
      <c r="K214" s="62"/>
      <c r="L214" s="62"/>
      <c r="M214" s="62"/>
      <c r="N214" s="62"/>
      <c r="O214" s="62"/>
    </row>
    <row r="215" spans="1:15">
      <c r="A215" s="75">
        <f t="shared" si="3"/>
        <v>0</v>
      </c>
      <c r="B215" s="66"/>
      <c r="C215" s="66"/>
      <c r="D215" s="66"/>
      <c r="E215" s="68"/>
      <c r="F215" s="69"/>
      <c r="G215" s="70"/>
      <c r="H215" s="71"/>
      <c r="I215" s="72"/>
      <c r="J215" s="73"/>
      <c r="K215" s="62"/>
      <c r="L215" s="62"/>
      <c r="M215" s="62"/>
      <c r="N215" s="62"/>
      <c r="O215" s="62"/>
    </row>
    <row r="216" spans="1:15">
      <c r="A216" s="75">
        <f t="shared" si="3"/>
        <v>0</v>
      </c>
      <c r="B216" s="66"/>
      <c r="C216" s="66"/>
      <c r="D216" s="66"/>
      <c r="E216" s="68"/>
      <c r="F216" s="69"/>
      <c r="G216" s="70"/>
      <c r="H216" s="71"/>
      <c r="I216" s="72"/>
      <c r="J216" s="73"/>
      <c r="K216" s="62"/>
      <c r="L216" s="62"/>
      <c r="M216" s="62"/>
      <c r="N216" s="62"/>
      <c r="O216" s="62"/>
    </row>
    <row r="217" spans="1:15">
      <c r="A217" s="75">
        <f t="shared" si="3"/>
        <v>0</v>
      </c>
      <c r="B217" s="66"/>
      <c r="C217" s="66"/>
      <c r="D217" s="66"/>
      <c r="E217" s="68"/>
      <c r="F217" s="69"/>
      <c r="G217" s="70"/>
      <c r="H217" s="71"/>
      <c r="I217" s="72"/>
      <c r="J217" s="73"/>
      <c r="K217" s="62"/>
      <c r="L217" s="62"/>
      <c r="M217" s="62"/>
      <c r="N217" s="62"/>
      <c r="O217" s="62"/>
    </row>
    <row r="218" spans="1:15">
      <c r="A218" s="75">
        <f t="shared" si="3"/>
        <v>0</v>
      </c>
      <c r="B218" s="66"/>
      <c r="C218" s="66"/>
      <c r="D218" s="66"/>
      <c r="E218" s="68"/>
      <c r="F218" s="69"/>
      <c r="G218" s="70"/>
      <c r="H218" s="71"/>
      <c r="I218" s="72"/>
      <c r="J218" s="73"/>
      <c r="K218" s="62"/>
      <c r="L218" s="62"/>
      <c r="M218" s="62"/>
      <c r="N218" s="62"/>
      <c r="O218" s="62"/>
    </row>
    <row r="219" spans="1:15">
      <c r="A219" s="75">
        <f t="shared" si="3"/>
        <v>0</v>
      </c>
      <c r="B219" s="66"/>
      <c r="C219" s="66"/>
      <c r="D219" s="66"/>
      <c r="E219" s="68"/>
      <c r="F219" s="69"/>
      <c r="G219" s="70"/>
      <c r="H219" s="71"/>
      <c r="I219" s="72"/>
      <c r="J219" s="73"/>
      <c r="K219" s="62"/>
      <c r="L219" s="62"/>
      <c r="M219" s="62"/>
      <c r="N219" s="62"/>
      <c r="O219" s="62"/>
    </row>
    <row r="220" spans="1:15">
      <c r="A220" s="75">
        <f t="shared" si="3"/>
        <v>0</v>
      </c>
      <c r="B220" s="66"/>
      <c r="C220" s="66"/>
      <c r="D220" s="66"/>
      <c r="E220" s="68"/>
      <c r="F220" s="69"/>
      <c r="G220" s="70"/>
      <c r="H220" s="71"/>
      <c r="I220" s="72"/>
      <c r="J220" s="73"/>
      <c r="K220" s="62"/>
      <c r="L220" s="62"/>
      <c r="M220" s="62"/>
      <c r="N220" s="62"/>
      <c r="O220" s="62"/>
    </row>
    <row r="221" spans="1:15">
      <c r="A221" s="75">
        <f t="shared" si="3"/>
        <v>0</v>
      </c>
      <c r="B221" s="66"/>
      <c r="C221" s="66"/>
      <c r="D221" s="66"/>
      <c r="E221" s="68"/>
      <c r="F221" s="69"/>
      <c r="G221" s="70"/>
      <c r="H221" s="71"/>
      <c r="I221" s="72"/>
      <c r="J221" s="73"/>
      <c r="K221" s="62"/>
      <c r="L221" s="62"/>
      <c r="M221" s="62"/>
      <c r="N221" s="62"/>
      <c r="O221" s="62"/>
    </row>
    <row r="222" spans="1:15">
      <c r="A222" s="75">
        <f t="shared" si="3"/>
        <v>0</v>
      </c>
      <c r="B222" s="66"/>
      <c r="C222" s="66"/>
      <c r="D222" s="66"/>
      <c r="E222" s="68"/>
      <c r="F222" s="69"/>
      <c r="G222" s="70"/>
      <c r="H222" s="71"/>
      <c r="I222" s="72"/>
      <c r="J222" s="73"/>
      <c r="K222" s="62"/>
      <c r="L222" s="62"/>
      <c r="M222" s="62"/>
      <c r="N222" s="62"/>
      <c r="O222" s="62"/>
    </row>
    <row r="223" spans="1:15">
      <c r="A223" s="75">
        <f t="shared" si="3"/>
        <v>0</v>
      </c>
      <c r="B223" s="66"/>
      <c r="C223" s="66"/>
      <c r="D223" s="66"/>
      <c r="E223" s="68"/>
      <c r="F223" s="69"/>
      <c r="G223" s="70"/>
      <c r="H223" s="71"/>
      <c r="I223" s="72"/>
      <c r="J223" s="73"/>
      <c r="K223" s="62"/>
      <c r="L223" s="62"/>
      <c r="M223" s="62"/>
      <c r="N223" s="62"/>
      <c r="O223" s="62"/>
    </row>
    <row r="224" spans="1:15">
      <c r="A224" s="75">
        <f t="shared" si="3"/>
        <v>0</v>
      </c>
      <c r="B224" s="66"/>
      <c r="C224" s="66"/>
      <c r="D224" s="66"/>
      <c r="E224" s="68"/>
      <c r="F224" s="69"/>
      <c r="G224" s="70"/>
      <c r="H224" s="71"/>
      <c r="I224" s="72"/>
      <c r="J224" s="73"/>
      <c r="K224" s="62"/>
      <c r="L224" s="62"/>
      <c r="M224" s="62"/>
      <c r="N224" s="62"/>
      <c r="O224" s="62"/>
    </row>
    <row r="225" spans="1:15">
      <c r="A225" s="75">
        <f t="shared" si="3"/>
        <v>0</v>
      </c>
      <c r="B225" s="66"/>
      <c r="C225" s="66"/>
      <c r="D225" s="66"/>
      <c r="E225" s="68"/>
      <c r="F225" s="69"/>
      <c r="G225" s="70"/>
      <c r="H225" s="71"/>
      <c r="I225" s="72"/>
      <c r="J225" s="73"/>
      <c r="K225" s="62"/>
      <c r="L225" s="62"/>
      <c r="M225" s="62"/>
      <c r="N225" s="62"/>
      <c r="O225" s="62"/>
    </row>
    <row r="226" spans="1:15">
      <c r="A226" s="75">
        <f t="shared" si="3"/>
        <v>0</v>
      </c>
      <c r="B226" s="66"/>
      <c r="C226" s="66"/>
      <c r="D226" s="66"/>
      <c r="E226" s="68"/>
      <c r="F226" s="69"/>
      <c r="G226" s="70"/>
      <c r="H226" s="71"/>
      <c r="I226" s="72"/>
      <c r="J226" s="73"/>
      <c r="K226" s="62"/>
      <c r="L226" s="62"/>
      <c r="M226" s="62"/>
      <c r="N226" s="62"/>
      <c r="O226" s="62"/>
    </row>
    <row r="227" spans="1:15">
      <c r="A227" s="75">
        <f t="shared" si="3"/>
        <v>0</v>
      </c>
      <c r="B227" s="66"/>
      <c r="C227" s="66"/>
      <c r="D227" s="66"/>
      <c r="E227" s="68"/>
      <c r="F227" s="69"/>
      <c r="G227" s="70"/>
      <c r="H227" s="71"/>
      <c r="I227" s="72"/>
      <c r="J227" s="73"/>
      <c r="K227" s="62"/>
      <c r="L227" s="62"/>
      <c r="M227" s="62"/>
      <c r="N227" s="62"/>
      <c r="O227" s="62"/>
    </row>
    <row r="228" spans="1:15">
      <c r="A228" s="75">
        <f t="shared" si="3"/>
        <v>0</v>
      </c>
      <c r="B228" s="66"/>
      <c r="C228" s="66"/>
      <c r="D228" s="66"/>
      <c r="E228" s="68"/>
      <c r="F228" s="69"/>
      <c r="G228" s="70"/>
      <c r="H228" s="71"/>
      <c r="I228" s="72"/>
      <c r="J228" s="73"/>
      <c r="K228" s="62"/>
      <c r="L228" s="62"/>
      <c r="M228" s="62"/>
      <c r="N228" s="62"/>
      <c r="O228" s="62"/>
    </row>
    <row r="229" spans="1:15">
      <c r="A229" s="75">
        <f t="shared" si="3"/>
        <v>0</v>
      </c>
      <c r="B229" s="66"/>
      <c r="C229" s="66"/>
      <c r="D229" s="66"/>
      <c r="E229" s="68"/>
      <c r="F229" s="69"/>
      <c r="G229" s="70"/>
      <c r="H229" s="71"/>
      <c r="I229" s="72"/>
      <c r="J229" s="73"/>
      <c r="K229" s="62"/>
      <c r="L229" s="62"/>
      <c r="M229" s="62"/>
      <c r="N229" s="62"/>
      <c r="O229" s="62"/>
    </row>
    <row r="230" spans="1:15">
      <c r="A230" s="75">
        <f t="shared" si="3"/>
        <v>0</v>
      </c>
      <c r="B230" s="66"/>
      <c r="C230" s="66"/>
      <c r="D230" s="66"/>
      <c r="E230" s="68"/>
      <c r="F230" s="69"/>
      <c r="G230" s="70"/>
      <c r="H230" s="71"/>
      <c r="I230" s="72"/>
      <c r="J230" s="73"/>
      <c r="K230" s="62"/>
      <c r="L230" s="62"/>
      <c r="M230" s="62"/>
      <c r="N230" s="62"/>
      <c r="O230" s="62"/>
    </row>
    <row r="231" spans="1:15">
      <c r="A231" s="75">
        <f t="shared" si="3"/>
        <v>0</v>
      </c>
      <c r="B231" s="66"/>
      <c r="C231" s="66"/>
      <c r="D231" s="66"/>
      <c r="E231" s="68"/>
      <c r="F231" s="69"/>
      <c r="G231" s="70"/>
      <c r="H231" s="71"/>
      <c r="I231" s="72"/>
      <c r="J231" s="73"/>
      <c r="K231" s="62"/>
      <c r="L231" s="62"/>
      <c r="M231" s="62"/>
      <c r="N231" s="62"/>
      <c r="O231" s="62"/>
    </row>
    <row r="232" spans="1:15">
      <c r="A232" s="75">
        <f t="shared" si="3"/>
        <v>0</v>
      </c>
      <c r="B232" s="66"/>
      <c r="C232" s="66"/>
      <c r="D232" s="66"/>
      <c r="E232" s="68"/>
      <c r="F232" s="69"/>
      <c r="G232" s="70"/>
      <c r="H232" s="71"/>
      <c r="I232" s="72"/>
      <c r="J232" s="73"/>
      <c r="K232" s="62"/>
      <c r="L232" s="62"/>
      <c r="M232" s="62"/>
      <c r="N232" s="62"/>
      <c r="O232" s="62"/>
    </row>
    <row r="233" spans="1:15">
      <c r="A233" s="75">
        <f t="shared" si="3"/>
        <v>0</v>
      </c>
      <c r="B233" s="66"/>
      <c r="C233" s="66"/>
      <c r="D233" s="66"/>
      <c r="E233" s="68"/>
      <c r="F233" s="69"/>
      <c r="G233" s="70"/>
      <c r="H233" s="71"/>
      <c r="I233" s="72"/>
      <c r="J233" s="73"/>
      <c r="K233" s="62"/>
      <c r="L233" s="62"/>
      <c r="M233" s="62"/>
      <c r="N233" s="62"/>
      <c r="O233" s="62"/>
    </row>
    <row r="234" spans="1:15">
      <c r="A234" s="75">
        <f t="shared" si="3"/>
        <v>0</v>
      </c>
      <c r="B234" s="66"/>
      <c r="C234" s="66"/>
      <c r="D234" s="66"/>
      <c r="E234" s="68"/>
      <c r="F234" s="69"/>
      <c r="G234" s="70"/>
      <c r="H234" s="71"/>
      <c r="I234" s="72"/>
      <c r="J234" s="73"/>
      <c r="K234" s="62"/>
      <c r="L234" s="62"/>
      <c r="M234" s="62"/>
      <c r="N234" s="62"/>
      <c r="O234" s="62"/>
    </row>
    <row r="235" spans="1:15">
      <c r="A235" s="75">
        <f t="shared" si="3"/>
        <v>0</v>
      </c>
      <c r="B235" s="66"/>
      <c r="C235" s="66"/>
      <c r="D235" s="66"/>
      <c r="E235" s="68"/>
      <c r="F235" s="69"/>
      <c r="G235" s="70"/>
      <c r="H235" s="71"/>
      <c r="I235" s="72"/>
      <c r="J235" s="73"/>
      <c r="K235" s="62"/>
      <c r="L235" s="62"/>
      <c r="M235" s="62"/>
      <c r="N235" s="62"/>
      <c r="O235" s="62"/>
    </row>
    <row r="236" spans="1:15">
      <c r="A236" s="75">
        <f t="shared" si="3"/>
        <v>0</v>
      </c>
      <c r="B236" s="66"/>
      <c r="C236" s="66"/>
      <c r="D236" s="66"/>
      <c r="E236" s="68"/>
      <c r="F236" s="69"/>
      <c r="G236" s="70"/>
      <c r="H236" s="71"/>
      <c r="I236" s="72"/>
      <c r="J236" s="73"/>
      <c r="K236" s="62"/>
      <c r="L236" s="62"/>
      <c r="M236" s="62"/>
      <c r="N236" s="62"/>
      <c r="O236" s="62"/>
    </row>
    <row r="237" spans="1:15">
      <c r="A237" s="75">
        <f t="shared" si="3"/>
        <v>0</v>
      </c>
      <c r="B237" s="66"/>
      <c r="C237" s="66"/>
      <c r="D237" s="66"/>
      <c r="E237" s="68"/>
      <c r="F237" s="69"/>
      <c r="G237" s="70"/>
      <c r="H237" s="71"/>
      <c r="I237" s="72"/>
      <c r="J237" s="73"/>
      <c r="K237" s="62"/>
      <c r="L237" s="62"/>
      <c r="M237" s="62"/>
      <c r="N237" s="62"/>
      <c r="O237" s="62"/>
    </row>
    <row r="238" spans="1:15">
      <c r="A238" s="75">
        <f t="shared" si="3"/>
        <v>0</v>
      </c>
      <c r="B238" s="66"/>
      <c r="C238" s="66"/>
      <c r="D238" s="66"/>
      <c r="E238" s="68"/>
      <c r="F238" s="69"/>
      <c r="G238" s="70"/>
      <c r="H238" s="71"/>
      <c r="I238" s="72"/>
      <c r="J238" s="73"/>
      <c r="K238" s="62"/>
      <c r="L238" s="62"/>
      <c r="M238" s="62"/>
      <c r="N238" s="62"/>
      <c r="O238" s="62"/>
    </row>
    <row r="239" spans="1:15">
      <c r="A239" s="75">
        <f t="shared" si="3"/>
        <v>0</v>
      </c>
      <c r="B239" s="66"/>
      <c r="C239" s="66"/>
      <c r="D239" s="66"/>
      <c r="E239" s="68"/>
      <c r="F239" s="69"/>
      <c r="G239" s="70"/>
      <c r="H239" s="71"/>
      <c r="I239" s="72"/>
      <c r="J239" s="73"/>
      <c r="K239" s="62"/>
      <c r="L239" s="62"/>
      <c r="M239" s="62"/>
      <c r="N239" s="62"/>
      <c r="O239" s="62"/>
    </row>
    <row r="240" spans="1:15">
      <c r="A240" s="75">
        <f t="shared" si="3"/>
        <v>0</v>
      </c>
      <c r="B240" s="66"/>
      <c r="C240" s="66"/>
      <c r="D240" s="66"/>
      <c r="E240" s="68"/>
      <c r="F240" s="69"/>
      <c r="G240" s="70"/>
      <c r="H240" s="71"/>
      <c r="I240" s="72"/>
      <c r="J240" s="73"/>
      <c r="K240" s="62"/>
      <c r="L240" s="62"/>
      <c r="M240" s="62"/>
      <c r="N240" s="62"/>
      <c r="O240" s="62"/>
    </row>
    <row r="241" spans="1:15">
      <c r="A241" s="75">
        <f t="shared" si="3"/>
        <v>0</v>
      </c>
      <c r="B241" s="66"/>
      <c r="C241" s="66"/>
      <c r="D241" s="66"/>
      <c r="E241" s="68"/>
      <c r="F241" s="69"/>
      <c r="G241" s="70"/>
      <c r="H241" s="71"/>
      <c r="I241" s="72"/>
      <c r="J241" s="73"/>
      <c r="K241" s="62"/>
      <c r="L241" s="62"/>
      <c r="M241" s="62"/>
      <c r="N241" s="62"/>
      <c r="O241" s="62"/>
    </row>
    <row r="242" spans="1:15">
      <c r="A242" s="75">
        <f t="shared" si="3"/>
        <v>0</v>
      </c>
      <c r="B242" s="66"/>
      <c r="C242" s="66"/>
      <c r="D242" s="66"/>
      <c r="E242" s="68"/>
      <c r="F242" s="69"/>
      <c r="G242" s="70"/>
      <c r="H242" s="71"/>
      <c r="I242" s="72"/>
      <c r="J242" s="73"/>
      <c r="K242" s="62"/>
      <c r="L242" s="62"/>
      <c r="M242" s="62"/>
      <c r="N242" s="62"/>
      <c r="O242" s="62"/>
    </row>
    <row r="243" spans="1:15">
      <c r="A243" s="75">
        <f t="shared" si="3"/>
        <v>0</v>
      </c>
      <c r="B243" s="66"/>
      <c r="C243" s="66"/>
      <c r="D243" s="66"/>
      <c r="E243" s="68"/>
      <c r="F243" s="69"/>
      <c r="G243" s="70"/>
      <c r="H243" s="71"/>
      <c r="I243" s="72"/>
      <c r="J243" s="73"/>
      <c r="K243" s="62"/>
      <c r="L243" s="62"/>
      <c r="M243" s="62"/>
      <c r="N243" s="62"/>
      <c r="O243" s="62"/>
    </row>
    <row r="244" spans="1:15">
      <c r="A244" s="75">
        <f t="shared" si="3"/>
        <v>0</v>
      </c>
      <c r="B244" s="66"/>
      <c r="C244" s="66"/>
      <c r="D244" s="66"/>
      <c r="E244" s="68"/>
      <c r="F244" s="69"/>
      <c r="G244" s="70"/>
      <c r="H244" s="71"/>
      <c r="I244" s="72"/>
      <c r="J244" s="73"/>
      <c r="K244" s="62"/>
      <c r="L244" s="62"/>
      <c r="M244" s="62"/>
      <c r="N244" s="62"/>
      <c r="O244" s="62"/>
    </row>
    <row r="245" spans="1:15">
      <c r="A245" s="75">
        <f t="shared" si="3"/>
        <v>0</v>
      </c>
      <c r="B245" s="66"/>
      <c r="C245" s="66"/>
      <c r="D245" s="66"/>
      <c r="E245" s="68"/>
      <c r="F245" s="69"/>
      <c r="G245" s="70"/>
      <c r="H245" s="71"/>
      <c r="I245" s="72"/>
      <c r="J245" s="73"/>
      <c r="K245" s="62"/>
      <c r="L245" s="62"/>
      <c r="M245" s="62"/>
      <c r="N245" s="62"/>
      <c r="O245" s="62"/>
    </row>
    <row r="246" spans="1:15">
      <c r="A246" s="75">
        <f t="shared" si="3"/>
        <v>0</v>
      </c>
      <c r="B246" s="66"/>
      <c r="C246" s="66"/>
      <c r="D246" s="66"/>
      <c r="E246" s="68"/>
      <c r="F246" s="69"/>
      <c r="G246" s="70"/>
      <c r="H246" s="71"/>
      <c r="I246" s="72"/>
      <c r="J246" s="73"/>
      <c r="K246" s="62"/>
      <c r="L246" s="62"/>
      <c r="M246" s="62"/>
      <c r="N246" s="62"/>
      <c r="O246" s="62"/>
    </row>
    <row r="247" spans="1:15">
      <c r="A247" s="75">
        <f t="shared" si="3"/>
        <v>0</v>
      </c>
      <c r="B247" s="66"/>
      <c r="C247" s="66"/>
      <c r="D247" s="66"/>
      <c r="E247" s="68"/>
      <c r="F247" s="69"/>
      <c r="G247" s="70"/>
      <c r="H247" s="71"/>
      <c r="I247" s="72"/>
      <c r="J247" s="73"/>
      <c r="K247" s="62"/>
      <c r="L247" s="62"/>
      <c r="M247" s="62"/>
      <c r="N247" s="62"/>
      <c r="O247" s="62"/>
    </row>
    <row r="248" spans="1:15">
      <c r="A248" s="75">
        <f t="shared" si="3"/>
        <v>0</v>
      </c>
      <c r="B248" s="66"/>
      <c r="C248" s="66"/>
      <c r="D248" s="66"/>
      <c r="E248" s="68"/>
      <c r="F248" s="69"/>
      <c r="G248" s="70"/>
      <c r="H248" s="71"/>
      <c r="I248" s="72"/>
      <c r="J248" s="73"/>
      <c r="K248" s="62"/>
      <c r="L248" s="62"/>
      <c r="M248" s="62"/>
      <c r="N248" s="62"/>
      <c r="O248" s="62"/>
    </row>
    <row r="249" spans="1:15">
      <c r="A249" s="75">
        <f t="shared" si="3"/>
        <v>0</v>
      </c>
      <c r="B249" s="66"/>
      <c r="C249" s="66"/>
      <c r="D249" s="66"/>
      <c r="E249" s="68"/>
      <c r="F249" s="69"/>
      <c r="G249" s="70"/>
      <c r="H249" s="71"/>
      <c r="I249" s="72"/>
      <c r="J249" s="73"/>
      <c r="K249" s="62"/>
      <c r="L249" s="62"/>
      <c r="M249" s="62"/>
      <c r="N249" s="62"/>
      <c r="O249" s="62"/>
    </row>
    <row r="250" spans="1:15">
      <c r="A250" s="75">
        <f t="shared" si="3"/>
        <v>0</v>
      </c>
      <c r="B250" s="66"/>
      <c r="C250" s="66"/>
      <c r="D250" s="66"/>
      <c r="E250" s="68"/>
      <c r="F250" s="69"/>
      <c r="G250" s="70"/>
      <c r="H250" s="71"/>
      <c r="I250" s="72"/>
      <c r="J250" s="73"/>
      <c r="K250" s="62"/>
      <c r="L250" s="62"/>
      <c r="M250" s="62"/>
      <c r="N250" s="62"/>
      <c r="O250" s="62"/>
    </row>
    <row r="251" spans="1:15">
      <c r="A251" s="75">
        <f t="shared" si="3"/>
        <v>0</v>
      </c>
      <c r="B251" s="66"/>
      <c r="C251" s="66"/>
      <c r="D251" s="66"/>
      <c r="E251" s="68"/>
      <c r="F251" s="69"/>
      <c r="G251" s="70"/>
      <c r="H251" s="71"/>
      <c r="I251" s="72"/>
      <c r="J251" s="73"/>
      <c r="K251" s="62"/>
      <c r="L251" s="62"/>
      <c r="M251" s="62"/>
      <c r="N251" s="62"/>
      <c r="O251" s="62"/>
    </row>
    <row r="252" spans="1:15">
      <c r="A252" s="75">
        <f t="shared" si="3"/>
        <v>0</v>
      </c>
      <c r="B252" s="66"/>
      <c r="C252" s="66"/>
      <c r="D252" s="66"/>
      <c r="E252" s="68"/>
      <c r="F252" s="69"/>
      <c r="G252" s="70"/>
      <c r="H252" s="71"/>
      <c r="I252" s="72"/>
      <c r="J252" s="73"/>
      <c r="K252" s="62"/>
      <c r="L252" s="62"/>
      <c r="M252" s="62"/>
      <c r="N252" s="62"/>
      <c r="O252" s="62"/>
    </row>
    <row r="253" spans="1:15">
      <c r="A253" s="75">
        <f t="shared" si="3"/>
        <v>0</v>
      </c>
      <c r="B253" s="66"/>
      <c r="C253" s="66"/>
      <c r="D253" s="66"/>
      <c r="E253" s="68"/>
      <c r="F253" s="69"/>
      <c r="G253" s="70"/>
      <c r="H253" s="71"/>
      <c r="I253" s="72"/>
      <c r="J253" s="73"/>
      <c r="K253" s="62"/>
      <c r="L253" s="62"/>
      <c r="M253" s="62"/>
      <c r="N253" s="62"/>
      <c r="O253" s="62"/>
    </row>
    <row r="254" spans="1:15">
      <c r="A254" s="75">
        <f t="shared" si="3"/>
        <v>0</v>
      </c>
      <c r="B254" s="66"/>
      <c r="C254" s="66"/>
      <c r="D254" s="66"/>
      <c r="E254" s="68"/>
      <c r="F254" s="69"/>
      <c r="G254" s="70"/>
      <c r="H254" s="71"/>
      <c r="I254" s="72"/>
      <c r="J254" s="73"/>
      <c r="K254" s="62"/>
      <c r="L254" s="62"/>
      <c r="M254" s="62"/>
      <c r="N254" s="62"/>
      <c r="O254" s="62"/>
    </row>
    <row r="255" spans="1:15">
      <c r="A255" s="75">
        <f t="shared" si="3"/>
        <v>0</v>
      </c>
      <c r="B255" s="66"/>
      <c r="C255" s="66"/>
      <c r="D255" s="66"/>
      <c r="E255" s="68"/>
      <c r="F255" s="69"/>
      <c r="G255" s="70"/>
      <c r="H255" s="71"/>
      <c r="I255" s="72"/>
      <c r="J255" s="73"/>
      <c r="K255" s="62"/>
      <c r="L255" s="62"/>
      <c r="M255" s="62"/>
      <c r="N255" s="62"/>
      <c r="O255" s="62"/>
    </row>
    <row r="256" spans="1:15">
      <c r="A256" s="75">
        <f t="shared" si="3"/>
        <v>0</v>
      </c>
      <c r="B256" s="66"/>
      <c r="C256" s="66"/>
      <c r="D256" s="66"/>
      <c r="E256" s="68"/>
      <c r="F256" s="69"/>
      <c r="G256" s="70"/>
      <c r="H256" s="71"/>
      <c r="I256" s="72"/>
      <c r="J256" s="73"/>
      <c r="K256" s="62"/>
      <c r="L256" s="62"/>
      <c r="M256" s="62"/>
      <c r="N256" s="62"/>
      <c r="O256" s="62"/>
    </row>
    <row r="257" spans="1:15">
      <c r="A257" s="75">
        <f t="shared" si="3"/>
        <v>0</v>
      </c>
      <c r="B257" s="66"/>
      <c r="C257" s="66"/>
      <c r="D257" s="66"/>
      <c r="E257" s="68"/>
      <c r="F257" s="69"/>
      <c r="G257" s="70"/>
      <c r="H257" s="71"/>
      <c r="I257" s="72"/>
      <c r="J257" s="73"/>
      <c r="K257" s="62"/>
      <c r="L257" s="62"/>
      <c r="M257" s="62"/>
      <c r="N257" s="62"/>
      <c r="O257" s="62"/>
    </row>
    <row r="258" spans="1:15">
      <c r="A258" s="75">
        <f t="shared" si="3"/>
        <v>0</v>
      </c>
      <c r="B258" s="66"/>
      <c r="C258" s="66"/>
      <c r="D258" s="66"/>
      <c r="E258" s="68"/>
      <c r="F258" s="69"/>
      <c r="G258" s="70"/>
      <c r="H258" s="71"/>
      <c r="I258" s="72"/>
      <c r="J258" s="73"/>
      <c r="K258" s="62"/>
      <c r="L258" s="62"/>
      <c r="M258" s="62"/>
      <c r="N258" s="62"/>
      <c r="O258" s="62"/>
    </row>
    <row r="259" spans="1:15">
      <c r="A259" s="75">
        <f t="shared" si="3"/>
        <v>0</v>
      </c>
      <c r="B259" s="66"/>
      <c r="C259" s="66"/>
      <c r="D259" s="66"/>
      <c r="E259" s="68"/>
      <c r="F259" s="69"/>
      <c r="G259" s="70"/>
      <c r="H259" s="71"/>
      <c r="I259" s="72"/>
      <c r="J259" s="73"/>
      <c r="K259" s="62"/>
      <c r="L259" s="62"/>
      <c r="M259" s="62"/>
      <c r="N259" s="62"/>
      <c r="O259" s="62"/>
    </row>
    <row r="260" spans="1:15">
      <c r="A260" s="75">
        <f t="shared" si="3"/>
        <v>0</v>
      </c>
      <c r="B260" s="66"/>
      <c r="C260" s="66"/>
      <c r="D260" s="66"/>
      <c r="E260" s="68"/>
      <c r="F260" s="69"/>
      <c r="G260" s="70"/>
      <c r="H260" s="71"/>
      <c r="I260" s="72"/>
      <c r="J260" s="73"/>
      <c r="K260" s="62"/>
      <c r="L260" s="62"/>
      <c r="M260" s="62"/>
      <c r="N260" s="62"/>
      <c r="O260" s="62"/>
    </row>
    <row r="261" spans="1:15">
      <c r="A261" s="75">
        <f t="shared" si="3"/>
        <v>0</v>
      </c>
      <c r="B261" s="66"/>
      <c r="C261" s="66"/>
      <c r="D261" s="66"/>
      <c r="E261" s="68"/>
      <c r="F261" s="69"/>
      <c r="G261" s="70"/>
      <c r="H261" s="71"/>
      <c r="I261" s="72"/>
      <c r="J261" s="73"/>
      <c r="K261" s="62"/>
      <c r="L261" s="62"/>
      <c r="M261" s="62"/>
      <c r="N261" s="62"/>
      <c r="O261" s="62"/>
    </row>
    <row r="262" spans="1:15">
      <c r="A262" s="75">
        <f t="shared" si="3"/>
        <v>0</v>
      </c>
      <c r="B262" s="66"/>
      <c r="C262" s="66"/>
      <c r="D262" s="66"/>
      <c r="E262" s="68"/>
      <c r="F262" s="69"/>
      <c r="G262" s="70"/>
      <c r="H262" s="71"/>
      <c r="I262" s="72"/>
      <c r="J262" s="73"/>
      <c r="K262" s="62"/>
      <c r="L262" s="62"/>
      <c r="M262" s="62"/>
      <c r="N262" s="62"/>
      <c r="O262" s="62"/>
    </row>
    <row r="263" spans="1:15">
      <c r="A263" s="75">
        <f t="shared" si="3"/>
        <v>0</v>
      </c>
      <c r="B263" s="66"/>
      <c r="C263" s="66"/>
      <c r="D263" s="66"/>
      <c r="E263" s="68"/>
      <c r="F263" s="69"/>
      <c r="G263" s="70"/>
      <c r="H263" s="71"/>
      <c r="I263" s="72"/>
      <c r="J263" s="73"/>
      <c r="K263" s="62"/>
      <c r="L263" s="62"/>
      <c r="M263" s="62"/>
      <c r="N263" s="62"/>
      <c r="O263" s="62"/>
    </row>
    <row r="264" spans="1:15">
      <c r="A264" s="75">
        <f t="shared" si="3"/>
        <v>0</v>
      </c>
      <c r="B264" s="66"/>
      <c r="C264" s="66"/>
      <c r="D264" s="66"/>
      <c r="E264" s="68"/>
      <c r="F264" s="69"/>
      <c r="G264" s="70"/>
      <c r="H264" s="71"/>
      <c r="I264" s="72"/>
      <c r="J264" s="73"/>
      <c r="K264" s="62"/>
      <c r="L264" s="62"/>
      <c r="M264" s="62"/>
      <c r="N264" s="62"/>
      <c r="O264" s="62"/>
    </row>
    <row r="265" spans="1:15">
      <c r="A265" s="75">
        <f t="shared" si="3"/>
        <v>0</v>
      </c>
      <c r="B265" s="66"/>
      <c r="C265" s="66"/>
      <c r="D265" s="66"/>
      <c r="E265" s="68"/>
      <c r="F265" s="69"/>
      <c r="G265" s="70"/>
      <c r="H265" s="71"/>
      <c r="I265" s="72"/>
      <c r="J265" s="73"/>
      <c r="K265" s="62"/>
      <c r="L265" s="62"/>
      <c r="M265" s="62"/>
      <c r="N265" s="62"/>
      <c r="O265" s="62"/>
    </row>
    <row r="266" spans="1:15">
      <c r="A266" s="75">
        <f t="shared" ref="A266:A329" si="4">E266</f>
        <v>0</v>
      </c>
      <c r="B266" s="66"/>
      <c r="C266" s="66"/>
      <c r="D266" s="66"/>
      <c r="E266" s="68"/>
      <c r="F266" s="69"/>
      <c r="G266" s="70"/>
      <c r="H266" s="71"/>
      <c r="I266" s="72"/>
      <c r="J266" s="73"/>
      <c r="K266" s="62"/>
      <c r="L266" s="62"/>
      <c r="M266" s="62"/>
      <c r="N266" s="62"/>
      <c r="O266" s="62"/>
    </row>
    <row r="267" spans="1:15">
      <c r="A267" s="75">
        <f t="shared" si="4"/>
        <v>0</v>
      </c>
      <c r="B267" s="66"/>
      <c r="C267" s="66"/>
      <c r="D267" s="66"/>
      <c r="E267" s="68"/>
      <c r="F267" s="69"/>
      <c r="G267" s="70"/>
      <c r="H267" s="71"/>
      <c r="I267" s="72"/>
      <c r="J267" s="73"/>
      <c r="K267" s="62"/>
      <c r="L267" s="62"/>
      <c r="M267" s="62"/>
      <c r="N267" s="62"/>
      <c r="O267" s="62"/>
    </row>
    <row r="268" spans="1:15">
      <c r="A268" s="75">
        <f t="shared" si="4"/>
        <v>0</v>
      </c>
      <c r="B268" s="66"/>
      <c r="C268" s="66"/>
      <c r="D268" s="66"/>
      <c r="E268" s="68"/>
      <c r="F268" s="69"/>
      <c r="G268" s="70"/>
      <c r="H268" s="71"/>
      <c r="I268" s="72"/>
      <c r="J268" s="73"/>
      <c r="K268" s="62"/>
      <c r="L268" s="62"/>
      <c r="M268" s="62"/>
      <c r="N268" s="62"/>
      <c r="O268" s="62"/>
    </row>
    <row r="269" spans="1:15">
      <c r="A269" s="75">
        <f t="shared" si="4"/>
        <v>0</v>
      </c>
      <c r="B269" s="66"/>
      <c r="C269" s="66"/>
      <c r="D269" s="66"/>
      <c r="E269" s="68"/>
      <c r="F269" s="69"/>
      <c r="G269" s="70"/>
      <c r="H269" s="71"/>
      <c r="I269" s="72"/>
      <c r="J269" s="73"/>
      <c r="K269" s="62"/>
      <c r="L269" s="62"/>
      <c r="M269" s="62"/>
      <c r="N269" s="62"/>
      <c r="O269" s="62"/>
    </row>
    <row r="270" spans="1:15">
      <c r="A270" s="75">
        <f t="shared" si="4"/>
        <v>0</v>
      </c>
      <c r="B270" s="66"/>
      <c r="C270" s="66"/>
      <c r="D270" s="66"/>
      <c r="E270" s="68"/>
      <c r="F270" s="69"/>
      <c r="G270" s="70"/>
      <c r="H270" s="71"/>
      <c r="I270" s="72"/>
      <c r="J270" s="73"/>
      <c r="K270" s="62"/>
      <c r="L270" s="62"/>
      <c r="M270" s="62"/>
      <c r="N270" s="62"/>
      <c r="O270" s="62"/>
    </row>
    <row r="271" spans="1:15">
      <c r="A271" s="75">
        <f t="shared" si="4"/>
        <v>0</v>
      </c>
      <c r="B271" s="66"/>
      <c r="C271" s="66"/>
      <c r="D271" s="66"/>
      <c r="E271" s="68"/>
      <c r="F271" s="69"/>
      <c r="G271" s="70"/>
      <c r="H271" s="71"/>
      <c r="I271" s="72"/>
      <c r="J271" s="73"/>
      <c r="K271" s="62"/>
      <c r="L271" s="62"/>
      <c r="M271" s="62"/>
      <c r="N271" s="62"/>
      <c r="O271" s="62"/>
    </row>
    <row r="272" spans="1:15">
      <c r="A272" s="75">
        <f t="shared" si="4"/>
        <v>0</v>
      </c>
      <c r="B272" s="66"/>
      <c r="C272" s="66"/>
      <c r="D272" s="66"/>
      <c r="E272" s="68"/>
      <c r="F272" s="69"/>
      <c r="G272" s="70"/>
      <c r="H272" s="71"/>
      <c r="I272" s="72"/>
      <c r="J272" s="73"/>
      <c r="K272" s="62"/>
      <c r="L272" s="62"/>
      <c r="M272" s="62"/>
      <c r="N272" s="62"/>
      <c r="O272" s="62"/>
    </row>
    <row r="273" spans="1:15">
      <c r="A273" s="75">
        <f t="shared" si="4"/>
        <v>0</v>
      </c>
      <c r="B273" s="66"/>
      <c r="C273" s="66"/>
      <c r="D273" s="66"/>
      <c r="E273" s="68"/>
      <c r="F273" s="69"/>
      <c r="G273" s="70"/>
      <c r="H273" s="71"/>
      <c r="I273" s="72"/>
      <c r="J273" s="73"/>
      <c r="K273" s="62"/>
      <c r="L273" s="62"/>
      <c r="M273" s="62"/>
      <c r="N273" s="62"/>
      <c r="O273" s="62"/>
    </row>
    <row r="274" spans="1:15">
      <c r="A274" s="75">
        <f t="shared" si="4"/>
        <v>0</v>
      </c>
      <c r="B274" s="66"/>
      <c r="C274" s="66"/>
      <c r="D274" s="66"/>
      <c r="E274" s="68"/>
      <c r="F274" s="69"/>
      <c r="G274" s="70"/>
      <c r="H274" s="71"/>
      <c r="I274" s="72"/>
      <c r="J274" s="73"/>
      <c r="K274" s="62"/>
      <c r="L274" s="62"/>
      <c r="M274" s="62"/>
      <c r="N274" s="62"/>
      <c r="O274" s="62"/>
    </row>
    <row r="275" spans="1:15">
      <c r="A275" s="75">
        <f t="shared" si="4"/>
        <v>0</v>
      </c>
      <c r="B275" s="66"/>
      <c r="C275" s="66"/>
      <c r="D275" s="66"/>
      <c r="E275" s="68"/>
      <c r="F275" s="69"/>
      <c r="G275" s="70"/>
      <c r="H275" s="71"/>
      <c r="I275" s="72"/>
      <c r="J275" s="73"/>
      <c r="K275" s="62"/>
      <c r="L275" s="62"/>
      <c r="M275" s="62"/>
      <c r="N275" s="62"/>
      <c r="O275" s="62"/>
    </row>
    <row r="276" spans="1:15">
      <c r="A276" s="75">
        <f t="shared" si="4"/>
        <v>0</v>
      </c>
      <c r="B276" s="66"/>
      <c r="C276" s="66"/>
      <c r="D276" s="66"/>
      <c r="E276" s="68"/>
      <c r="F276" s="69"/>
      <c r="G276" s="70"/>
      <c r="H276" s="71"/>
      <c r="I276" s="72"/>
      <c r="J276" s="73"/>
      <c r="K276" s="62"/>
      <c r="L276" s="62"/>
      <c r="M276" s="62"/>
      <c r="N276" s="62"/>
      <c r="O276" s="62"/>
    </row>
    <row r="277" spans="1:15">
      <c r="A277" s="75">
        <f t="shared" si="4"/>
        <v>0</v>
      </c>
      <c r="B277" s="66"/>
      <c r="C277" s="66"/>
      <c r="D277" s="66"/>
      <c r="E277" s="68"/>
      <c r="F277" s="69"/>
      <c r="G277" s="70"/>
      <c r="H277" s="71"/>
      <c r="I277" s="72"/>
      <c r="J277" s="73"/>
      <c r="K277" s="62"/>
      <c r="L277" s="62"/>
      <c r="M277" s="62"/>
      <c r="N277" s="62"/>
      <c r="O277" s="62"/>
    </row>
    <row r="278" spans="1:15">
      <c r="A278" s="75">
        <f t="shared" si="4"/>
        <v>0</v>
      </c>
      <c r="B278" s="66"/>
      <c r="C278" s="66"/>
      <c r="D278" s="66"/>
      <c r="E278" s="68"/>
      <c r="F278" s="69"/>
      <c r="G278" s="70"/>
      <c r="H278" s="71"/>
      <c r="I278" s="72"/>
      <c r="J278" s="73"/>
      <c r="K278" s="62"/>
      <c r="L278" s="62"/>
      <c r="M278" s="62"/>
      <c r="N278" s="62"/>
      <c r="O278" s="62"/>
    </row>
    <row r="279" spans="1:15">
      <c r="A279" s="75">
        <f t="shared" si="4"/>
        <v>0</v>
      </c>
      <c r="B279" s="66"/>
      <c r="C279" s="66"/>
      <c r="D279" s="66"/>
      <c r="E279" s="68"/>
      <c r="F279" s="69"/>
      <c r="G279" s="70"/>
      <c r="H279" s="71"/>
      <c r="I279" s="72"/>
      <c r="J279" s="73"/>
      <c r="K279" s="62"/>
      <c r="L279" s="62"/>
      <c r="M279" s="62"/>
      <c r="N279" s="62"/>
      <c r="O279" s="62"/>
    </row>
    <row r="280" spans="1:15">
      <c r="A280" s="75">
        <f t="shared" si="4"/>
        <v>0</v>
      </c>
      <c r="B280" s="66"/>
      <c r="C280" s="66"/>
      <c r="D280" s="66"/>
      <c r="E280" s="68"/>
      <c r="F280" s="69"/>
      <c r="G280" s="70"/>
      <c r="H280" s="71"/>
      <c r="I280" s="72"/>
      <c r="J280" s="73"/>
      <c r="K280" s="62"/>
      <c r="L280" s="62"/>
      <c r="M280" s="62"/>
      <c r="N280" s="62"/>
      <c r="O280" s="62"/>
    </row>
    <row r="281" spans="1:15">
      <c r="A281" s="75">
        <f t="shared" si="4"/>
        <v>0</v>
      </c>
      <c r="B281" s="66"/>
      <c r="C281" s="66"/>
      <c r="D281" s="66"/>
      <c r="E281" s="68"/>
      <c r="F281" s="69"/>
      <c r="G281" s="70"/>
      <c r="H281" s="71"/>
      <c r="I281" s="72"/>
      <c r="J281" s="73"/>
      <c r="K281" s="62"/>
      <c r="L281" s="62"/>
      <c r="M281" s="62"/>
      <c r="N281" s="62"/>
      <c r="O281" s="62"/>
    </row>
    <row r="282" spans="1:15">
      <c r="A282" s="75">
        <f t="shared" si="4"/>
        <v>0</v>
      </c>
      <c r="B282" s="66"/>
      <c r="C282" s="66"/>
      <c r="D282" s="66"/>
      <c r="E282" s="68"/>
      <c r="F282" s="69"/>
      <c r="G282" s="70"/>
      <c r="H282" s="71"/>
      <c r="I282" s="72"/>
      <c r="J282" s="73"/>
      <c r="K282" s="62"/>
      <c r="L282" s="62"/>
      <c r="M282" s="62"/>
      <c r="N282" s="62"/>
      <c r="O282" s="62"/>
    </row>
    <row r="283" spans="1:15">
      <c r="A283" s="75">
        <f t="shared" si="4"/>
        <v>0</v>
      </c>
      <c r="B283" s="66"/>
      <c r="C283" s="66"/>
      <c r="D283" s="66"/>
      <c r="E283" s="68"/>
      <c r="F283" s="69"/>
      <c r="G283" s="70"/>
      <c r="H283" s="71"/>
      <c r="I283" s="72"/>
      <c r="J283" s="73"/>
      <c r="K283" s="62"/>
      <c r="L283" s="62"/>
      <c r="M283" s="62"/>
      <c r="N283" s="62"/>
      <c r="O283" s="62"/>
    </row>
    <row r="284" spans="1:15">
      <c r="A284" s="75">
        <f t="shared" si="4"/>
        <v>0</v>
      </c>
      <c r="B284" s="66"/>
      <c r="C284" s="66"/>
      <c r="D284" s="66"/>
      <c r="E284" s="68"/>
      <c r="F284" s="69"/>
      <c r="G284" s="70"/>
      <c r="H284" s="71"/>
      <c r="I284" s="72"/>
      <c r="J284" s="73"/>
      <c r="K284" s="62"/>
      <c r="L284" s="62"/>
      <c r="M284" s="62"/>
      <c r="N284" s="62"/>
      <c r="O284" s="62"/>
    </row>
    <row r="285" spans="1:15">
      <c r="A285" s="75">
        <f t="shared" si="4"/>
        <v>0</v>
      </c>
      <c r="B285" s="66"/>
      <c r="C285" s="66"/>
      <c r="D285" s="66"/>
      <c r="E285" s="68"/>
      <c r="F285" s="69"/>
      <c r="G285" s="70"/>
      <c r="H285" s="71"/>
      <c r="I285" s="72"/>
      <c r="J285" s="73"/>
      <c r="K285" s="62"/>
      <c r="L285" s="62"/>
      <c r="M285" s="62"/>
      <c r="N285" s="62"/>
      <c r="O285" s="62"/>
    </row>
    <row r="286" spans="1:15">
      <c r="A286" s="75">
        <f t="shared" si="4"/>
        <v>0</v>
      </c>
      <c r="B286" s="66"/>
      <c r="C286" s="66"/>
      <c r="D286" s="66"/>
      <c r="E286" s="68"/>
      <c r="F286" s="69"/>
      <c r="G286" s="70"/>
      <c r="H286" s="71"/>
      <c r="I286" s="72"/>
      <c r="J286" s="73"/>
      <c r="K286" s="62"/>
      <c r="L286" s="62"/>
      <c r="M286" s="62"/>
      <c r="N286" s="62"/>
      <c r="O286" s="62"/>
    </row>
    <row r="287" spans="1:15">
      <c r="A287" s="75">
        <f t="shared" si="4"/>
        <v>0</v>
      </c>
      <c r="B287" s="66"/>
      <c r="C287" s="66"/>
      <c r="D287" s="66"/>
      <c r="E287" s="68"/>
      <c r="F287" s="69"/>
      <c r="G287" s="70"/>
      <c r="H287" s="71"/>
      <c r="I287" s="72"/>
      <c r="J287" s="73"/>
      <c r="K287" s="62"/>
      <c r="L287" s="62"/>
      <c r="M287" s="62"/>
      <c r="N287" s="62"/>
      <c r="O287" s="62"/>
    </row>
    <row r="288" spans="1:15">
      <c r="A288" s="75">
        <f t="shared" si="4"/>
        <v>0</v>
      </c>
      <c r="B288" s="66"/>
      <c r="C288" s="66"/>
      <c r="D288" s="66"/>
      <c r="E288" s="68"/>
      <c r="F288" s="69"/>
      <c r="G288" s="70"/>
      <c r="H288" s="71"/>
      <c r="I288" s="72"/>
      <c r="J288" s="73"/>
      <c r="K288" s="62"/>
      <c r="L288" s="62"/>
      <c r="M288" s="62"/>
      <c r="N288" s="62"/>
      <c r="O288" s="62"/>
    </row>
    <row r="289" spans="1:15">
      <c r="A289" s="75">
        <f t="shared" si="4"/>
        <v>0</v>
      </c>
      <c r="B289" s="66"/>
      <c r="C289" s="66"/>
      <c r="D289" s="66"/>
      <c r="E289" s="68"/>
      <c r="F289" s="69"/>
      <c r="G289" s="70"/>
      <c r="H289" s="71"/>
      <c r="I289" s="72"/>
      <c r="J289" s="73"/>
      <c r="K289" s="62"/>
      <c r="L289" s="62"/>
      <c r="M289" s="62"/>
      <c r="N289" s="62"/>
      <c r="O289" s="62"/>
    </row>
    <row r="290" spans="1:15">
      <c r="A290" s="75">
        <f t="shared" si="4"/>
        <v>0</v>
      </c>
      <c r="B290" s="66"/>
      <c r="C290" s="66"/>
      <c r="D290" s="66"/>
      <c r="E290" s="68"/>
      <c r="F290" s="69"/>
      <c r="G290" s="70"/>
      <c r="H290" s="71"/>
      <c r="I290" s="72"/>
      <c r="J290" s="73"/>
      <c r="K290" s="62"/>
      <c r="L290" s="62"/>
      <c r="M290" s="62"/>
      <c r="N290" s="62"/>
      <c r="O290" s="62"/>
    </row>
    <row r="291" spans="1:15">
      <c r="A291" s="75">
        <f t="shared" si="4"/>
        <v>0</v>
      </c>
      <c r="B291" s="66"/>
      <c r="C291" s="66"/>
      <c r="D291" s="66"/>
      <c r="E291" s="68"/>
      <c r="F291" s="69"/>
      <c r="G291" s="70"/>
      <c r="H291" s="71"/>
      <c r="I291" s="72"/>
      <c r="J291" s="73"/>
      <c r="K291" s="62"/>
      <c r="L291" s="62"/>
      <c r="M291" s="62"/>
      <c r="N291" s="62"/>
      <c r="O291" s="62"/>
    </row>
    <row r="292" spans="1:15">
      <c r="A292" s="75">
        <f t="shared" si="4"/>
        <v>0</v>
      </c>
      <c r="B292" s="66"/>
      <c r="C292" s="66"/>
      <c r="D292" s="66"/>
      <c r="E292" s="68"/>
      <c r="F292" s="69"/>
      <c r="G292" s="70"/>
      <c r="H292" s="71"/>
      <c r="I292" s="72"/>
      <c r="J292" s="73"/>
      <c r="K292" s="62"/>
      <c r="L292" s="62"/>
      <c r="M292" s="62"/>
      <c r="N292" s="62"/>
      <c r="O292" s="62"/>
    </row>
    <row r="293" spans="1:15">
      <c r="A293" s="75">
        <f t="shared" si="4"/>
        <v>0</v>
      </c>
      <c r="B293" s="66"/>
      <c r="C293" s="66"/>
      <c r="D293" s="66"/>
      <c r="E293" s="68"/>
      <c r="F293" s="69"/>
      <c r="G293" s="70"/>
      <c r="H293" s="71"/>
      <c r="I293" s="72"/>
      <c r="J293" s="73"/>
      <c r="K293" s="62"/>
      <c r="L293" s="62"/>
      <c r="M293" s="62"/>
      <c r="N293" s="62"/>
      <c r="O293" s="62"/>
    </row>
    <row r="294" spans="1:15">
      <c r="A294" s="75">
        <f t="shared" si="4"/>
        <v>0</v>
      </c>
      <c r="B294" s="66"/>
      <c r="C294" s="66"/>
      <c r="D294" s="66"/>
      <c r="E294" s="68"/>
      <c r="F294" s="69"/>
      <c r="G294" s="70"/>
      <c r="H294" s="71"/>
      <c r="I294" s="72"/>
      <c r="J294" s="73"/>
      <c r="K294" s="62"/>
      <c r="L294" s="62"/>
      <c r="M294" s="62"/>
      <c r="N294" s="62"/>
      <c r="O294" s="62"/>
    </row>
    <row r="295" spans="1:15">
      <c r="A295" s="75">
        <f t="shared" si="4"/>
        <v>0</v>
      </c>
      <c r="B295" s="66"/>
      <c r="C295" s="66"/>
      <c r="D295" s="66"/>
      <c r="E295" s="68"/>
      <c r="F295" s="69"/>
      <c r="G295" s="70"/>
      <c r="H295" s="71"/>
      <c r="I295" s="72"/>
      <c r="J295" s="73"/>
      <c r="K295" s="62"/>
      <c r="L295" s="62"/>
      <c r="M295" s="62"/>
      <c r="N295" s="62"/>
      <c r="O295" s="62"/>
    </row>
    <row r="296" spans="1:15">
      <c r="A296" s="75">
        <f t="shared" si="4"/>
        <v>0</v>
      </c>
      <c r="B296" s="66"/>
      <c r="C296" s="66"/>
      <c r="D296" s="66"/>
      <c r="E296" s="68"/>
      <c r="F296" s="69"/>
      <c r="G296" s="70"/>
      <c r="H296" s="71"/>
      <c r="I296" s="72"/>
      <c r="J296" s="73"/>
      <c r="K296" s="62"/>
      <c r="L296" s="62"/>
      <c r="M296" s="62"/>
      <c r="N296" s="62"/>
      <c r="O296" s="62"/>
    </row>
    <row r="297" spans="1:15">
      <c r="A297" s="75">
        <f t="shared" si="4"/>
        <v>0</v>
      </c>
      <c r="B297" s="66"/>
      <c r="C297" s="66"/>
      <c r="D297" s="66"/>
      <c r="E297" s="68"/>
      <c r="F297" s="69"/>
      <c r="G297" s="70"/>
      <c r="H297" s="71"/>
      <c r="I297" s="72"/>
      <c r="J297" s="73"/>
      <c r="K297" s="62"/>
      <c r="L297" s="62"/>
      <c r="M297" s="62"/>
      <c r="N297" s="62"/>
      <c r="O297" s="62"/>
    </row>
    <row r="298" spans="1:15">
      <c r="A298" s="75">
        <f t="shared" si="4"/>
        <v>0</v>
      </c>
      <c r="B298" s="66"/>
      <c r="C298" s="66"/>
      <c r="D298" s="66"/>
      <c r="E298" s="68"/>
      <c r="F298" s="69"/>
      <c r="G298" s="70"/>
      <c r="H298" s="71"/>
      <c r="I298" s="72"/>
      <c r="J298" s="73"/>
      <c r="K298" s="62"/>
      <c r="L298" s="62"/>
      <c r="M298" s="62"/>
      <c r="N298" s="62"/>
      <c r="O298" s="62"/>
    </row>
    <row r="299" spans="1:15">
      <c r="A299" s="75">
        <f t="shared" si="4"/>
        <v>0</v>
      </c>
      <c r="B299" s="66"/>
      <c r="C299" s="66"/>
      <c r="D299" s="66"/>
      <c r="E299" s="68"/>
      <c r="F299" s="69"/>
      <c r="G299" s="70"/>
      <c r="H299" s="71"/>
      <c r="I299" s="72"/>
      <c r="J299" s="73"/>
      <c r="K299" s="62"/>
      <c r="L299" s="62"/>
      <c r="M299" s="62"/>
      <c r="N299" s="62"/>
      <c r="O299" s="62"/>
    </row>
    <row r="300" spans="1:15">
      <c r="A300" s="75">
        <f t="shared" si="4"/>
        <v>0</v>
      </c>
      <c r="B300" s="66"/>
      <c r="C300" s="66"/>
      <c r="D300" s="66"/>
      <c r="E300" s="68"/>
      <c r="F300" s="69"/>
      <c r="G300" s="70"/>
      <c r="H300" s="71"/>
      <c r="I300" s="72"/>
      <c r="J300" s="73"/>
      <c r="K300" s="62"/>
      <c r="L300" s="62"/>
      <c r="M300" s="62"/>
      <c r="N300" s="62"/>
      <c r="O300" s="62"/>
    </row>
    <row r="301" spans="1:15">
      <c r="A301" s="75">
        <f t="shared" si="4"/>
        <v>0</v>
      </c>
      <c r="B301" s="66"/>
      <c r="C301" s="66"/>
      <c r="D301" s="66"/>
      <c r="E301" s="68"/>
      <c r="F301" s="69"/>
      <c r="G301" s="70"/>
      <c r="H301" s="71"/>
      <c r="I301" s="72"/>
      <c r="J301" s="73"/>
      <c r="K301" s="62"/>
      <c r="L301" s="62"/>
      <c r="M301" s="62"/>
      <c r="N301" s="62"/>
      <c r="O301" s="62"/>
    </row>
    <row r="302" spans="1:15">
      <c r="A302" s="75">
        <f t="shared" si="4"/>
        <v>0</v>
      </c>
      <c r="B302" s="66"/>
      <c r="C302" s="66"/>
      <c r="D302" s="66"/>
      <c r="E302" s="68"/>
      <c r="F302" s="69"/>
      <c r="G302" s="70"/>
      <c r="H302" s="71"/>
      <c r="I302" s="72"/>
      <c r="J302" s="73"/>
      <c r="K302" s="62"/>
      <c r="L302" s="62"/>
      <c r="M302" s="62"/>
      <c r="N302" s="62"/>
      <c r="O302" s="62"/>
    </row>
    <row r="303" spans="1:15">
      <c r="A303" s="75">
        <f t="shared" si="4"/>
        <v>0</v>
      </c>
      <c r="B303" s="66"/>
      <c r="C303" s="66"/>
      <c r="D303" s="66"/>
      <c r="E303" s="68"/>
      <c r="F303" s="69"/>
      <c r="G303" s="70"/>
      <c r="H303" s="71"/>
      <c r="I303" s="72"/>
      <c r="J303" s="73"/>
      <c r="K303" s="62"/>
      <c r="L303" s="62"/>
      <c r="M303" s="62"/>
      <c r="N303" s="62"/>
      <c r="O303" s="62"/>
    </row>
    <row r="304" spans="1:15">
      <c r="A304" s="75">
        <f t="shared" si="4"/>
        <v>0</v>
      </c>
      <c r="B304" s="66"/>
      <c r="C304" s="66"/>
      <c r="D304" s="66"/>
      <c r="E304" s="68"/>
      <c r="F304" s="69"/>
      <c r="G304" s="70"/>
      <c r="H304" s="71"/>
      <c r="I304" s="72"/>
      <c r="J304" s="73"/>
      <c r="K304" s="62"/>
      <c r="L304" s="62"/>
      <c r="M304" s="62"/>
      <c r="N304" s="62"/>
      <c r="O304" s="62"/>
    </row>
    <row r="305" spans="1:15">
      <c r="A305" s="75">
        <f t="shared" si="4"/>
        <v>0</v>
      </c>
      <c r="B305" s="66"/>
      <c r="C305" s="66"/>
      <c r="D305" s="66"/>
      <c r="E305" s="68"/>
      <c r="F305" s="69"/>
      <c r="G305" s="70"/>
      <c r="H305" s="71"/>
      <c r="I305" s="72"/>
      <c r="J305" s="73"/>
      <c r="K305" s="62"/>
      <c r="L305" s="62"/>
      <c r="M305" s="62"/>
      <c r="N305" s="62"/>
      <c r="O305" s="62"/>
    </row>
    <row r="306" spans="1:15">
      <c r="A306" s="75">
        <f t="shared" si="4"/>
        <v>0</v>
      </c>
      <c r="B306" s="66"/>
      <c r="C306" s="66"/>
      <c r="D306" s="66"/>
      <c r="E306" s="68"/>
      <c r="F306" s="69"/>
      <c r="G306" s="70"/>
      <c r="H306" s="71"/>
      <c r="I306" s="72"/>
      <c r="J306" s="73"/>
      <c r="K306" s="62"/>
      <c r="L306" s="62"/>
      <c r="M306" s="62"/>
      <c r="N306" s="62"/>
      <c r="O306" s="62"/>
    </row>
    <row r="307" spans="1:15">
      <c r="A307" s="75">
        <f t="shared" si="4"/>
        <v>0</v>
      </c>
      <c r="B307" s="66"/>
      <c r="C307" s="66"/>
      <c r="D307" s="66"/>
      <c r="E307" s="68"/>
      <c r="F307" s="69"/>
      <c r="G307" s="70"/>
      <c r="H307" s="71"/>
      <c r="I307" s="72"/>
      <c r="J307" s="73"/>
      <c r="K307" s="62"/>
      <c r="L307" s="62"/>
      <c r="M307" s="62"/>
      <c r="N307" s="62"/>
      <c r="O307" s="62"/>
    </row>
    <row r="308" spans="1:15">
      <c r="A308" s="75">
        <f t="shared" si="4"/>
        <v>0</v>
      </c>
      <c r="B308" s="66"/>
      <c r="C308" s="66"/>
      <c r="D308" s="66"/>
      <c r="E308" s="68"/>
      <c r="F308" s="69"/>
      <c r="G308" s="70"/>
      <c r="H308" s="71"/>
      <c r="I308" s="72"/>
      <c r="J308" s="73"/>
      <c r="K308" s="62"/>
      <c r="L308" s="62"/>
      <c r="M308" s="62"/>
      <c r="N308" s="62"/>
      <c r="O308" s="62"/>
    </row>
    <row r="309" spans="1:15">
      <c r="A309" s="75">
        <f t="shared" si="4"/>
        <v>0</v>
      </c>
      <c r="B309" s="66"/>
      <c r="C309" s="66"/>
      <c r="D309" s="66"/>
      <c r="E309" s="68"/>
      <c r="F309" s="69"/>
      <c r="G309" s="70"/>
      <c r="H309" s="71"/>
      <c r="I309" s="72"/>
      <c r="J309" s="73"/>
      <c r="K309" s="62"/>
      <c r="L309" s="62"/>
      <c r="M309" s="62"/>
      <c r="N309" s="62"/>
      <c r="O309" s="62"/>
    </row>
    <row r="310" spans="1:15">
      <c r="A310" s="75">
        <f t="shared" si="4"/>
        <v>0</v>
      </c>
      <c r="B310" s="66"/>
      <c r="C310" s="66"/>
      <c r="D310" s="66"/>
      <c r="E310" s="68"/>
      <c r="F310" s="69"/>
      <c r="G310" s="70"/>
      <c r="H310" s="71"/>
      <c r="I310" s="72"/>
      <c r="J310" s="73"/>
      <c r="K310" s="62"/>
      <c r="L310" s="62"/>
      <c r="M310" s="62"/>
      <c r="N310" s="62"/>
      <c r="O310" s="62"/>
    </row>
    <row r="311" spans="1:15">
      <c r="A311" s="75">
        <f t="shared" si="4"/>
        <v>0</v>
      </c>
      <c r="B311" s="66"/>
      <c r="C311" s="66"/>
      <c r="D311" s="66"/>
      <c r="E311" s="68"/>
      <c r="F311" s="69"/>
      <c r="G311" s="70"/>
      <c r="H311" s="71"/>
      <c r="I311" s="72"/>
      <c r="J311" s="73"/>
      <c r="K311" s="62"/>
      <c r="L311" s="62"/>
      <c r="M311" s="62"/>
      <c r="N311" s="62"/>
      <c r="O311" s="62"/>
    </row>
    <row r="312" spans="1:15">
      <c r="A312" s="75">
        <f t="shared" si="4"/>
        <v>0</v>
      </c>
      <c r="B312" s="66"/>
      <c r="C312" s="66"/>
      <c r="D312" s="66"/>
      <c r="E312" s="68"/>
      <c r="F312" s="69"/>
      <c r="G312" s="70"/>
      <c r="H312" s="71"/>
      <c r="I312" s="72"/>
      <c r="J312" s="73"/>
      <c r="K312" s="62"/>
      <c r="L312" s="62"/>
      <c r="M312" s="62"/>
      <c r="N312" s="62"/>
      <c r="O312" s="62"/>
    </row>
    <row r="313" spans="1:15">
      <c r="A313" s="75">
        <f t="shared" si="4"/>
        <v>0</v>
      </c>
      <c r="B313" s="66"/>
      <c r="C313" s="66"/>
      <c r="D313" s="66"/>
      <c r="E313" s="68"/>
      <c r="F313" s="69"/>
      <c r="G313" s="70"/>
      <c r="H313" s="71"/>
      <c r="I313" s="72"/>
      <c r="J313" s="73"/>
      <c r="K313" s="62"/>
      <c r="L313" s="62"/>
      <c r="M313" s="62"/>
      <c r="N313" s="62"/>
      <c r="O313" s="62"/>
    </row>
    <row r="314" spans="1:15">
      <c r="A314" s="75">
        <f t="shared" si="4"/>
        <v>0</v>
      </c>
      <c r="B314" s="66"/>
      <c r="C314" s="66"/>
      <c r="D314" s="66"/>
      <c r="E314" s="68"/>
      <c r="F314" s="69"/>
      <c r="G314" s="70"/>
      <c r="H314" s="71"/>
      <c r="I314" s="72"/>
      <c r="J314" s="73"/>
      <c r="K314" s="62"/>
      <c r="L314" s="62"/>
      <c r="M314" s="62"/>
      <c r="N314" s="62"/>
      <c r="O314" s="62"/>
    </row>
    <row r="315" spans="1:15">
      <c r="A315" s="75">
        <f t="shared" si="4"/>
        <v>0</v>
      </c>
      <c r="B315" s="66"/>
      <c r="C315" s="66"/>
      <c r="D315" s="66"/>
      <c r="E315" s="68"/>
      <c r="F315" s="69"/>
      <c r="G315" s="70"/>
      <c r="H315" s="71"/>
      <c r="I315" s="72"/>
      <c r="J315" s="73"/>
      <c r="K315" s="62"/>
      <c r="L315" s="62"/>
      <c r="M315" s="62"/>
      <c r="N315" s="62"/>
      <c r="O315" s="62"/>
    </row>
    <row r="316" spans="1:15">
      <c r="A316" s="75">
        <f t="shared" si="4"/>
        <v>0</v>
      </c>
      <c r="B316" s="66"/>
      <c r="C316" s="66"/>
      <c r="D316" s="66"/>
      <c r="E316" s="68"/>
      <c r="F316" s="69"/>
      <c r="G316" s="70"/>
      <c r="H316" s="71"/>
      <c r="I316" s="72"/>
      <c r="J316" s="73"/>
      <c r="K316" s="62"/>
      <c r="L316" s="62"/>
      <c r="M316" s="62"/>
      <c r="N316" s="62"/>
      <c r="O316" s="62"/>
    </row>
    <row r="317" spans="1:15">
      <c r="A317" s="75">
        <f t="shared" si="4"/>
        <v>0</v>
      </c>
      <c r="B317" s="66"/>
      <c r="C317" s="66"/>
      <c r="D317" s="66"/>
      <c r="E317" s="68"/>
      <c r="F317" s="69"/>
      <c r="G317" s="70"/>
      <c r="H317" s="71"/>
      <c r="I317" s="72"/>
      <c r="J317" s="73"/>
      <c r="K317" s="62"/>
      <c r="L317" s="62"/>
      <c r="M317" s="62"/>
      <c r="N317" s="62"/>
      <c r="O317" s="62"/>
    </row>
    <row r="318" spans="1:15">
      <c r="A318" s="75">
        <f t="shared" si="4"/>
        <v>0</v>
      </c>
      <c r="B318" s="66"/>
      <c r="C318" s="66"/>
      <c r="D318" s="66"/>
      <c r="E318" s="68"/>
      <c r="F318" s="69"/>
      <c r="G318" s="70"/>
      <c r="H318" s="71"/>
      <c r="I318" s="72"/>
      <c r="J318" s="73"/>
      <c r="K318" s="62"/>
      <c r="L318" s="62"/>
      <c r="M318" s="62"/>
      <c r="N318" s="62"/>
      <c r="O318" s="62"/>
    </row>
    <row r="319" spans="1:15">
      <c r="A319" s="75">
        <f t="shared" si="4"/>
        <v>0</v>
      </c>
      <c r="B319" s="66"/>
      <c r="C319" s="66"/>
      <c r="D319" s="66"/>
      <c r="E319" s="68"/>
      <c r="F319" s="69"/>
      <c r="G319" s="70"/>
      <c r="H319" s="71"/>
      <c r="I319" s="72"/>
      <c r="J319" s="73"/>
      <c r="K319" s="62"/>
      <c r="L319" s="62"/>
      <c r="M319" s="62"/>
      <c r="N319" s="62"/>
      <c r="O319" s="62"/>
    </row>
    <row r="320" spans="1:15">
      <c r="A320" s="75">
        <f t="shared" si="4"/>
        <v>0</v>
      </c>
      <c r="B320" s="66"/>
      <c r="C320" s="66"/>
      <c r="D320" s="66"/>
      <c r="E320" s="68"/>
      <c r="F320" s="69"/>
      <c r="G320" s="70"/>
      <c r="H320" s="71"/>
      <c r="I320" s="72"/>
      <c r="J320" s="73"/>
      <c r="K320" s="62"/>
      <c r="L320" s="62"/>
      <c r="M320" s="62"/>
      <c r="N320" s="62"/>
      <c r="O320" s="62"/>
    </row>
    <row r="321" spans="1:15">
      <c r="A321" s="75">
        <f t="shared" si="4"/>
        <v>0</v>
      </c>
      <c r="B321" s="66"/>
      <c r="C321" s="66"/>
      <c r="D321" s="66"/>
      <c r="E321" s="68"/>
      <c r="F321" s="69"/>
      <c r="G321" s="70"/>
      <c r="H321" s="71"/>
      <c r="I321" s="72"/>
      <c r="J321" s="73"/>
      <c r="K321" s="62"/>
      <c r="L321" s="62"/>
      <c r="M321" s="62"/>
      <c r="N321" s="62"/>
      <c r="O321" s="62"/>
    </row>
    <row r="322" spans="1:15">
      <c r="A322" s="75">
        <f t="shared" si="4"/>
        <v>0</v>
      </c>
      <c r="B322" s="66"/>
      <c r="C322" s="66"/>
      <c r="D322" s="66"/>
      <c r="E322" s="68"/>
      <c r="F322" s="69"/>
      <c r="G322" s="70"/>
      <c r="H322" s="71"/>
      <c r="I322" s="72"/>
      <c r="J322" s="73"/>
      <c r="K322" s="62"/>
      <c r="L322" s="62"/>
      <c r="M322" s="62"/>
      <c r="N322" s="62"/>
      <c r="O322" s="62"/>
    </row>
    <row r="323" spans="1:15">
      <c r="A323" s="75">
        <f t="shared" si="4"/>
        <v>0</v>
      </c>
      <c r="B323" s="66"/>
      <c r="C323" s="66"/>
      <c r="D323" s="66"/>
      <c r="E323" s="68"/>
      <c r="F323" s="69"/>
      <c r="G323" s="70"/>
      <c r="H323" s="71"/>
      <c r="I323" s="72"/>
      <c r="J323" s="73"/>
      <c r="K323" s="62"/>
      <c r="L323" s="62"/>
      <c r="M323" s="62"/>
      <c r="N323" s="62"/>
      <c r="O323" s="62"/>
    </row>
    <row r="324" spans="1:15">
      <c r="A324" s="75">
        <f t="shared" si="4"/>
        <v>0</v>
      </c>
      <c r="B324" s="66"/>
      <c r="C324" s="66"/>
      <c r="D324" s="66"/>
      <c r="E324" s="68"/>
      <c r="F324" s="69"/>
      <c r="G324" s="70"/>
      <c r="H324" s="71"/>
      <c r="I324" s="72"/>
      <c r="J324" s="73"/>
      <c r="K324" s="62"/>
      <c r="L324" s="62"/>
      <c r="M324" s="62"/>
      <c r="N324" s="62"/>
      <c r="O324" s="62"/>
    </row>
    <row r="325" spans="1:15">
      <c r="A325" s="75">
        <f t="shared" si="4"/>
        <v>0</v>
      </c>
      <c r="B325" s="66"/>
      <c r="C325" s="66"/>
      <c r="D325" s="66"/>
      <c r="E325" s="68"/>
      <c r="F325" s="69"/>
      <c r="G325" s="70"/>
      <c r="H325" s="71"/>
      <c r="I325" s="72"/>
      <c r="J325" s="73"/>
      <c r="K325" s="62"/>
      <c r="L325" s="62"/>
      <c r="M325" s="62"/>
      <c r="N325" s="62"/>
      <c r="O325" s="62"/>
    </row>
    <row r="326" spans="1:15">
      <c r="A326" s="75">
        <f t="shared" si="4"/>
        <v>0</v>
      </c>
      <c r="B326" s="66"/>
      <c r="C326" s="66"/>
      <c r="D326" s="66"/>
      <c r="E326" s="68"/>
      <c r="F326" s="69"/>
      <c r="G326" s="70"/>
      <c r="H326" s="71"/>
      <c r="I326" s="72"/>
      <c r="J326" s="73"/>
      <c r="K326" s="62"/>
      <c r="L326" s="62"/>
      <c r="M326" s="62"/>
      <c r="N326" s="62"/>
      <c r="O326" s="62"/>
    </row>
    <row r="327" spans="1:15">
      <c r="A327" s="75">
        <f t="shared" si="4"/>
        <v>0</v>
      </c>
      <c r="B327" s="66"/>
      <c r="C327" s="66"/>
      <c r="D327" s="66"/>
      <c r="E327" s="68"/>
      <c r="F327" s="69"/>
      <c r="G327" s="70"/>
      <c r="H327" s="71"/>
      <c r="I327" s="72"/>
      <c r="J327" s="73"/>
      <c r="K327" s="62"/>
      <c r="L327" s="62"/>
      <c r="M327" s="62"/>
      <c r="N327" s="62"/>
      <c r="O327" s="62"/>
    </row>
    <row r="328" spans="1:15">
      <c r="A328" s="75">
        <f t="shared" si="4"/>
        <v>0</v>
      </c>
      <c r="B328" s="66"/>
      <c r="C328" s="66"/>
      <c r="D328" s="66"/>
      <c r="E328" s="68"/>
      <c r="F328" s="69"/>
      <c r="G328" s="70"/>
      <c r="H328" s="71"/>
      <c r="I328" s="72"/>
      <c r="J328" s="73"/>
      <c r="K328" s="62"/>
      <c r="L328" s="62"/>
      <c r="M328" s="62"/>
      <c r="N328" s="62"/>
      <c r="O328" s="62"/>
    </row>
    <row r="329" spans="1:15">
      <c r="A329" s="75">
        <f t="shared" si="4"/>
        <v>0</v>
      </c>
      <c r="B329" s="66"/>
      <c r="C329" s="66"/>
      <c r="D329" s="66"/>
      <c r="E329" s="68"/>
      <c r="F329" s="69"/>
      <c r="G329" s="70"/>
      <c r="H329" s="71"/>
      <c r="I329" s="72"/>
      <c r="J329" s="73"/>
      <c r="K329" s="62"/>
      <c r="L329" s="62"/>
      <c r="M329" s="62"/>
      <c r="N329" s="62"/>
      <c r="O329" s="62"/>
    </row>
    <row r="330" spans="1:15">
      <c r="A330" s="75">
        <f t="shared" ref="A330:A393" si="5">E330</f>
        <v>0</v>
      </c>
      <c r="B330" s="66"/>
      <c r="C330" s="66"/>
      <c r="D330" s="66"/>
      <c r="E330" s="68"/>
      <c r="F330" s="69"/>
      <c r="G330" s="70"/>
      <c r="H330" s="71"/>
      <c r="I330" s="72"/>
      <c r="J330" s="73"/>
      <c r="K330" s="62"/>
      <c r="L330" s="62"/>
      <c r="M330" s="62"/>
      <c r="N330" s="62"/>
      <c r="O330" s="62"/>
    </row>
    <row r="331" spans="1:15">
      <c r="A331" s="75">
        <f t="shared" si="5"/>
        <v>0</v>
      </c>
      <c r="B331" s="66"/>
      <c r="C331" s="66"/>
      <c r="D331" s="66"/>
      <c r="E331" s="68"/>
      <c r="F331" s="69"/>
      <c r="G331" s="70"/>
      <c r="H331" s="71"/>
      <c r="I331" s="72"/>
      <c r="J331" s="73"/>
      <c r="K331" s="62"/>
      <c r="L331" s="62"/>
      <c r="M331" s="62"/>
      <c r="N331" s="62"/>
      <c r="O331" s="62"/>
    </row>
    <row r="332" spans="1:15">
      <c r="A332" s="75">
        <f t="shared" si="5"/>
        <v>0</v>
      </c>
      <c r="B332" s="66"/>
      <c r="C332" s="66"/>
      <c r="D332" s="66"/>
      <c r="E332" s="68"/>
      <c r="F332" s="69"/>
      <c r="G332" s="70"/>
      <c r="H332" s="71"/>
      <c r="I332" s="72"/>
      <c r="J332" s="73"/>
      <c r="K332" s="62"/>
      <c r="L332" s="62"/>
      <c r="M332" s="62"/>
      <c r="N332" s="62"/>
      <c r="O332" s="62"/>
    </row>
    <row r="333" spans="1:15">
      <c r="A333" s="75">
        <f t="shared" si="5"/>
        <v>0</v>
      </c>
      <c r="B333" s="66"/>
      <c r="C333" s="66"/>
      <c r="D333" s="66"/>
      <c r="E333" s="68"/>
      <c r="F333" s="69"/>
      <c r="G333" s="70"/>
      <c r="H333" s="71"/>
      <c r="I333" s="72"/>
      <c r="J333" s="73"/>
      <c r="K333" s="62"/>
      <c r="L333" s="62"/>
      <c r="M333" s="62"/>
      <c r="N333" s="62"/>
      <c r="O333" s="62"/>
    </row>
    <row r="334" spans="1:15">
      <c r="A334" s="75">
        <f t="shared" si="5"/>
        <v>0</v>
      </c>
      <c r="B334" s="66"/>
      <c r="C334" s="66"/>
      <c r="D334" s="66"/>
      <c r="E334" s="68"/>
      <c r="F334" s="69"/>
      <c r="G334" s="70"/>
      <c r="H334" s="71"/>
      <c r="I334" s="72"/>
      <c r="J334" s="73"/>
      <c r="K334" s="62"/>
      <c r="L334" s="62"/>
      <c r="M334" s="62"/>
      <c r="N334" s="62"/>
      <c r="O334" s="62"/>
    </row>
    <row r="335" spans="1:15">
      <c r="A335" s="75">
        <f t="shared" si="5"/>
        <v>0</v>
      </c>
      <c r="B335" s="66"/>
      <c r="C335" s="66"/>
      <c r="D335" s="66"/>
      <c r="E335" s="68"/>
      <c r="F335" s="69"/>
      <c r="G335" s="70"/>
      <c r="H335" s="71"/>
      <c r="I335" s="72"/>
      <c r="J335" s="73"/>
      <c r="K335" s="62"/>
      <c r="L335" s="62"/>
      <c r="M335" s="62"/>
      <c r="N335" s="62"/>
      <c r="O335" s="62"/>
    </row>
    <row r="336" spans="1:15">
      <c r="A336" s="75">
        <f t="shared" si="5"/>
        <v>0</v>
      </c>
      <c r="B336" s="66"/>
      <c r="C336" s="66"/>
      <c r="D336" s="66"/>
      <c r="E336" s="68"/>
      <c r="F336" s="69"/>
      <c r="G336" s="70"/>
      <c r="H336" s="71"/>
      <c r="I336" s="72"/>
      <c r="J336" s="73"/>
      <c r="K336" s="62"/>
      <c r="L336" s="62"/>
      <c r="M336" s="62"/>
      <c r="N336" s="62"/>
      <c r="O336" s="62"/>
    </row>
    <row r="337" spans="1:15">
      <c r="A337" s="75">
        <f t="shared" si="5"/>
        <v>0</v>
      </c>
      <c r="B337" s="66"/>
      <c r="C337" s="66"/>
      <c r="D337" s="66"/>
      <c r="E337" s="68"/>
      <c r="F337" s="69"/>
      <c r="G337" s="70"/>
      <c r="H337" s="71"/>
      <c r="I337" s="72"/>
      <c r="J337" s="73"/>
      <c r="K337" s="62"/>
      <c r="L337" s="62"/>
      <c r="M337" s="62"/>
      <c r="N337" s="62"/>
      <c r="O337" s="62"/>
    </row>
    <row r="338" spans="1:15">
      <c r="A338" s="75">
        <f t="shared" si="5"/>
        <v>0</v>
      </c>
      <c r="B338" s="66"/>
      <c r="C338" s="66"/>
      <c r="D338" s="66"/>
      <c r="E338" s="68"/>
      <c r="F338" s="69"/>
      <c r="G338" s="70"/>
      <c r="H338" s="71"/>
      <c r="I338" s="72"/>
      <c r="J338" s="73"/>
      <c r="K338" s="62"/>
      <c r="L338" s="62"/>
      <c r="M338" s="62"/>
      <c r="N338" s="62"/>
      <c r="O338" s="62"/>
    </row>
    <row r="339" spans="1:15">
      <c r="A339" s="75">
        <f t="shared" si="5"/>
        <v>0</v>
      </c>
      <c r="B339" s="66"/>
      <c r="C339" s="66"/>
      <c r="D339" s="66"/>
      <c r="E339" s="68"/>
      <c r="F339" s="69"/>
      <c r="G339" s="70"/>
      <c r="H339" s="71"/>
      <c r="I339" s="72"/>
      <c r="J339" s="73"/>
      <c r="K339" s="62"/>
      <c r="L339" s="62"/>
      <c r="M339" s="62"/>
      <c r="N339" s="62"/>
      <c r="O339" s="62"/>
    </row>
    <row r="340" spans="1:15">
      <c r="A340" s="75">
        <f t="shared" si="5"/>
        <v>0</v>
      </c>
      <c r="B340" s="66"/>
      <c r="C340" s="66"/>
      <c r="D340" s="66"/>
      <c r="E340" s="68"/>
      <c r="F340" s="69"/>
      <c r="G340" s="70"/>
      <c r="H340" s="71"/>
      <c r="I340" s="72"/>
      <c r="J340" s="73"/>
      <c r="K340" s="62"/>
      <c r="L340" s="62"/>
      <c r="M340" s="62"/>
      <c r="N340" s="62"/>
      <c r="O340" s="62"/>
    </row>
    <row r="341" spans="1:15">
      <c r="A341" s="75">
        <f t="shared" si="5"/>
        <v>0</v>
      </c>
      <c r="B341" s="66"/>
      <c r="C341" s="66"/>
      <c r="D341" s="66"/>
      <c r="E341" s="68"/>
      <c r="F341" s="69"/>
      <c r="G341" s="70"/>
      <c r="H341" s="71"/>
      <c r="I341" s="72"/>
      <c r="J341" s="73"/>
      <c r="K341" s="62"/>
      <c r="L341" s="62"/>
      <c r="M341" s="62"/>
      <c r="N341" s="62"/>
      <c r="O341" s="62"/>
    </row>
    <row r="342" spans="1:15">
      <c r="A342" s="75">
        <f t="shared" si="5"/>
        <v>0</v>
      </c>
      <c r="B342" s="66"/>
      <c r="C342" s="66"/>
      <c r="D342" s="66"/>
      <c r="E342" s="68"/>
      <c r="F342" s="69"/>
      <c r="G342" s="70"/>
      <c r="H342" s="71"/>
      <c r="I342" s="72"/>
      <c r="J342" s="73"/>
      <c r="K342" s="62"/>
      <c r="L342" s="62"/>
      <c r="M342" s="62"/>
      <c r="N342" s="62"/>
      <c r="O342" s="62"/>
    </row>
    <row r="343" spans="1:15">
      <c r="A343" s="75">
        <f t="shared" si="5"/>
        <v>0</v>
      </c>
      <c r="B343" s="66"/>
      <c r="C343" s="66"/>
      <c r="D343" s="66"/>
      <c r="E343" s="68"/>
      <c r="F343" s="69"/>
      <c r="G343" s="70"/>
      <c r="H343" s="71"/>
      <c r="I343" s="72"/>
      <c r="J343" s="73"/>
      <c r="K343" s="62"/>
      <c r="L343" s="62"/>
      <c r="M343" s="62"/>
      <c r="N343" s="62"/>
      <c r="O343" s="62"/>
    </row>
    <row r="344" spans="1:15">
      <c r="A344" s="75">
        <f t="shared" si="5"/>
        <v>0</v>
      </c>
      <c r="B344" s="66"/>
      <c r="C344" s="66"/>
      <c r="D344" s="66"/>
      <c r="E344" s="68"/>
      <c r="F344" s="69"/>
      <c r="G344" s="70"/>
      <c r="H344" s="71"/>
      <c r="I344" s="72"/>
      <c r="J344" s="73"/>
      <c r="K344" s="62"/>
      <c r="L344" s="62"/>
      <c r="M344" s="62"/>
      <c r="N344" s="62"/>
      <c r="O344" s="62"/>
    </row>
    <row r="345" spans="1:15">
      <c r="A345" s="75">
        <f t="shared" si="5"/>
        <v>0</v>
      </c>
      <c r="B345" s="66"/>
      <c r="C345" s="66"/>
      <c r="D345" s="66"/>
      <c r="E345" s="68"/>
      <c r="F345" s="69"/>
      <c r="G345" s="70"/>
      <c r="H345" s="71"/>
      <c r="I345" s="72"/>
      <c r="J345" s="73"/>
      <c r="K345" s="62"/>
      <c r="L345" s="62"/>
      <c r="M345" s="62"/>
      <c r="N345" s="62"/>
      <c r="O345" s="62"/>
    </row>
    <row r="346" spans="1:15">
      <c r="A346" s="75">
        <f t="shared" si="5"/>
        <v>0</v>
      </c>
      <c r="B346" s="66"/>
      <c r="C346" s="66"/>
      <c r="D346" s="66"/>
      <c r="E346" s="68"/>
      <c r="F346" s="69"/>
      <c r="G346" s="70"/>
      <c r="H346" s="71"/>
      <c r="I346" s="72"/>
      <c r="J346" s="73"/>
      <c r="K346" s="62"/>
      <c r="L346" s="62"/>
      <c r="M346" s="62"/>
      <c r="N346" s="62"/>
      <c r="O346" s="62"/>
    </row>
    <row r="347" spans="1:15">
      <c r="A347" s="75">
        <f t="shared" si="5"/>
        <v>0</v>
      </c>
      <c r="B347" s="66"/>
      <c r="C347" s="66"/>
      <c r="D347" s="66"/>
      <c r="E347" s="68"/>
      <c r="F347" s="69"/>
      <c r="G347" s="70"/>
      <c r="H347" s="71"/>
      <c r="I347" s="72"/>
      <c r="J347" s="73"/>
      <c r="K347" s="62"/>
      <c r="L347" s="62"/>
      <c r="M347" s="62"/>
      <c r="N347" s="62"/>
      <c r="O347" s="62"/>
    </row>
    <row r="348" spans="1:15">
      <c r="A348" s="75">
        <f t="shared" si="5"/>
        <v>0</v>
      </c>
      <c r="B348" s="66"/>
      <c r="C348" s="66"/>
      <c r="D348" s="66"/>
      <c r="E348" s="68"/>
      <c r="F348" s="69"/>
      <c r="G348" s="70"/>
      <c r="H348" s="71"/>
      <c r="I348" s="72"/>
      <c r="J348" s="73"/>
      <c r="K348" s="62"/>
      <c r="L348" s="62"/>
      <c r="M348" s="62"/>
      <c r="N348" s="62"/>
      <c r="O348" s="62"/>
    </row>
    <row r="349" spans="1:15">
      <c r="A349" s="75">
        <f t="shared" si="5"/>
        <v>0</v>
      </c>
      <c r="B349" s="66"/>
      <c r="C349" s="66"/>
      <c r="D349" s="66"/>
      <c r="E349" s="68"/>
      <c r="F349" s="69"/>
      <c r="G349" s="70"/>
      <c r="H349" s="71"/>
      <c r="I349" s="72"/>
      <c r="J349" s="73"/>
      <c r="K349" s="62"/>
      <c r="L349" s="62"/>
      <c r="M349" s="62"/>
      <c r="N349" s="62"/>
      <c r="O349" s="62"/>
    </row>
    <row r="350" spans="1:15">
      <c r="A350" s="75">
        <f t="shared" si="5"/>
        <v>0</v>
      </c>
      <c r="B350" s="66"/>
      <c r="C350" s="66"/>
      <c r="D350" s="66"/>
      <c r="E350" s="68"/>
      <c r="F350" s="69"/>
      <c r="G350" s="70"/>
      <c r="H350" s="71"/>
      <c r="I350" s="72"/>
      <c r="J350" s="73"/>
      <c r="K350" s="62"/>
      <c r="L350" s="62"/>
      <c r="M350" s="62"/>
      <c r="N350" s="62"/>
      <c r="O350" s="62"/>
    </row>
    <row r="351" spans="1:15">
      <c r="A351" s="75">
        <f t="shared" si="5"/>
        <v>0</v>
      </c>
      <c r="B351" s="66"/>
      <c r="C351" s="66"/>
      <c r="D351" s="66"/>
      <c r="E351" s="68"/>
      <c r="F351" s="69"/>
      <c r="G351" s="70"/>
      <c r="H351" s="71"/>
      <c r="I351" s="72"/>
      <c r="J351" s="73"/>
      <c r="K351" s="62"/>
      <c r="L351" s="62"/>
      <c r="M351" s="62"/>
      <c r="N351" s="62"/>
      <c r="O351" s="62"/>
    </row>
    <row r="352" spans="1:15">
      <c r="A352" s="75">
        <f t="shared" si="5"/>
        <v>0</v>
      </c>
      <c r="B352" s="66"/>
      <c r="C352" s="66"/>
      <c r="D352" s="66"/>
      <c r="E352" s="68"/>
      <c r="F352" s="69"/>
      <c r="G352" s="70"/>
      <c r="H352" s="71"/>
      <c r="I352" s="72"/>
      <c r="J352" s="73"/>
      <c r="K352" s="62"/>
      <c r="L352" s="62"/>
      <c r="M352" s="62"/>
      <c r="N352" s="62"/>
      <c r="O352" s="62"/>
    </row>
    <row r="353" spans="1:15">
      <c r="A353" s="75">
        <f t="shared" si="5"/>
        <v>0</v>
      </c>
      <c r="B353" s="66"/>
      <c r="C353" s="66"/>
      <c r="D353" s="66"/>
      <c r="E353" s="68"/>
      <c r="F353" s="69"/>
      <c r="G353" s="70"/>
      <c r="H353" s="71"/>
      <c r="I353" s="72"/>
      <c r="J353" s="73"/>
      <c r="K353" s="62"/>
      <c r="L353" s="62"/>
      <c r="M353" s="62"/>
      <c r="N353" s="62"/>
      <c r="O353" s="62"/>
    </row>
    <row r="354" spans="1:15">
      <c r="A354" s="75">
        <f t="shared" si="5"/>
        <v>0</v>
      </c>
      <c r="B354" s="66"/>
      <c r="C354" s="66"/>
      <c r="D354" s="66"/>
      <c r="E354" s="68"/>
      <c r="F354" s="69"/>
      <c r="G354" s="70"/>
      <c r="H354" s="71"/>
      <c r="I354" s="72"/>
      <c r="J354" s="73"/>
      <c r="K354" s="62"/>
      <c r="L354" s="62"/>
      <c r="M354" s="62"/>
      <c r="N354" s="62"/>
      <c r="O354" s="62"/>
    </row>
    <row r="355" spans="1:15">
      <c r="A355" s="75">
        <f t="shared" si="5"/>
        <v>0</v>
      </c>
      <c r="B355" s="66"/>
      <c r="C355" s="66"/>
      <c r="D355" s="66"/>
      <c r="E355" s="68"/>
      <c r="F355" s="69"/>
      <c r="G355" s="70"/>
      <c r="H355" s="71"/>
      <c r="I355" s="72"/>
      <c r="J355" s="73"/>
      <c r="K355" s="62"/>
      <c r="L355" s="62"/>
      <c r="M355" s="62"/>
      <c r="N355" s="62"/>
      <c r="O355" s="62"/>
    </row>
    <row r="356" spans="1:15">
      <c r="A356" s="75">
        <f t="shared" si="5"/>
        <v>0</v>
      </c>
      <c r="B356" s="66"/>
      <c r="C356" s="66"/>
      <c r="D356" s="66"/>
      <c r="E356" s="68"/>
      <c r="F356" s="69"/>
      <c r="G356" s="70"/>
      <c r="H356" s="71"/>
      <c r="I356" s="72"/>
      <c r="J356" s="73"/>
      <c r="K356" s="62"/>
      <c r="L356" s="62"/>
      <c r="M356" s="62"/>
      <c r="N356" s="62"/>
      <c r="O356" s="62"/>
    </row>
    <row r="357" spans="1:15">
      <c r="A357" s="75">
        <f t="shared" si="5"/>
        <v>0</v>
      </c>
      <c r="B357" s="66"/>
      <c r="C357" s="66"/>
      <c r="D357" s="66"/>
      <c r="E357" s="68"/>
      <c r="F357" s="69"/>
      <c r="G357" s="70"/>
      <c r="H357" s="71"/>
      <c r="I357" s="72"/>
      <c r="J357" s="73"/>
      <c r="K357" s="62"/>
      <c r="L357" s="62"/>
      <c r="M357" s="62"/>
      <c r="N357" s="62"/>
      <c r="O357" s="62"/>
    </row>
    <row r="358" spans="1:15">
      <c r="A358" s="75">
        <f t="shared" si="5"/>
        <v>0</v>
      </c>
      <c r="B358" s="66"/>
      <c r="C358" s="66"/>
      <c r="D358" s="66"/>
      <c r="E358" s="68"/>
      <c r="F358" s="69"/>
      <c r="G358" s="70"/>
      <c r="H358" s="71"/>
      <c r="I358" s="72"/>
      <c r="J358" s="73"/>
      <c r="K358" s="62"/>
      <c r="L358" s="62"/>
      <c r="M358" s="62"/>
      <c r="N358" s="62"/>
      <c r="O358" s="62"/>
    </row>
    <row r="359" spans="1:15">
      <c r="A359" s="75">
        <f t="shared" si="5"/>
        <v>0</v>
      </c>
      <c r="B359" s="66"/>
      <c r="C359" s="66"/>
      <c r="D359" s="66"/>
      <c r="E359" s="68"/>
      <c r="F359" s="69"/>
      <c r="G359" s="70"/>
      <c r="H359" s="71"/>
      <c r="I359" s="72"/>
      <c r="J359" s="73"/>
      <c r="K359" s="62"/>
      <c r="L359" s="62"/>
      <c r="M359" s="62"/>
      <c r="N359" s="62"/>
      <c r="O359" s="62"/>
    </row>
    <row r="360" spans="1:15">
      <c r="A360" s="75">
        <f t="shared" si="5"/>
        <v>0</v>
      </c>
      <c r="B360" s="66"/>
      <c r="C360" s="66"/>
      <c r="D360" s="66"/>
      <c r="E360" s="68"/>
      <c r="F360" s="69"/>
      <c r="G360" s="70"/>
      <c r="H360" s="71"/>
      <c r="I360" s="72"/>
      <c r="J360" s="73"/>
      <c r="K360" s="62"/>
      <c r="L360" s="62"/>
      <c r="M360" s="62"/>
      <c r="N360" s="62"/>
      <c r="O360" s="62"/>
    </row>
    <row r="361" spans="1:15">
      <c r="A361" s="75">
        <f t="shared" si="5"/>
        <v>0</v>
      </c>
      <c r="B361" s="66"/>
      <c r="C361" s="66"/>
      <c r="D361" s="66"/>
      <c r="E361" s="68"/>
      <c r="F361" s="69"/>
      <c r="G361" s="70"/>
      <c r="H361" s="71"/>
      <c r="I361" s="72"/>
      <c r="J361" s="73"/>
      <c r="K361" s="62"/>
      <c r="L361" s="62"/>
      <c r="M361" s="62"/>
      <c r="N361" s="62"/>
      <c r="O361" s="62"/>
    </row>
    <row r="362" spans="1:15">
      <c r="A362" s="75">
        <f t="shared" si="5"/>
        <v>0</v>
      </c>
      <c r="B362" s="66"/>
      <c r="C362" s="66"/>
      <c r="D362" s="66"/>
      <c r="E362" s="68"/>
      <c r="F362" s="69"/>
      <c r="G362" s="70"/>
      <c r="H362" s="71"/>
      <c r="I362" s="72"/>
      <c r="J362" s="73"/>
      <c r="K362" s="62"/>
      <c r="L362" s="62"/>
      <c r="M362" s="62"/>
      <c r="N362" s="62"/>
      <c r="O362" s="62"/>
    </row>
    <row r="363" spans="1:15">
      <c r="A363" s="75">
        <f t="shared" si="5"/>
        <v>0</v>
      </c>
      <c r="B363" s="66"/>
      <c r="C363" s="66"/>
      <c r="D363" s="66"/>
      <c r="E363" s="68"/>
      <c r="F363" s="69"/>
      <c r="G363" s="70"/>
      <c r="H363" s="71"/>
      <c r="I363" s="72"/>
      <c r="J363" s="73"/>
      <c r="K363" s="62"/>
      <c r="L363" s="62"/>
      <c r="M363" s="62"/>
      <c r="N363" s="62"/>
      <c r="O363" s="62"/>
    </row>
    <row r="364" spans="1:15">
      <c r="A364" s="75">
        <f t="shared" si="5"/>
        <v>0</v>
      </c>
      <c r="B364" s="66"/>
      <c r="C364" s="66"/>
      <c r="D364" s="66"/>
      <c r="E364" s="68"/>
      <c r="F364" s="69"/>
      <c r="G364" s="70"/>
      <c r="H364" s="71"/>
      <c r="I364" s="72"/>
      <c r="J364" s="73"/>
      <c r="K364" s="62"/>
      <c r="L364" s="62"/>
      <c r="M364" s="62"/>
      <c r="N364" s="62"/>
      <c r="O364" s="62"/>
    </row>
    <row r="365" spans="1:15">
      <c r="A365" s="75">
        <f t="shared" si="5"/>
        <v>0</v>
      </c>
      <c r="B365" s="66"/>
      <c r="C365" s="66"/>
      <c r="D365" s="66"/>
      <c r="E365" s="68"/>
      <c r="F365" s="69"/>
      <c r="G365" s="70"/>
      <c r="H365" s="71"/>
      <c r="I365" s="72"/>
      <c r="J365" s="73"/>
      <c r="K365" s="62"/>
      <c r="L365" s="62"/>
      <c r="M365" s="62"/>
      <c r="N365" s="62"/>
      <c r="O365" s="62"/>
    </row>
    <row r="366" spans="1:15">
      <c r="A366" s="75">
        <f t="shared" si="5"/>
        <v>0</v>
      </c>
      <c r="B366" s="66"/>
      <c r="C366" s="66"/>
      <c r="D366" s="66"/>
      <c r="E366" s="68"/>
      <c r="F366" s="69"/>
      <c r="G366" s="70"/>
      <c r="H366" s="71"/>
      <c r="I366" s="72"/>
      <c r="J366" s="73"/>
      <c r="K366" s="62"/>
      <c r="L366" s="62"/>
      <c r="M366" s="62"/>
      <c r="N366" s="62"/>
      <c r="O366" s="62"/>
    </row>
    <row r="367" spans="1:15">
      <c r="A367" s="75">
        <f t="shared" si="5"/>
        <v>0</v>
      </c>
      <c r="B367" s="66"/>
      <c r="C367" s="66"/>
      <c r="D367" s="66"/>
      <c r="E367" s="68"/>
      <c r="F367" s="69"/>
      <c r="G367" s="70"/>
      <c r="H367" s="71"/>
      <c r="I367" s="72"/>
      <c r="J367" s="73"/>
      <c r="K367" s="62"/>
      <c r="L367" s="62"/>
      <c r="M367" s="62"/>
      <c r="N367" s="62"/>
      <c r="O367" s="62"/>
    </row>
    <row r="368" spans="1:15">
      <c r="A368" s="75">
        <f t="shared" si="5"/>
        <v>0</v>
      </c>
      <c r="B368" s="66"/>
      <c r="C368" s="66"/>
      <c r="D368" s="66"/>
      <c r="E368" s="68"/>
      <c r="F368" s="69"/>
      <c r="G368" s="70"/>
      <c r="H368" s="71"/>
      <c r="I368" s="72"/>
      <c r="J368" s="73"/>
      <c r="K368" s="62"/>
      <c r="L368" s="62"/>
      <c r="M368" s="62"/>
      <c r="N368" s="62"/>
      <c r="O368" s="62"/>
    </row>
    <row r="369" spans="1:15">
      <c r="A369" s="75">
        <f t="shared" si="5"/>
        <v>0</v>
      </c>
      <c r="B369" s="66"/>
      <c r="C369" s="66"/>
      <c r="D369" s="66"/>
      <c r="E369" s="68"/>
      <c r="F369" s="69"/>
      <c r="G369" s="70"/>
      <c r="H369" s="71"/>
      <c r="I369" s="72"/>
      <c r="J369" s="73"/>
      <c r="K369" s="62"/>
      <c r="L369" s="62"/>
      <c r="M369" s="62"/>
      <c r="N369" s="62"/>
      <c r="O369" s="62"/>
    </row>
    <row r="370" spans="1:15">
      <c r="A370" s="75">
        <f t="shared" si="5"/>
        <v>0</v>
      </c>
      <c r="B370" s="66"/>
      <c r="C370" s="66"/>
      <c r="D370" s="66"/>
      <c r="E370" s="68"/>
      <c r="F370" s="69"/>
      <c r="G370" s="70"/>
      <c r="H370" s="71"/>
      <c r="I370" s="72"/>
      <c r="J370" s="73"/>
      <c r="K370" s="62"/>
      <c r="L370" s="62"/>
      <c r="M370" s="62"/>
      <c r="N370" s="62"/>
      <c r="O370" s="62"/>
    </row>
    <row r="371" spans="1:15">
      <c r="A371" s="75">
        <f t="shared" si="5"/>
        <v>0</v>
      </c>
      <c r="B371" s="66"/>
      <c r="C371" s="66"/>
      <c r="D371" s="66"/>
      <c r="E371" s="68"/>
      <c r="F371" s="69"/>
      <c r="G371" s="70"/>
      <c r="H371" s="71"/>
      <c r="I371" s="72"/>
      <c r="J371" s="73"/>
      <c r="K371" s="62"/>
      <c r="L371" s="62"/>
      <c r="M371" s="62"/>
      <c r="N371" s="62"/>
      <c r="O371" s="62"/>
    </row>
    <row r="372" spans="1:15">
      <c r="A372" s="75">
        <f t="shared" si="5"/>
        <v>0</v>
      </c>
      <c r="B372" s="66"/>
      <c r="C372" s="66"/>
      <c r="D372" s="66"/>
      <c r="E372" s="68"/>
      <c r="F372" s="69"/>
      <c r="G372" s="70"/>
      <c r="H372" s="71"/>
      <c r="I372" s="72"/>
      <c r="J372" s="73"/>
      <c r="K372" s="62"/>
      <c r="L372" s="62"/>
      <c r="M372" s="62"/>
      <c r="N372" s="62"/>
      <c r="O372" s="62"/>
    </row>
    <row r="373" spans="1:15">
      <c r="A373" s="75">
        <f t="shared" si="5"/>
        <v>0</v>
      </c>
      <c r="B373" s="66"/>
      <c r="C373" s="66"/>
      <c r="D373" s="66"/>
      <c r="E373" s="68"/>
      <c r="F373" s="69"/>
      <c r="G373" s="70"/>
      <c r="H373" s="71"/>
      <c r="I373" s="72"/>
      <c r="J373" s="73"/>
      <c r="K373" s="62"/>
      <c r="L373" s="62"/>
      <c r="M373" s="62"/>
      <c r="N373" s="62"/>
      <c r="O373" s="62"/>
    </row>
    <row r="374" spans="1:15">
      <c r="A374" s="75">
        <f t="shared" si="5"/>
        <v>0</v>
      </c>
      <c r="B374" s="66"/>
      <c r="C374" s="66"/>
      <c r="D374" s="66"/>
      <c r="E374" s="68"/>
      <c r="F374" s="69"/>
      <c r="G374" s="70"/>
      <c r="H374" s="71"/>
      <c r="I374" s="72"/>
      <c r="J374" s="73"/>
      <c r="K374" s="62"/>
      <c r="L374" s="62"/>
      <c r="M374" s="62"/>
      <c r="N374" s="62"/>
      <c r="O374" s="62"/>
    </row>
    <row r="375" spans="1:15">
      <c r="A375" s="75">
        <f t="shared" si="5"/>
        <v>0</v>
      </c>
      <c r="B375" s="66"/>
      <c r="C375" s="66"/>
      <c r="D375" s="66"/>
      <c r="E375" s="68"/>
      <c r="F375" s="69"/>
      <c r="G375" s="70"/>
      <c r="H375" s="71"/>
      <c r="I375" s="72"/>
      <c r="J375" s="73"/>
      <c r="K375" s="62"/>
      <c r="L375" s="62"/>
      <c r="M375" s="62"/>
      <c r="N375" s="62"/>
      <c r="O375" s="62"/>
    </row>
    <row r="376" spans="1:15">
      <c r="A376" s="75">
        <f t="shared" si="5"/>
        <v>0</v>
      </c>
      <c r="B376" s="66"/>
      <c r="C376" s="66"/>
      <c r="D376" s="66"/>
      <c r="E376" s="68"/>
      <c r="F376" s="69"/>
      <c r="G376" s="70"/>
      <c r="H376" s="71"/>
      <c r="I376" s="72"/>
      <c r="J376" s="73"/>
      <c r="K376" s="62"/>
      <c r="L376" s="62"/>
      <c r="M376" s="62"/>
      <c r="N376" s="62"/>
      <c r="O376" s="62"/>
    </row>
    <row r="377" spans="1:15">
      <c r="A377" s="75">
        <f t="shared" si="5"/>
        <v>0</v>
      </c>
      <c r="B377" s="66"/>
      <c r="C377" s="66"/>
      <c r="D377" s="66"/>
      <c r="E377" s="68"/>
      <c r="F377" s="69"/>
      <c r="G377" s="70"/>
      <c r="H377" s="71"/>
      <c r="I377" s="72"/>
      <c r="J377" s="73"/>
      <c r="K377" s="62"/>
      <c r="L377" s="62"/>
      <c r="M377" s="62"/>
      <c r="N377" s="62"/>
      <c r="O377" s="62"/>
    </row>
    <row r="378" spans="1:15">
      <c r="A378" s="75">
        <f t="shared" si="5"/>
        <v>0</v>
      </c>
      <c r="B378" s="66"/>
      <c r="C378" s="66"/>
      <c r="D378" s="66"/>
      <c r="E378" s="68"/>
      <c r="F378" s="69"/>
      <c r="G378" s="70"/>
      <c r="H378" s="71"/>
      <c r="I378" s="72"/>
      <c r="J378" s="73"/>
      <c r="K378" s="62"/>
      <c r="L378" s="62"/>
      <c r="M378" s="62"/>
      <c r="N378" s="62"/>
      <c r="O378" s="62"/>
    </row>
    <row r="379" spans="1:15">
      <c r="A379" s="75">
        <f t="shared" si="5"/>
        <v>0</v>
      </c>
      <c r="B379" s="66"/>
      <c r="C379" s="66"/>
      <c r="D379" s="66"/>
      <c r="E379" s="68"/>
      <c r="F379" s="69"/>
      <c r="G379" s="70"/>
      <c r="H379" s="71"/>
      <c r="I379" s="72"/>
      <c r="J379" s="73"/>
      <c r="K379" s="62"/>
      <c r="L379" s="62"/>
      <c r="M379" s="62"/>
      <c r="N379" s="62"/>
      <c r="O379" s="62"/>
    </row>
    <row r="380" spans="1:15">
      <c r="A380" s="75">
        <f t="shared" si="5"/>
        <v>0</v>
      </c>
      <c r="B380" s="66"/>
      <c r="C380" s="66"/>
      <c r="D380" s="66"/>
      <c r="E380" s="68"/>
      <c r="F380" s="69"/>
      <c r="G380" s="70"/>
      <c r="H380" s="71"/>
      <c r="I380" s="72"/>
      <c r="J380" s="73"/>
      <c r="K380" s="62"/>
      <c r="L380" s="62"/>
      <c r="M380" s="62"/>
      <c r="N380" s="62"/>
      <c r="O380" s="62"/>
    </row>
    <row r="381" spans="1:15">
      <c r="A381" s="75">
        <f t="shared" si="5"/>
        <v>0</v>
      </c>
      <c r="B381" s="66"/>
      <c r="C381" s="66"/>
      <c r="D381" s="66"/>
      <c r="E381" s="68"/>
      <c r="F381" s="69"/>
      <c r="G381" s="70"/>
      <c r="H381" s="71"/>
      <c r="I381" s="72"/>
      <c r="J381" s="73"/>
      <c r="K381" s="62"/>
      <c r="L381" s="62"/>
      <c r="M381" s="62"/>
      <c r="N381" s="62"/>
      <c r="O381" s="62"/>
    </row>
    <row r="382" spans="1:15">
      <c r="A382" s="75">
        <f t="shared" si="5"/>
        <v>0</v>
      </c>
      <c r="B382" s="66"/>
      <c r="C382" s="66"/>
      <c r="D382" s="66"/>
      <c r="E382" s="68"/>
      <c r="F382" s="69"/>
      <c r="G382" s="70"/>
      <c r="H382" s="71"/>
      <c r="I382" s="72"/>
      <c r="J382" s="73"/>
      <c r="K382" s="62"/>
      <c r="L382" s="62"/>
      <c r="M382" s="62"/>
      <c r="N382" s="62"/>
      <c r="O382" s="62"/>
    </row>
    <row r="383" spans="1:15">
      <c r="A383" s="75">
        <f t="shared" si="5"/>
        <v>0</v>
      </c>
      <c r="B383" s="66"/>
      <c r="C383" s="66"/>
      <c r="D383" s="66"/>
      <c r="E383" s="68"/>
      <c r="F383" s="69"/>
      <c r="G383" s="70"/>
      <c r="H383" s="71"/>
      <c r="I383" s="72"/>
      <c r="J383" s="73"/>
      <c r="K383" s="62"/>
      <c r="L383" s="62"/>
      <c r="M383" s="62"/>
      <c r="N383" s="62"/>
      <c r="O383" s="62"/>
    </row>
    <row r="384" spans="1:15">
      <c r="A384" s="75">
        <f t="shared" si="5"/>
        <v>0</v>
      </c>
      <c r="B384" s="66"/>
      <c r="C384" s="66"/>
      <c r="D384" s="66"/>
      <c r="E384" s="68"/>
      <c r="F384" s="69"/>
      <c r="G384" s="70"/>
      <c r="H384" s="71"/>
      <c r="I384" s="72"/>
      <c r="J384" s="73"/>
      <c r="K384" s="62"/>
      <c r="L384" s="62"/>
      <c r="M384" s="62"/>
      <c r="N384" s="62"/>
      <c r="O384" s="62"/>
    </row>
    <row r="385" spans="1:15">
      <c r="A385" s="75">
        <f t="shared" si="5"/>
        <v>0</v>
      </c>
      <c r="B385" s="66"/>
      <c r="C385" s="66"/>
      <c r="D385" s="66"/>
      <c r="E385" s="68"/>
      <c r="F385" s="69"/>
      <c r="G385" s="70"/>
      <c r="H385" s="71"/>
      <c r="I385" s="72"/>
      <c r="J385" s="73"/>
      <c r="K385" s="62"/>
      <c r="L385" s="62"/>
      <c r="M385" s="62"/>
      <c r="N385" s="62"/>
      <c r="O385" s="62"/>
    </row>
    <row r="386" spans="1:15">
      <c r="A386" s="75">
        <f t="shared" si="5"/>
        <v>0</v>
      </c>
      <c r="B386" s="66"/>
      <c r="C386" s="66"/>
      <c r="D386" s="66"/>
      <c r="E386" s="68"/>
      <c r="F386" s="69"/>
      <c r="G386" s="70"/>
      <c r="H386" s="71"/>
      <c r="I386" s="72"/>
      <c r="J386" s="73"/>
      <c r="K386" s="62"/>
      <c r="L386" s="62"/>
      <c r="M386" s="62"/>
      <c r="N386" s="62"/>
      <c r="O386" s="62"/>
    </row>
    <row r="387" spans="1:15">
      <c r="A387" s="75">
        <f t="shared" si="5"/>
        <v>0</v>
      </c>
      <c r="B387" s="66"/>
      <c r="C387" s="66"/>
      <c r="D387" s="66"/>
      <c r="E387" s="68"/>
      <c r="F387" s="69"/>
      <c r="G387" s="70"/>
      <c r="H387" s="71"/>
      <c r="I387" s="72"/>
      <c r="J387" s="73"/>
      <c r="K387" s="62"/>
      <c r="L387" s="62"/>
      <c r="M387" s="62"/>
      <c r="N387" s="62"/>
      <c r="O387" s="62"/>
    </row>
    <row r="388" spans="1:15">
      <c r="A388" s="75">
        <f t="shared" si="5"/>
        <v>0</v>
      </c>
      <c r="B388" s="66"/>
      <c r="C388" s="66"/>
      <c r="D388" s="66"/>
      <c r="E388" s="68"/>
      <c r="F388" s="69"/>
      <c r="G388" s="70"/>
      <c r="H388" s="71"/>
      <c r="I388" s="72"/>
      <c r="J388" s="73"/>
      <c r="K388" s="62"/>
      <c r="L388" s="62"/>
      <c r="M388" s="62"/>
      <c r="N388" s="62"/>
      <c r="O388" s="62"/>
    </row>
    <row r="389" spans="1:15">
      <c r="A389" s="75">
        <f t="shared" si="5"/>
        <v>0</v>
      </c>
      <c r="B389" s="66"/>
      <c r="C389" s="66"/>
      <c r="D389" s="66"/>
      <c r="E389" s="68"/>
      <c r="F389" s="69"/>
      <c r="G389" s="70"/>
      <c r="H389" s="71"/>
      <c r="I389" s="72"/>
      <c r="J389" s="73"/>
      <c r="K389" s="62"/>
      <c r="L389" s="62"/>
      <c r="M389" s="62"/>
      <c r="N389" s="62"/>
      <c r="O389" s="62"/>
    </row>
    <row r="390" spans="1:15">
      <c r="A390" s="75">
        <f t="shared" si="5"/>
        <v>0</v>
      </c>
      <c r="B390" s="66"/>
      <c r="C390" s="66"/>
      <c r="D390" s="66"/>
      <c r="E390" s="68"/>
      <c r="F390" s="69"/>
      <c r="G390" s="70"/>
      <c r="H390" s="71"/>
      <c r="I390" s="72"/>
      <c r="J390" s="73"/>
      <c r="K390" s="62"/>
      <c r="L390" s="62"/>
      <c r="M390" s="62"/>
      <c r="N390" s="62"/>
      <c r="O390" s="62"/>
    </row>
    <row r="391" spans="1:15">
      <c r="A391" s="75">
        <f t="shared" si="5"/>
        <v>0</v>
      </c>
      <c r="B391" s="66"/>
      <c r="C391" s="66"/>
      <c r="D391" s="66"/>
      <c r="E391" s="68"/>
      <c r="F391" s="69"/>
      <c r="G391" s="70"/>
      <c r="H391" s="71"/>
      <c r="I391" s="72"/>
      <c r="J391" s="73"/>
      <c r="K391" s="62"/>
      <c r="L391" s="62"/>
      <c r="M391" s="62"/>
      <c r="N391" s="62"/>
      <c r="O391" s="62"/>
    </row>
    <row r="392" spans="1:15">
      <c r="A392" s="75">
        <f t="shared" si="5"/>
        <v>0</v>
      </c>
      <c r="B392" s="66"/>
      <c r="C392" s="66"/>
      <c r="D392" s="66"/>
      <c r="E392" s="68"/>
      <c r="F392" s="69"/>
      <c r="G392" s="70"/>
      <c r="H392" s="71"/>
      <c r="I392" s="72"/>
      <c r="J392" s="73"/>
      <c r="K392" s="62"/>
      <c r="L392" s="62"/>
      <c r="M392" s="62"/>
      <c r="N392" s="62"/>
      <c r="O392" s="62"/>
    </row>
    <row r="393" spans="1:15">
      <c r="A393" s="75">
        <f t="shared" si="5"/>
        <v>0</v>
      </c>
      <c r="B393" s="66"/>
      <c r="C393" s="66"/>
      <c r="D393" s="66"/>
      <c r="E393" s="68"/>
      <c r="F393" s="69"/>
      <c r="G393" s="70"/>
      <c r="H393" s="71"/>
      <c r="I393" s="72"/>
      <c r="J393" s="73"/>
      <c r="K393" s="62"/>
      <c r="L393" s="62"/>
      <c r="M393" s="62"/>
      <c r="N393" s="62"/>
      <c r="O393" s="62"/>
    </row>
    <row r="394" spans="1:15">
      <c r="A394" s="75">
        <f t="shared" ref="A394:A457" si="6">E394</f>
        <v>0</v>
      </c>
      <c r="B394" s="66"/>
      <c r="C394" s="66"/>
      <c r="D394" s="66"/>
      <c r="E394" s="68"/>
      <c r="F394" s="69"/>
      <c r="G394" s="70"/>
      <c r="H394" s="71"/>
      <c r="I394" s="72"/>
      <c r="J394" s="73"/>
      <c r="K394" s="62"/>
      <c r="L394" s="62"/>
      <c r="M394" s="62"/>
      <c r="N394" s="62"/>
      <c r="O394" s="62"/>
    </row>
    <row r="395" spans="1:15">
      <c r="A395" s="75">
        <f t="shared" si="6"/>
        <v>0</v>
      </c>
      <c r="B395" s="66"/>
      <c r="C395" s="66"/>
      <c r="D395" s="66"/>
      <c r="E395" s="68"/>
      <c r="F395" s="69"/>
      <c r="G395" s="70"/>
      <c r="H395" s="71"/>
      <c r="I395" s="72"/>
      <c r="J395" s="73"/>
      <c r="K395" s="62"/>
      <c r="L395" s="62"/>
      <c r="M395" s="62"/>
      <c r="N395" s="62"/>
      <c r="O395" s="62"/>
    </row>
    <row r="396" spans="1:15">
      <c r="A396" s="75">
        <f t="shared" si="6"/>
        <v>0</v>
      </c>
      <c r="B396" s="66"/>
      <c r="C396" s="66"/>
      <c r="D396" s="66"/>
      <c r="E396" s="68"/>
      <c r="F396" s="69"/>
      <c r="G396" s="70"/>
      <c r="H396" s="71"/>
      <c r="I396" s="72"/>
      <c r="J396" s="73"/>
      <c r="K396" s="62"/>
      <c r="L396" s="62"/>
      <c r="M396" s="62"/>
      <c r="N396" s="62"/>
      <c r="O396" s="62"/>
    </row>
    <row r="397" spans="1:15">
      <c r="A397" s="75">
        <f t="shared" si="6"/>
        <v>0</v>
      </c>
      <c r="B397" s="66"/>
      <c r="C397" s="66"/>
      <c r="D397" s="66"/>
      <c r="E397" s="68"/>
      <c r="F397" s="69"/>
      <c r="G397" s="70"/>
      <c r="H397" s="71"/>
      <c r="I397" s="72"/>
      <c r="J397" s="73"/>
      <c r="K397" s="62"/>
      <c r="L397" s="62"/>
      <c r="M397" s="62"/>
      <c r="N397" s="62"/>
      <c r="O397" s="62"/>
    </row>
    <row r="398" spans="1:15">
      <c r="A398" s="75">
        <f t="shared" si="6"/>
        <v>0</v>
      </c>
      <c r="B398" s="66"/>
      <c r="C398" s="66"/>
      <c r="D398" s="66"/>
      <c r="E398" s="68"/>
      <c r="F398" s="69"/>
      <c r="G398" s="70"/>
      <c r="H398" s="71"/>
      <c r="I398" s="72"/>
      <c r="J398" s="73"/>
      <c r="K398" s="62"/>
      <c r="L398" s="62"/>
      <c r="M398" s="62"/>
      <c r="N398" s="62"/>
      <c r="O398" s="62"/>
    </row>
    <row r="399" spans="1:15">
      <c r="A399" s="75">
        <f t="shared" si="6"/>
        <v>0</v>
      </c>
      <c r="B399" s="66"/>
      <c r="C399" s="66"/>
      <c r="D399" s="66"/>
      <c r="E399" s="68"/>
      <c r="F399" s="69"/>
      <c r="G399" s="70"/>
      <c r="H399" s="71"/>
      <c r="I399" s="72"/>
      <c r="J399" s="73"/>
      <c r="K399" s="62"/>
      <c r="L399" s="62"/>
      <c r="M399" s="62"/>
      <c r="N399" s="62"/>
      <c r="O399" s="62"/>
    </row>
    <row r="400" spans="1:15">
      <c r="A400" s="75">
        <f t="shared" si="6"/>
        <v>0</v>
      </c>
      <c r="B400" s="66"/>
      <c r="C400" s="66"/>
      <c r="D400" s="66"/>
      <c r="E400" s="68"/>
      <c r="F400" s="69"/>
      <c r="G400" s="70"/>
      <c r="H400" s="71"/>
      <c r="I400" s="72"/>
      <c r="J400" s="73"/>
      <c r="K400" s="62"/>
      <c r="L400" s="62"/>
      <c r="M400" s="62"/>
      <c r="N400" s="62"/>
      <c r="O400" s="62"/>
    </row>
    <row r="401" spans="1:15">
      <c r="A401" s="75">
        <f t="shared" si="6"/>
        <v>0</v>
      </c>
      <c r="B401" s="66"/>
      <c r="C401" s="66"/>
      <c r="D401" s="66"/>
      <c r="E401" s="68"/>
      <c r="F401" s="69"/>
      <c r="G401" s="70"/>
      <c r="H401" s="71"/>
      <c r="I401" s="72"/>
      <c r="J401" s="73"/>
      <c r="K401" s="62"/>
      <c r="L401" s="62"/>
      <c r="M401" s="62"/>
      <c r="N401" s="62"/>
      <c r="O401" s="62"/>
    </row>
    <row r="402" spans="1:15">
      <c r="A402" s="75">
        <f t="shared" si="6"/>
        <v>0</v>
      </c>
      <c r="B402" s="66"/>
      <c r="C402" s="66"/>
      <c r="D402" s="66"/>
      <c r="E402" s="68"/>
      <c r="F402" s="69"/>
      <c r="G402" s="70"/>
      <c r="H402" s="71"/>
      <c r="I402" s="72"/>
      <c r="J402" s="73"/>
      <c r="K402" s="62"/>
      <c r="L402" s="62"/>
      <c r="M402" s="62"/>
      <c r="N402" s="62"/>
      <c r="O402" s="62"/>
    </row>
    <row r="403" spans="1:15">
      <c r="A403" s="75">
        <f t="shared" si="6"/>
        <v>0</v>
      </c>
      <c r="B403" s="66"/>
      <c r="C403" s="66"/>
      <c r="D403" s="66"/>
      <c r="E403" s="68"/>
      <c r="F403" s="69"/>
      <c r="G403" s="70"/>
      <c r="H403" s="71"/>
      <c r="I403" s="72"/>
      <c r="J403" s="73"/>
      <c r="K403" s="62"/>
      <c r="L403" s="62"/>
      <c r="M403" s="62"/>
      <c r="N403" s="62"/>
      <c r="O403" s="62"/>
    </row>
    <row r="404" spans="1:15">
      <c r="A404" s="75">
        <f t="shared" si="6"/>
        <v>0</v>
      </c>
      <c r="B404" s="66"/>
      <c r="C404" s="66"/>
      <c r="D404" s="66"/>
      <c r="E404" s="68"/>
      <c r="F404" s="69"/>
      <c r="G404" s="70"/>
      <c r="H404" s="71"/>
      <c r="I404" s="72"/>
      <c r="J404" s="73"/>
      <c r="K404" s="62"/>
      <c r="L404" s="62"/>
      <c r="M404" s="62"/>
      <c r="N404" s="62"/>
      <c r="O404" s="62"/>
    </row>
    <row r="405" spans="1:15">
      <c r="A405" s="75">
        <f t="shared" si="6"/>
        <v>0</v>
      </c>
      <c r="B405" s="66"/>
      <c r="C405" s="66"/>
      <c r="D405" s="66"/>
      <c r="E405" s="68"/>
      <c r="F405" s="69"/>
      <c r="G405" s="70"/>
      <c r="H405" s="71"/>
      <c r="I405" s="72"/>
      <c r="J405" s="73"/>
      <c r="K405" s="62"/>
      <c r="L405" s="62"/>
      <c r="M405" s="62"/>
      <c r="N405" s="62"/>
      <c r="O405" s="62"/>
    </row>
    <row r="406" spans="1:15">
      <c r="A406" s="75">
        <f t="shared" si="6"/>
        <v>0</v>
      </c>
      <c r="B406" s="66"/>
      <c r="C406" s="66"/>
      <c r="D406" s="66"/>
      <c r="E406" s="68"/>
      <c r="F406" s="69"/>
      <c r="G406" s="70"/>
      <c r="H406" s="71"/>
      <c r="I406" s="72"/>
      <c r="J406" s="73"/>
      <c r="K406" s="62"/>
      <c r="L406" s="62"/>
      <c r="M406" s="62"/>
      <c r="N406" s="62"/>
      <c r="O406" s="62"/>
    </row>
    <row r="407" spans="1:15">
      <c r="A407" s="75">
        <f t="shared" si="6"/>
        <v>0</v>
      </c>
      <c r="B407" s="66"/>
      <c r="C407" s="66"/>
      <c r="D407" s="66"/>
      <c r="E407" s="68"/>
      <c r="F407" s="69"/>
      <c r="G407" s="70"/>
      <c r="H407" s="71"/>
      <c r="I407" s="72"/>
      <c r="J407" s="73"/>
      <c r="K407" s="62"/>
      <c r="L407" s="62"/>
      <c r="M407" s="62"/>
      <c r="N407" s="62"/>
      <c r="O407" s="62"/>
    </row>
    <row r="408" spans="1:15">
      <c r="A408" s="75">
        <f t="shared" si="6"/>
        <v>0</v>
      </c>
      <c r="B408" s="66"/>
      <c r="C408" s="66"/>
      <c r="D408" s="66"/>
      <c r="E408" s="68"/>
      <c r="F408" s="69"/>
      <c r="G408" s="70"/>
      <c r="H408" s="71"/>
      <c r="I408" s="72"/>
      <c r="J408" s="73"/>
      <c r="K408" s="62"/>
      <c r="L408" s="62"/>
      <c r="M408" s="62"/>
      <c r="N408" s="62"/>
      <c r="O408" s="62"/>
    </row>
    <row r="409" spans="1:15">
      <c r="A409" s="75">
        <f t="shared" si="6"/>
        <v>0</v>
      </c>
      <c r="B409" s="66"/>
      <c r="C409" s="66"/>
      <c r="D409" s="66"/>
      <c r="E409" s="68"/>
      <c r="F409" s="69"/>
      <c r="G409" s="70"/>
      <c r="H409" s="71"/>
      <c r="I409" s="72"/>
      <c r="J409" s="73"/>
      <c r="K409" s="62"/>
      <c r="L409" s="62"/>
      <c r="M409" s="62"/>
      <c r="N409" s="62"/>
      <c r="O409" s="62"/>
    </row>
    <row r="410" spans="1:15">
      <c r="A410" s="75">
        <f t="shared" si="6"/>
        <v>0</v>
      </c>
      <c r="B410" s="66"/>
      <c r="C410" s="66"/>
      <c r="D410" s="66"/>
      <c r="E410" s="68"/>
      <c r="F410" s="69"/>
      <c r="G410" s="70"/>
      <c r="H410" s="71"/>
      <c r="I410" s="72"/>
      <c r="J410" s="73"/>
      <c r="K410" s="62"/>
      <c r="L410" s="62"/>
      <c r="M410" s="62"/>
      <c r="N410" s="62"/>
      <c r="O410" s="62"/>
    </row>
    <row r="411" spans="1:15">
      <c r="A411" s="75">
        <f t="shared" si="6"/>
        <v>0</v>
      </c>
      <c r="B411" s="66"/>
      <c r="C411" s="66"/>
      <c r="D411" s="66"/>
      <c r="E411" s="68"/>
      <c r="F411" s="69"/>
      <c r="G411" s="70"/>
      <c r="H411" s="71"/>
      <c r="I411" s="72"/>
      <c r="J411" s="73"/>
      <c r="K411" s="62"/>
      <c r="L411" s="62"/>
      <c r="M411" s="62"/>
      <c r="N411" s="62"/>
      <c r="O411" s="62"/>
    </row>
    <row r="412" spans="1:15">
      <c r="A412" s="75">
        <f t="shared" si="6"/>
        <v>0</v>
      </c>
      <c r="B412" s="66"/>
      <c r="C412" s="66"/>
      <c r="D412" s="66"/>
      <c r="E412" s="68"/>
      <c r="F412" s="69"/>
      <c r="G412" s="70"/>
      <c r="H412" s="71"/>
      <c r="I412" s="72"/>
      <c r="J412" s="73"/>
      <c r="K412" s="62"/>
      <c r="L412" s="62"/>
      <c r="M412" s="62"/>
      <c r="N412" s="62"/>
      <c r="O412" s="62"/>
    </row>
    <row r="413" spans="1:15">
      <c r="A413" s="75">
        <f t="shared" si="6"/>
        <v>0</v>
      </c>
      <c r="B413" s="66"/>
      <c r="C413" s="66"/>
      <c r="D413" s="66"/>
      <c r="E413" s="68"/>
      <c r="F413" s="69"/>
      <c r="G413" s="70"/>
      <c r="H413" s="71"/>
      <c r="I413" s="72"/>
      <c r="J413" s="73"/>
      <c r="K413" s="62"/>
      <c r="L413" s="62"/>
      <c r="M413" s="62"/>
      <c r="N413" s="62"/>
      <c r="O413" s="62"/>
    </row>
    <row r="414" spans="1:15">
      <c r="A414" s="75">
        <f t="shared" si="6"/>
        <v>0</v>
      </c>
      <c r="B414" s="66"/>
      <c r="C414" s="66"/>
      <c r="D414" s="66"/>
      <c r="E414" s="68"/>
      <c r="F414" s="69"/>
      <c r="G414" s="70"/>
      <c r="H414" s="71"/>
      <c r="I414" s="72"/>
      <c r="J414" s="73"/>
      <c r="K414" s="62"/>
      <c r="L414" s="62"/>
      <c r="M414" s="62"/>
      <c r="N414" s="62"/>
      <c r="O414" s="62"/>
    </row>
    <row r="415" spans="1:15">
      <c r="A415" s="75">
        <f t="shared" si="6"/>
        <v>0</v>
      </c>
      <c r="B415" s="66"/>
      <c r="C415" s="66"/>
      <c r="D415" s="66"/>
      <c r="E415" s="68"/>
      <c r="F415" s="69"/>
      <c r="G415" s="70"/>
      <c r="H415" s="71"/>
      <c r="I415" s="72"/>
      <c r="J415" s="73"/>
      <c r="K415" s="62"/>
      <c r="L415" s="62"/>
      <c r="M415" s="62"/>
      <c r="N415" s="62"/>
      <c r="O415" s="62"/>
    </row>
    <row r="416" spans="1:15">
      <c r="A416" s="75">
        <f t="shared" si="6"/>
        <v>0</v>
      </c>
      <c r="B416" s="66"/>
      <c r="C416" s="66"/>
      <c r="D416" s="66"/>
      <c r="E416" s="68"/>
      <c r="F416" s="69"/>
      <c r="G416" s="70"/>
      <c r="H416" s="71"/>
      <c r="I416" s="72"/>
      <c r="J416" s="73"/>
      <c r="K416" s="62"/>
      <c r="L416" s="62"/>
      <c r="M416" s="62"/>
      <c r="N416" s="62"/>
      <c r="O416" s="62"/>
    </row>
    <row r="417" spans="1:15">
      <c r="A417" s="75">
        <f t="shared" si="6"/>
        <v>0</v>
      </c>
      <c r="B417" s="66"/>
      <c r="C417" s="66"/>
      <c r="D417" s="66"/>
      <c r="E417" s="68"/>
      <c r="F417" s="69"/>
      <c r="G417" s="70"/>
      <c r="H417" s="71"/>
      <c r="I417" s="72"/>
      <c r="J417" s="73"/>
      <c r="K417" s="62"/>
      <c r="L417" s="62"/>
      <c r="M417" s="62"/>
      <c r="N417" s="62"/>
      <c r="O417" s="62"/>
    </row>
    <row r="418" spans="1:15">
      <c r="A418" s="75">
        <f t="shared" si="6"/>
        <v>0</v>
      </c>
      <c r="B418" s="66"/>
      <c r="C418" s="66"/>
      <c r="D418" s="66"/>
      <c r="E418" s="68"/>
      <c r="F418" s="69"/>
      <c r="G418" s="70"/>
      <c r="H418" s="71"/>
      <c r="I418" s="72"/>
      <c r="J418" s="73"/>
      <c r="K418" s="62"/>
      <c r="L418" s="62"/>
      <c r="M418" s="62"/>
      <c r="N418" s="62"/>
      <c r="O418" s="62"/>
    </row>
    <row r="419" spans="1:15">
      <c r="A419" s="75">
        <f t="shared" si="6"/>
        <v>0</v>
      </c>
      <c r="B419" s="66"/>
      <c r="C419" s="66"/>
      <c r="D419" s="66"/>
      <c r="E419" s="68"/>
      <c r="F419" s="69"/>
      <c r="G419" s="70"/>
      <c r="H419" s="71"/>
      <c r="I419" s="72"/>
      <c r="J419" s="73"/>
      <c r="K419" s="62"/>
      <c r="L419" s="62"/>
      <c r="M419" s="62"/>
      <c r="N419" s="62"/>
      <c r="O419" s="62"/>
    </row>
    <row r="420" spans="1:15">
      <c r="A420" s="75">
        <f t="shared" si="6"/>
        <v>0</v>
      </c>
      <c r="B420" s="66"/>
      <c r="C420" s="66"/>
      <c r="D420" s="66"/>
      <c r="E420" s="68"/>
      <c r="F420" s="69"/>
      <c r="G420" s="70"/>
      <c r="H420" s="71"/>
      <c r="I420" s="72"/>
      <c r="J420" s="73"/>
      <c r="K420" s="62"/>
      <c r="L420" s="62"/>
      <c r="M420" s="62"/>
      <c r="N420" s="62"/>
      <c r="O420" s="62"/>
    </row>
    <row r="421" spans="1:15">
      <c r="A421" s="75">
        <f t="shared" si="6"/>
        <v>0</v>
      </c>
      <c r="B421" s="66"/>
      <c r="C421" s="66"/>
      <c r="D421" s="66"/>
      <c r="E421" s="68"/>
      <c r="F421" s="69"/>
      <c r="G421" s="70"/>
      <c r="H421" s="71"/>
      <c r="I421" s="72"/>
      <c r="J421" s="73"/>
      <c r="K421" s="62"/>
      <c r="L421" s="62"/>
      <c r="M421" s="62"/>
      <c r="N421" s="62"/>
      <c r="O421" s="62"/>
    </row>
    <row r="422" spans="1:15">
      <c r="A422" s="75">
        <f t="shared" si="6"/>
        <v>0</v>
      </c>
      <c r="B422" s="66"/>
      <c r="C422" s="66"/>
      <c r="D422" s="66"/>
      <c r="E422" s="68"/>
      <c r="F422" s="69"/>
      <c r="G422" s="70"/>
      <c r="H422" s="71"/>
      <c r="I422" s="72"/>
      <c r="J422" s="73"/>
      <c r="K422" s="62"/>
      <c r="L422" s="62"/>
      <c r="M422" s="62"/>
      <c r="N422" s="62"/>
      <c r="O422" s="62"/>
    </row>
    <row r="423" spans="1:15">
      <c r="A423" s="75">
        <f t="shared" si="6"/>
        <v>0</v>
      </c>
      <c r="B423" s="66"/>
      <c r="C423" s="66"/>
      <c r="D423" s="66"/>
      <c r="E423" s="68"/>
      <c r="F423" s="69"/>
      <c r="G423" s="70"/>
      <c r="H423" s="71"/>
      <c r="I423" s="72"/>
      <c r="J423" s="73"/>
      <c r="K423" s="62"/>
      <c r="L423" s="62"/>
      <c r="M423" s="62"/>
      <c r="N423" s="62"/>
      <c r="O423" s="62"/>
    </row>
    <row r="424" spans="1:15">
      <c r="A424" s="75">
        <f t="shared" si="6"/>
        <v>0</v>
      </c>
      <c r="B424" s="66"/>
      <c r="C424" s="66"/>
      <c r="D424" s="66"/>
      <c r="E424" s="68"/>
      <c r="F424" s="69"/>
      <c r="G424" s="70"/>
      <c r="H424" s="71"/>
      <c r="I424" s="72"/>
      <c r="J424" s="73"/>
      <c r="K424" s="62"/>
      <c r="L424" s="62"/>
      <c r="M424" s="62"/>
      <c r="N424" s="62"/>
      <c r="O424" s="62"/>
    </row>
    <row r="425" spans="1:15">
      <c r="A425" s="75">
        <f t="shared" si="6"/>
        <v>0</v>
      </c>
      <c r="B425" s="66"/>
      <c r="C425" s="66"/>
      <c r="D425" s="66"/>
      <c r="E425" s="68"/>
      <c r="F425" s="69"/>
      <c r="G425" s="70"/>
      <c r="H425" s="71"/>
      <c r="I425" s="72"/>
      <c r="J425" s="73"/>
      <c r="K425" s="62"/>
      <c r="L425" s="62"/>
      <c r="M425" s="62"/>
      <c r="N425" s="62"/>
      <c r="O425" s="62"/>
    </row>
    <row r="426" spans="1:15">
      <c r="A426" s="75">
        <f t="shared" si="6"/>
        <v>0</v>
      </c>
      <c r="B426" s="66"/>
      <c r="C426" s="66"/>
      <c r="D426" s="66"/>
      <c r="E426" s="68"/>
      <c r="F426" s="69"/>
      <c r="G426" s="70"/>
      <c r="H426" s="71"/>
      <c r="I426" s="72"/>
      <c r="J426" s="73"/>
      <c r="K426" s="62"/>
      <c r="L426" s="62"/>
      <c r="M426" s="62"/>
      <c r="N426" s="62"/>
      <c r="O426" s="62"/>
    </row>
    <row r="427" spans="1:15">
      <c r="A427" s="75">
        <f t="shared" si="6"/>
        <v>0</v>
      </c>
      <c r="B427" s="66"/>
      <c r="C427" s="66"/>
      <c r="D427" s="66"/>
      <c r="E427" s="68"/>
      <c r="F427" s="69"/>
      <c r="G427" s="70"/>
      <c r="H427" s="71"/>
      <c r="I427" s="72"/>
      <c r="J427" s="73"/>
      <c r="K427" s="62"/>
      <c r="L427" s="62"/>
      <c r="M427" s="62"/>
      <c r="N427" s="62"/>
      <c r="O427" s="62"/>
    </row>
    <row r="428" spans="1:15">
      <c r="A428" s="75">
        <f t="shared" si="6"/>
        <v>0</v>
      </c>
      <c r="B428" s="66"/>
      <c r="C428" s="66"/>
      <c r="D428" s="66"/>
      <c r="E428" s="68"/>
      <c r="F428" s="69"/>
      <c r="G428" s="70"/>
      <c r="H428" s="71"/>
      <c r="I428" s="72"/>
      <c r="J428" s="73"/>
      <c r="K428" s="62"/>
      <c r="L428" s="62"/>
      <c r="M428" s="62"/>
      <c r="N428" s="62"/>
      <c r="O428" s="62"/>
    </row>
    <row r="429" spans="1:15">
      <c r="A429" s="75">
        <f t="shared" si="6"/>
        <v>0</v>
      </c>
      <c r="B429" s="66"/>
      <c r="C429" s="66"/>
      <c r="D429" s="66"/>
      <c r="E429" s="68"/>
      <c r="F429" s="69"/>
      <c r="G429" s="70"/>
      <c r="H429" s="71"/>
      <c r="I429" s="72"/>
      <c r="J429" s="73"/>
      <c r="K429" s="62"/>
      <c r="L429" s="62"/>
      <c r="M429" s="62"/>
      <c r="N429" s="62"/>
      <c r="O429" s="62"/>
    </row>
    <row r="430" spans="1:15">
      <c r="A430" s="75">
        <f t="shared" si="6"/>
        <v>0</v>
      </c>
      <c r="B430" s="66"/>
      <c r="C430" s="66"/>
      <c r="D430" s="66"/>
      <c r="E430" s="68"/>
      <c r="F430" s="69"/>
      <c r="G430" s="70"/>
      <c r="H430" s="71"/>
      <c r="I430" s="72"/>
      <c r="J430" s="73"/>
      <c r="K430" s="62"/>
      <c r="L430" s="62"/>
      <c r="M430" s="62"/>
      <c r="N430" s="62"/>
      <c r="O430" s="62"/>
    </row>
    <row r="431" spans="1:15">
      <c r="A431" s="75">
        <f t="shared" si="6"/>
        <v>0</v>
      </c>
      <c r="B431" s="66"/>
      <c r="C431" s="66"/>
      <c r="D431" s="66"/>
      <c r="E431" s="68"/>
      <c r="F431" s="69"/>
      <c r="G431" s="70"/>
      <c r="H431" s="71"/>
      <c r="I431" s="72"/>
      <c r="J431" s="73"/>
      <c r="K431" s="62"/>
      <c r="L431" s="62"/>
      <c r="M431" s="62"/>
      <c r="N431" s="62"/>
      <c r="O431" s="62"/>
    </row>
    <row r="432" spans="1:15">
      <c r="A432" s="75">
        <f t="shared" si="6"/>
        <v>0</v>
      </c>
      <c r="B432" s="66"/>
      <c r="C432" s="66"/>
      <c r="D432" s="66"/>
      <c r="E432" s="68"/>
      <c r="F432" s="69"/>
      <c r="G432" s="70"/>
      <c r="H432" s="71"/>
      <c r="I432" s="72"/>
      <c r="J432" s="73"/>
      <c r="K432" s="62"/>
      <c r="L432" s="62"/>
      <c r="M432" s="62"/>
      <c r="N432" s="62"/>
      <c r="O432" s="62"/>
    </row>
    <row r="433" spans="1:15">
      <c r="A433" s="75">
        <f t="shared" si="6"/>
        <v>0</v>
      </c>
      <c r="B433" s="66"/>
      <c r="C433" s="66"/>
      <c r="D433" s="66"/>
      <c r="E433" s="68"/>
      <c r="F433" s="69"/>
      <c r="G433" s="70"/>
      <c r="H433" s="71"/>
      <c r="I433" s="72"/>
      <c r="J433" s="73"/>
      <c r="K433" s="62"/>
      <c r="L433" s="62"/>
      <c r="M433" s="62"/>
      <c r="N433" s="62"/>
      <c r="O433" s="62"/>
    </row>
    <row r="434" spans="1:15">
      <c r="A434" s="75">
        <f t="shared" si="6"/>
        <v>0</v>
      </c>
      <c r="B434" s="66"/>
      <c r="C434" s="66"/>
      <c r="D434" s="66"/>
      <c r="E434" s="68"/>
      <c r="F434" s="69"/>
      <c r="G434" s="70"/>
      <c r="H434" s="71"/>
      <c r="I434" s="72"/>
      <c r="J434" s="73"/>
      <c r="K434" s="62"/>
      <c r="L434" s="62"/>
      <c r="M434" s="62"/>
      <c r="N434" s="62"/>
      <c r="O434" s="62"/>
    </row>
    <row r="435" spans="1:15">
      <c r="A435" s="75">
        <f t="shared" si="6"/>
        <v>0</v>
      </c>
      <c r="B435" s="66"/>
      <c r="C435" s="66"/>
      <c r="D435" s="66"/>
      <c r="E435" s="68"/>
      <c r="F435" s="69"/>
      <c r="G435" s="70"/>
      <c r="H435" s="71"/>
      <c r="I435" s="72"/>
      <c r="J435" s="73"/>
      <c r="K435" s="62"/>
      <c r="L435" s="62"/>
      <c r="M435" s="62"/>
      <c r="N435" s="62"/>
      <c r="O435" s="62"/>
    </row>
    <row r="436" spans="1:15">
      <c r="A436" s="75">
        <f t="shared" si="6"/>
        <v>0</v>
      </c>
      <c r="B436" s="66"/>
      <c r="C436" s="66"/>
      <c r="D436" s="66"/>
      <c r="E436" s="68"/>
      <c r="F436" s="69"/>
      <c r="G436" s="70"/>
      <c r="H436" s="71"/>
      <c r="I436" s="72"/>
      <c r="J436" s="73"/>
      <c r="K436" s="62"/>
      <c r="L436" s="62"/>
      <c r="M436" s="62"/>
      <c r="N436" s="62"/>
      <c r="O436" s="62"/>
    </row>
    <row r="437" spans="1:15">
      <c r="A437" s="75">
        <f t="shared" si="6"/>
        <v>0</v>
      </c>
      <c r="B437" s="66"/>
      <c r="C437" s="66"/>
      <c r="D437" s="66"/>
      <c r="E437" s="68"/>
      <c r="F437" s="69"/>
      <c r="G437" s="70"/>
      <c r="H437" s="71"/>
      <c r="I437" s="72"/>
      <c r="J437" s="73"/>
      <c r="K437" s="62"/>
      <c r="L437" s="62"/>
      <c r="M437" s="62"/>
      <c r="N437" s="62"/>
      <c r="O437" s="62"/>
    </row>
    <row r="438" spans="1:15">
      <c r="A438" s="75">
        <f t="shared" si="6"/>
        <v>0</v>
      </c>
      <c r="B438" s="66"/>
      <c r="C438" s="66"/>
      <c r="D438" s="66"/>
      <c r="E438" s="68"/>
      <c r="F438" s="69"/>
      <c r="G438" s="70"/>
      <c r="H438" s="71"/>
      <c r="I438" s="72"/>
      <c r="J438" s="73"/>
      <c r="K438" s="62"/>
      <c r="L438" s="62"/>
      <c r="M438" s="62"/>
      <c r="N438" s="62"/>
      <c r="O438" s="62"/>
    </row>
    <row r="439" spans="1:15">
      <c r="A439" s="75">
        <f t="shared" si="6"/>
        <v>0</v>
      </c>
      <c r="B439" s="66"/>
      <c r="C439" s="66"/>
      <c r="D439" s="66"/>
      <c r="E439" s="68"/>
      <c r="F439" s="69"/>
      <c r="G439" s="70"/>
      <c r="H439" s="71"/>
      <c r="I439" s="72"/>
      <c r="J439" s="73"/>
      <c r="K439" s="62"/>
      <c r="L439" s="62"/>
      <c r="M439" s="62"/>
      <c r="N439" s="62"/>
      <c r="O439" s="62"/>
    </row>
    <row r="440" spans="1:15">
      <c r="A440" s="75">
        <f t="shared" si="6"/>
        <v>0</v>
      </c>
      <c r="B440" s="66"/>
      <c r="C440" s="66"/>
      <c r="D440" s="66"/>
      <c r="E440" s="68"/>
      <c r="F440" s="69"/>
      <c r="G440" s="70"/>
      <c r="H440" s="71"/>
      <c r="I440" s="72"/>
      <c r="J440" s="73"/>
      <c r="K440" s="62"/>
      <c r="L440" s="62"/>
      <c r="M440" s="62"/>
      <c r="N440" s="62"/>
      <c r="O440" s="62"/>
    </row>
    <row r="441" spans="1:15">
      <c r="A441" s="75">
        <f t="shared" si="6"/>
        <v>0</v>
      </c>
      <c r="B441" s="66"/>
      <c r="C441" s="66"/>
      <c r="D441" s="66"/>
      <c r="E441" s="68"/>
      <c r="F441" s="69"/>
      <c r="G441" s="70"/>
      <c r="H441" s="71"/>
      <c r="I441" s="72"/>
      <c r="J441" s="73"/>
      <c r="K441" s="62"/>
      <c r="L441" s="62"/>
      <c r="M441" s="62"/>
      <c r="N441" s="62"/>
      <c r="O441" s="62"/>
    </row>
    <row r="442" spans="1:15">
      <c r="A442" s="75">
        <f t="shared" si="6"/>
        <v>0</v>
      </c>
      <c r="B442" s="66"/>
      <c r="C442" s="66"/>
      <c r="D442" s="66"/>
      <c r="E442" s="68"/>
      <c r="F442" s="69"/>
      <c r="G442" s="70"/>
      <c r="H442" s="71"/>
      <c r="I442" s="72"/>
      <c r="J442" s="73"/>
      <c r="K442" s="62"/>
      <c r="L442" s="62"/>
      <c r="M442" s="62"/>
      <c r="N442" s="62"/>
      <c r="O442" s="62"/>
    </row>
    <row r="443" spans="1:15">
      <c r="A443" s="75">
        <f t="shared" si="6"/>
        <v>0</v>
      </c>
      <c r="B443" s="66"/>
      <c r="C443" s="66"/>
      <c r="D443" s="66"/>
      <c r="E443" s="68"/>
      <c r="F443" s="69"/>
      <c r="G443" s="70"/>
      <c r="H443" s="71"/>
      <c r="I443" s="72"/>
      <c r="J443" s="73"/>
      <c r="K443" s="62"/>
      <c r="L443" s="62"/>
      <c r="M443" s="62"/>
      <c r="N443" s="62"/>
      <c r="O443" s="62"/>
    </row>
    <row r="444" spans="1:15">
      <c r="A444" s="75">
        <f t="shared" si="6"/>
        <v>0</v>
      </c>
      <c r="B444" s="66"/>
      <c r="C444" s="66"/>
      <c r="D444" s="66"/>
      <c r="E444" s="68"/>
      <c r="F444" s="69"/>
      <c r="G444" s="70"/>
      <c r="H444" s="71"/>
      <c r="I444" s="72"/>
      <c r="J444" s="73"/>
      <c r="K444" s="62"/>
      <c r="L444" s="62"/>
      <c r="M444" s="62"/>
      <c r="N444" s="62"/>
      <c r="O444" s="62"/>
    </row>
    <row r="445" spans="1:15">
      <c r="A445" s="75">
        <f t="shared" si="6"/>
        <v>0</v>
      </c>
      <c r="B445" s="66"/>
      <c r="C445" s="66"/>
      <c r="D445" s="66"/>
      <c r="E445" s="68"/>
      <c r="F445" s="69"/>
      <c r="G445" s="70"/>
      <c r="H445" s="71"/>
      <c r="I445" s="72"/>
      <c r="J445" s="73"/>
      <c r="K445" s="62"/>
      <c r="L445" s="62"/>
      <c r="M445" s="62"/>
      <c r="N445" s="62"/>
      <c r="O445" s="62"/>
    </row>
    <row r="446" spans="1:15">
      <c r="A446" s="75">
        <f t="shared" si="6"/>
        <v>0</v>
      </c>
      <c r="B446" s="66"/>
      <c r="C446" s="66"/>
      <c r="D446" s="66"/>
      <c r="E446" s="68"/>
      <c r="F446" s="69"/>
      <c r="G446" s="70"/>
      <c r="H446" s="71"/>
      <c r="I446" s="72"/>
      <c r="J446" s="73"/>
      <c r="K446" s="62"/>
      <c r="L446" s="62"/>
      <c r="M446" s="62"/>
      <c r="N446" s="62"/>
      <c r="O446" s="62"/>
    </row>
    <row r="447" spans="1:15">
      <c r="A447" s="75">
        <f t="shared" si="6"/>
        <v>0</v>
      </c>
      <c r="B447" s="66"/>
      <c r="C447" s="66"/>
      <c r="D447" s="66"/>
      <c r="E447" s="68"/>
      <c r="F447" s="69"/>
      <c r="G447" s="70"/>
      <c r="H447" s="71"/>
      <c r="I447" s="72"/>
      <c r="J447" s="73"/>
      <c r="K447" s="62"/>
      <c r="L447" s="62"/>
      <c r="M447" s="62"/>
      <c r="N447" s="62"/>
      <c r="O447" s="62"/>
    </row>
    <row r="448" spans="1:15">
      <c r="A448" s="75">
        <f t="shared" si="6"/>
        <v>0</v>
      </c>
      <c r="B448" s="66"/>
      <c r="C448" s="66"/>
      <c r="D448" s="66"/>
      <c r="E448" s="68"/>
      <c r="F448" s="69"/>
      <c r="G448" s="70"/>
      <c r="H448" s="71"/>
      <c r="I448" s="72"/>
      <c r="J448" s="73"/>
      <c r="K448" s="62"/>
      <c r="L448" s="62"/>
      <c r="M448" s="62"/>
      <c r="N448" s="62"/>
      <c r="O448" s="62"/>
    </row>
    <row r="449" spans="1:15">
      <c r="A449" s="75">
        <f t="shared" si="6"/>
        <v>0</v>
      </c>
      <c r="B449" s="66"/>
      <c r="C449" s="66"/>
      <c r="D449" s="66"/>
      <c r="E449" s="68"/>
      <c r="F449" s="69"/>
      <c r="G449" s="70"/>
      <c r="H449" s="71"/>
      <c r="I449" s="72"/>
      <c r="J449" s="73"/>
      <c r="K449" s="62"/>
      <c r="L449" s="62"/>
      <c r="M449" s="62"/>
      <c r="N449" s="62"/>
      <c r="O449" s="62"/>
    </row>
    <row r="450" spans="1:15">
      <c r="A450" s="75">
        <f t="shared" si="6"/>
        <v>0</v>
      </c>
      <c r="B450" s="66"/>
      <c r="C450" s="66"/>
      <c r="D450" s="66"/>
      <c r="E450" s="68"/>
      <c r="F450" s="69"/>
      <c r="G450" s="70"/>
      <c r="H450" s="71"/>
      <c r="I450" s="72"/>
      <c r="J450" s="73"/>
      <c r="K450" s="62"/>
      <c r="L450" s="62"/>
      <c r="M450" s="62"/>
      <c r="N450" s="62"/>
      <c r="O450" s="62"/>
    </row>
    <row r="451" spans="1:15">
      <c r="A451" s="75">
        <f t="shared" si="6"/>
        <v>0</v>
      </c>
      <c r="B451" s="66"/>
      <c r="C451" s="66"/>
      <c r="D451" s="66"/>
      <c r="E451" s="68"/>
      <c r="F451" s="69"/>
      <c r="G451" s="70"/>
      <c r="H451" s="71"/>
      <c r="I451" s="72"/>
      <c r="J451" s="73"/>
      <c r="K451" s="62"/>
      <c r="L451" s="62"/>
      <c r="M451" s="62"/>
      <c r="N451" s="62"/>
      <c r="O451" s="62"/>
    </row>
    <row r="452" spans="1:15">
      <c r="A452" s="75">
        <f t="shared" si="6"/>
        <v>0</v>
      </c>
      <c r="B452" s="66"/>
      <c r="C452" s="66"/>
      <c r="D452" s="66"/>
      <c r="E452" s="68"/>
      <c r="F452" s="69"/>
      <c r="G452" s="70"/>
      <c r="H452" s="71"/>
      <c r="I452" s="72"/>
      <c r="J452" s="73"/>
      <c r="K452" s="62"/>
      <c r="L452" s="62"/>
      <c r="M452" s="62"/>
      <c r="N452" s="62"/>
      <c r="O452" s="62"/>
    </row>
    <row r="453" spans="1:15">
      <c r="A453" s="75">
        <f t="shared" si="6"/>
        <v>0</v>
      </c>
      <c r="B453" s="66"/>
      <c r="C453" s="66"/>
      <c r="D453" s="66"/>
      <c r="E453" s="68"/>
      <c r="F453" s="69"/>
      <c r="G453" s="70"/>
      <c r="H453" s="71"/>
      <c r="I453" s="72"/>
      <c r="J453" s="73"/>
      <c r="K453" s="62"/>
      <c r="L453" s="62"/>
      <c r="M453" s="62"/>
      <c r="N453" s="62"/>
      <c r="O453" s="62"/>
    </row>
    <row r="454" spans="1:15">
      <c r="A454" s="75">
        <f t="shared" si="6"/>
        <v>0</v>
      </c>
      <c r="B454" s="66"/>
      <c r="C454" s="66"/>
      <c r="D454" s="66"/>
      <c r="E454" s="68"/>
      <c r="F454" s="69"/>
      <c r="G454" s="70"/>
      <c r="H454" s="71"/>
      <c r="I454" s="72"/>
      <c r="J454" s="73"/>
      <c r="K454" s="62"/>
      <c r="L454" s="62"/>
      <c r="M454" s="62"/>
      <c r="N454" s="62"/>
      <c r="O454" s="62"/>
    </row>
    <row r="455" spans="1:15">
      <c r="A455" s="75">
        <f t="shared" si="6"/>
        <v>0</v>
      </c>
      <c r="B455" s="66"/>
      <c r="C455" s="66"/>
      <c r="D455" s="66"/>
      <c r="E455" s="68"/>
      <c r="F455" s="69"/>
      <c r="G455" s="70"/>
      <c r="H455" s="71"/>
      <c r="I455" s="72"/>
      <c r="J455" s="73"/>
      <c r="K455" s="62"/>
      <c r="L455" s="62"/>
      <c r="M455" s="62"/>
      <c r="N455" s="62"/>
      <c r="O455" s="62"/>
    </row>
    <row r="456" spans="1:15">
      <c r="A456" s="75">
        <f t="shared" si="6"/>
        <v>0</v>
      </c>
      <c r="B456" s="66"/>
      <c r="C456" s="66"/>
      <c r="D456" s="66"/>
      <c r="E456" s="68"/>
      <c r="F456" s="69"/>
      <c r="G456" s="70"/>
      <c r="H456" s="71"/>
      <c r="I456" s="72"/>
      <c r="J456" s="73"/>
      <c r="K456" s="62"/>
      <c r="L456" s="62"/>
      <c r="M456" s="62"/>
      <c r="N456" s="62"/>
      <c r="O456" s="62"/>
    </row>
    <row r="457" spans="1:15">
      <c r="A457" s="75">
        <f t="shared" si="6"/>
        <v>0</v>
      </c>
      <c r="B457" s="66"/>
      <c r="C457" s="66"/>
      <c r="D457" s="66"/>
      <c r="E457" s="68"/>
      <c r="F457" s="69"/>
      <c r="G457" s="70"/>
      <c r="H457" s="71"/>
      <c r="I457" s="72"/>
      <c r="J457" s="73"/>
      <c r="K457" s="62"/>
      <c r="L457" s="62"/>
      <c r="M457" s="62"/>
      <c r="N457" s="62"/>
      <c r="O457" s="62"/>
    </row>
    <row r="458" spans="1:15">
      <c r="A458" s="75">
        <f t="shared" ref="A458:A521" si="7">E458</f>
        <v>0</v>
      </c>
      <c r="B458" s="66"/>
      <c r="C458" s="66"/>
      <c r="D458" s="66"/>
      <c r="E458" s="68"/>
      <c r="F458" s="69"/>
      <c r="G458" s="70"/>
      <c r="H458" s="71"/>
      <c r="I458" s="72"/>
      <c r="J458" s="73"/>
      <c r="K458" s="62"/>
      <c r="L458" s="62"/>
      <c r="M458" s="62"/>
      <c r="N458" s="62"/>
      <c r="O458" s="62"/>
    </row>
    <row r="459" spans="1:15">
      <c r="A459" s="75">
        <f t="shared" si="7"/>
        <v>0</v>
      </c>
      <c r="B459" s="66"/>
      <c r="C459" s="66"/>
      <c r="D459" s="66"/>
      <c r="E459" s="68"/>
      <c r="F459" s="69"/>
      <c r="G459" s="70"/>
      <c r="H459" s="71"/>
      <c r="I459" s="72"/>
      <c r="J459" s="73"/>
      <c r="K459" s="62"/>
      <c r="L459" s="62"/>
      <c r="M459" s="62"/>
      <c r="N459" s="62"/>
      <c r="O459" s="62"/>
    </row>
    <row r="460" spans="1:15">
      <c r="A460" s="75">
        <f t="shared" si="7"/>
        <v>0</v>
      </c>
      <c r="B460" s="66"/>
      <c r="C460" s="66"/>
      <c r="D460" s="66"/>
      <c r="E460" s="68"/>
      <c r="F460" s="69"/>
      <c r="G460" s="70"/>
      <c r="H460" s="71"/>
      <c r="I460" s="72"/>
      <c r="J460" s="73"/>
      <c r="K460" s="62"/>
      <c r="L460" s="62"/>
      <c r="M460" s="62"/>
      <c r="N460" s="62"/>
      <c r="O460" s="62"/>
    </row>
    <row r="461" spans="1:15">
      <c r="A461" s="75">
        <f t="shared" si="7"/>
        <v>0</v>
      </c>
      <c r="B461" s="66"/>
      <c r="C461" s="66"/>
      <c r="D461" s="66"/>
      <c r="E461" s="68"/>
      <c r="F461" s="69"/>
      <c r="G461" s="70"/>
      <c r="H461" s="71"/>
      <c r="I461" s="72"/>
      <c r="J461" s="73"/>
      <c r="K461" s="62"/>
      <c r="L461" s="62"/>
      <c r="M461" s="62"/>
      <c r="N461" s="62"/>
      <c r="O461" s="62"/>
    </row>
    <row r="462" spans="1:15">
      <c r="A462" s="75">
        <f t="shared" si="7"/>
        <v>0</v>
      </c>
      <c r="B462" s="66"/>
      <c r="C462" s="66"/>
      <c r="D462" s="66"/>
      <c r="E462" s="68"/>
      <c r="F462" s="69"/>
      <c r="G462" s="70"/>
      <c r="H462" s="71"/>
      <c r="I462" s="72"/>
      <c r="J462" s="73"/>
      <c r="K462" s="62"/>
      <c r="L462" s="62"/>
      <c r="M462" s="62"/>
      <c r="N462" s="62"/>
      <c r="O462" s="62"/>
    </row>
    <row r="463" spans="1:15">
      <c r="A463" s="75">
        <f t="shared" si="7"/>
        <v>0</v>
      </c>
      <c r="B463" s="66"/>
      <c r="C463" s="66"/>
      <c r="D463" s="66"/>
      <c r="E463" s="68"/>
      <c r="F463" s="69"/>
      <c r="G463" s="70"/>
      <c r="H463" s="71"/>
      <c r="I463" s="72"/>
      <c r="J463" s="73"/>
      <c r="K463" s="62"/>
      <c r="L463" s="62"/>
      <c r="M463" s="62"/>
      <c r="N463" s="62"/>
      <c r="O463" s="62"/>
    </row>
    <row r="464" spans="1:15">
      <c r="A464" s="75">
        <f t="shared" si="7"/>
        <v>0</v>
      </c>
      <c r="B464" s="66"/>
      <c r="C464" s="66"/>
      <c r="D464" s="66"/>
      <c r="E464" s="68"/>
      <c r="F464" s="69"/>
      <c r="G464" s="70"/>
      <c r="H464" s="71"/>
      <c r="I464" s="72"/>
      <c r="J464" s="73"/>
      <c r="K464" s="62"/>
      <c r="L464" s="62"/>
      <c r="M464" s="62"/>
      <c r="N464" s="62"/>
      <c r="O464" s="62"/>
    </row>
    <row r="465" spans="1:15">
      <c r="A465" s="75">
        <f t="shared" si="7"/>
        <v>0</v>
      </c>
      <c r="B465" s="66"/>
      <c r="C465" s="66"/>
      <c r="D465" s="66"/>
      <c r="E465" s="68"/>
      <c r="F465" s="69"/>
      <c r="G465" s="70"/>
      <c r="H465" s="71"/>
      <c r="I465" s="72"/>
      <c r="J465" s="73"/>
      <c r="K465" s="62"/>
      <c r="L465" s="62"/>
      <c r="M465" s="62"/>
      <c r="N465" s="62"/>
      <c r="O465" s="62"/>
    </row>
    <row r="466" spans="1:15">
      <c r="A466" s="75">
        <f t="shared" si="7"/>
        <v>0</v>
      </c>
      <c r="B466" s="66"/>
      <c r="C466" s="66"/>
      <c r="D466" s="66"/>
      <c r="E466" s="68"/>
      <c r="F466" s="69"/>
      <c r="G466" s="70"/>
      <c r="H466" s="71"/>
      <c r="I466" s="72"/>
      <c r="J466" s="73"/>
      <c r="K466" s="62"/>
      <c r="L466" s="62"/>
      <c r="M466" s="62"/>
      <c r="N466" s="62"/>
      <c r="O466" s="62"/>
    </row>
    <row r="467" spans="1:15">
      <c r="A467" s="75">
        <f t="shared" si="7"/>
        <v>0</v>
      </c>
      <c r="B467" s="66"/>
      <c r="C467" s="66"/>
      <c r="D467" s="66"/>
      <c r="E467" s="68"/>
      <c r="F467" s="69"/>
      <c r="G467" s="70"/>
      <c r="H467" s="71"/>
      <c r="I467" s="72"/>
      <c r="J467" s="73"/>
      <c r="K467" s="62"/>
      <c r="L467" s="62"/>
      <c r="M467" s="62"/>
      <c r="N467" s="62"/>
      <c r="O467" s="62"/>
    </row>
    <row r="468" spans="1:15">
      <c r="A468" s="75">
        <f t="shared" si="7"/>
        <v>0</v>
      </c>
      <c r="B468" s="66"/>
      <c r="C468" s="66"/>
      <c r="D468" s="66"/>
      <c r="E468" s="68"/>
      <c r="F468" s="69"/>
      <c r="G468" s="70"/>
      <c r="H468" s="71"/>
      <c r="I468" s="72"/>
      <c r="J468" s="73"/>
      <c r="K468" s="62"/>
      <c r="L468" s="62"/>
      <c r="M468" s="62"/>
      <c r="N468" s="62"/>
      <c r="O468" s="62"/>
    </row>
    <row r="469" spans="1:15">
      <c r="A469" s="75">
        <f t="shared" si="7"/>
        <v>0</v>
      </c>
      <c r="B469" s="66"/>
      <c r="C469" s="66"/>
      <c r="D469" s="66"/>
      <c r="E469" s="68"/>
      <c r="F469" s="69"/>
      <c r="G469" s="70"/>
      <c r="H469" s="71"/>
      <c r="I469" s="72"/>
      <c r="J469" s="73"/>
      <c r="K469" s="62"/>
      <c r="L469" s="62"/>
      <c r="M469" s="62"/>
      <c r="N469" s="62"/>
      <c r="O469" s="62"/>
    </row>
    <row r="470" spans="1:15">
      <c r="A470" s="75">
        <f t="shared" si="7"/>
        <v>0</v>
      </c>
      <c r="B470" s="66"/>
      <c r="C470" s="66"/>
      <c r="D470" s="66"/>
      <c r="E470" s="68"/>
      <c r="F470" s="69"/>
      <c r="G470" s="70"/>
      <c r="H470" s="71"/>
      <c r="I470" s="72"/>
      <c r="J470" s="73"/>
      <c r="K470" s="62"/>
      <c r="L470" s="62"/>
      <c r="M470" s="62"/>
      <c r="N470" s="62"/>
      <c r="O470" s="62"/>
    </row>
    <row r="471" spans="1:15">
      <c r="A471" s="75">
        <f t="shared" si="7"/>
        <v>0</v>
      </c>
      <c r="B471" s="66"/>
      <c r="C471" s="66"/>
      <c r="D471" s="66"/>
      <c r="E471" s="68"/>
      <c r="F471" s="69"/>
      <c r="G471" s="70"/>
      <c r="H471" s="71"/>
      <c r="I471" s="72"/>
      <c r="J471" s="73"/>
      <c r="K471" s="62"/>
      <c r="L471" s="62"/>
      <c r="M471" s="62"/>
      <c r="N471" s="62"/>
      <c r="O471" s="62"/>
    </row>
    <row r="472" spans="1:15">
      <c r="A472" s="75">
        <f t="shared" si="7"/>
        <v>0</v>
      </c>
      <c r="B472" s="66"/>
      <c r="C472" s="66"/>
      <c r="D472" s="66"/>
      <c r="E472" s="68"/>
      <c r="F472" s="69"/>
      <c r="G472" s="70"/>
      <c r="H472" s="71"/>
      <c r="I472" s="72"/>
      <c r="J472" s="73"/>
      <c r="K472" s="62"/>
      <c r="L472" s="62"/>
      <c r="M472" s="62"/>
      <c r="N472" s="62"/>
      <c r="O472" s="62"/>
    </row>
    <row r="473" spans="1:15">
      <c r="A473" s="75">
        <f t="shared" si="7"/>
        <v>0</v>
      </c>
      <c r="B473" s="66"/>
      <c r="C473" s="66"/>
      <c r="D473" s="66"/>
      <c r="E473" s="68"/>
      <c r="F473" s="69"/>
      <c r="G473" s="70"/>
      <c r="H473" s="71"/>
      <c r="I473" s="72"/>
      <c r="J473" s="73"/>
      <c r="K473" s="62"/>
      <c r="L473" s="62"/>
      <c r="M473" s="62"/>
      <c r="N473" s="62"/>
      <c r="O473" s="62"/>
    </row>
    <row r="474" spans="1:15">
      <c r="A474" s="75">
        <f t="shared" si="7"/>
        <v>0</v>
      </c>
      <c r="B474" s="66"/>
      <c r="C474" s="66"/>
      <c r="D474" s="66"/>
      <c r="E474" s="68"/>
      <c r="F474" s="69"/>
      <c r="G474" s="70"/>
      <c r="H474" s="71"/>
      <c r="I474" s="72"/>
      <c r="J474" s="73"/>
      <c r="K474" s="62"/>
      <c r="L474" s="62"/>
      <c r="M474" s="62"/>
      <c r="N474" s="62"/>
      <c r="O474" s="62"/>
    </row>
    <row r="475" spans="1:15">
      <c r="A475" s="75">
        <f t="shared" si="7"/>
        <v>0</v>
      </c>
      <c r="B475" s="66"/>
      <c r="C475" s="66"/>
      <c r="D475" s="66"/>
      <c r="E475" s="68"/>
      <c r="F475" s="69"/>
      <c r="G475" s="70"/>
      <c r="H475" s="71"/>
      <c r="I475" s="72"/>
      <c r="J475" s="73"/>
      <c r="K475" s="62"/>
      <c r="L475" s="62"/>
      <c r="M475" s="62"/>
      <c r="N475" s="62"/>
      <c r="O475" s="62"/>
    </row>
    <row r="476" spans="1:15">
      <c r="A476" s="75">
        <f t="shared" si="7"/>
        <v>0</v>
      </c>
      <c r="B476" s="66"/>
      <c r="C476" s="66"/>
      <c r="D476" s="66"/>
      <c r="E476" s="68"/>
      <c r="F476" s="69"/>
      <c r="G476" s="70"/>
      <c r="H476" s="71"/>
      <c r="I476" s="72"/>
      <c r="J476" s="73"/>
      <c r="K476" s="62"/>
      <c r="L476" s="62"/>
      <c r="M476" s="62"/>
      <c r="N476" s="62"/>
      <c r="O476" s="62"/>
    </row>
    <row r="477" spans="1:15">
      <c r="A477" s="75">
        <f t="shared" si="7"/>
        <v>0</v>
      </c>
      <c r="B477" s="66"/>
      <c r="C477" s="66"/>
      <c r="D477" s="66"/>
      <c r="E477" s="68"/>
      <c r="F477" s="69"/>
      <c r="G477" s="70"/>
      <c r="H477" s="71"/>
      <c r="I477" s="72"/>
      <c r="J477" s="73"/>
      <c r="K477" s="62"/>
      <c r="L477" s="62"/>
      <c r="M477" s="62"/>
      <c r="N477" s="62"/>
      <c r="O477" s="62"/>
    </row>
    <row r="478" spans="1:15">
      <c r="A478" s="75">
        <f t="shared" si="7"/>
        <v>0</v>
      </c>
      <c r="B478" s="66"/>
      <c r="C478" s="66"/>
      <c r="D478" s="66"/>
      <c r="E478" s="68"/>
      <c r="F478" s="69"/>
      <c r="G478" s="70"/>
      <c r="H478" s="71"/>
      <c r="I478" s="72"/>
      <c r="J478" s="73"/>
      <c r="K478" s="62"/>
      <c r="L478" s="62"/>
      <c r="M478" s="62"/>
      <c r="N478" s="62"/>
      <c r="O478" s="62"/>
    </row>
    <row r="479" spans="1:15">
      <c r="A479" s="75">
        <f t="shared" si="7"/>
        <v>0</v>
      </c>
      <c r="B479" s="66"/>
      <c r="C479" s="66"/>
      <c r="D479" s="66"/>
      <c r="E479" s="68"/>
      <c r="F479" s="69"/>
      <c r="G479" s="70"/>
      <c r="H479" s="71"/>
      <c r="I479" s="72"/>
      <c r="J479" s="73"/>
      <c r="K479" s="62"/>
      <c r="L479" s="62"/>
      <c r="M479" s="62"/>
      <c r="N479" s="62"/>
      <c r="O479" s="62"/>
    </row>
    <row r="480" spans="1:15">
      <c r="A480" s="75">
        <f t="shared" si="7"/>
        <v>0</v>
      </c>
      <c r="B480" s="66"/>
      <c r="C480" s="66"/>
      <c r="D480" s="66"/>
      <c r="E480" s="68"/>
      <c r="F480" s="69"/>
      <c r="G480" s="70"/>
      <c r="H480" s="71"/>
      <c r="I480" s="72"/>
      <c r="J480" s="73"/>
      <c r="K480" s="62"/>
      <c r="L480" s="62"/>
      <c r="M480" s="62"/>
      <c r="N480" s="62"/>
      <c r="O480" s="62"/>
    </row>
    <row r="481" spans="1:15">
      <c r="A481" s="75">
        <f t="shared" si="7"/>
        <v>0</v>
      </c>
      <c r="B481" s="66"/>
      <c r="C481" s="66"/>
      <c r="D481" s="66"/>
      <c r="E481" s="68"/>
      <c r="F481" s="69"/>
      <c r="G481" s="70"/>
      <c r="H481" s="71"/>
      <c r="I481" s="72"/>
      <c r="J481" s="73"/>
      <c r="K481" s="62"/>
      <c r="L481" s="62"/>
      <c r="M481" s="62"/>
      <c r="N481" s="62"/>
      <c r="O481" s="62"/>
    </row>
    <row r="482" spans="1:15">
      <c r="A482" s="75">
        <f t="shared" si="7"/>
        <v>0</v>
      </c>
      <c r="B482" s="66"/>
      <c r="C482" s="66"/>
      <c r="D482" s="66"/>
      <c r="E482" s="68"/>
      <c r="F482" s="69"/>
      <c r="G482" s="70"/>
      <c r="H482" s="71"/>
      <c r="I482" s="72"/>
      <c r="J482" s="73"/>
      <c r="K482" s="62"/>
      <c r="L482" s="62"/>
      <c r="M482" s="62"/>
      <c r="N482" s="62"/>
      <c r="O482" s="62"/>
    </row>
    <row r="483" spans="1:15">
      <c r="A483" s="75">
        <f t="shared" si="7"/>
        <v>0</v>
      </c>
      <c r="B483" s="66"/>
      <c r="C483" s="66"/>
      <c r="D483" s="66"/>
      <c r="E483" s="68"/>
      <c r="F483" s="69"/>
      <c r="G483" s="70"/>
      <c r="H483" s="71"/>
      <c r="I483" s="72"/>
      <c r="J483" s="73"/>
      <c r="K483" s="62"/>
      <c r="L483" s="62"/>
      <c r="M483" s="62"/>
      <c r="N483" s="62"/>
      <c r="O483" s="62"/>
    </row>
    <row r="484" spans="1:15">
      <c r="A484" s="75">
        <f t="shared" si="7"/>
        <v>0</v>
      </c>
      <c r="B484" s="66"/>
      <c r="C484" s="66"/>
      <c r="D484" s="66"/>
      <c r="E484" s="68"/>
      <c r="F484" s="69"/>
      <c r="G484" s="70"/>
      <c r="H484" s="71"/>
      <c r="I484" s="72"/>
      <c r="J484" s="73"/>
      <c r="K484" s="62"/>
      <c r="L484" s="62"/>
      <c r="M484" s="62"/>
      <c r="N484" s="62"/>
      <c r="O484" s="62"/>
    </row>
    <row r="485" spans="1:15">
      <c r="A485" s="75">
        <f t="shared" si="7"/>
        <v>0</v>
      </c>
      <c r="B485" s="66"/>
      <c r="C485" s="66"/>
      <c r="D485" s="66"/>
      <c r="E485" s="68"/>
      <c r="F485" s="69"/>
      <c r="G485" s="70"/>
      <c r="H485" s="71"/>
      <c r="I485" s="72"/>
      <c r="J485" s="73"/>
      <c r="K485" s="62"/>
      <c r="L485" s="62"/>
      <c r="M485" s="62"/>
      <c r="N485" s="62"/>
      <c r="O485" s="62"/>
    </row>
    <row r="486" spans="1:15">
      <c r="A486" s="75">
        <f t="shared" si="7"/>
        <v>0</v>
      </c>
      <c r="B486" s="66"/>
      <c r="C486" s="66"/>
      <c r="D486" s="66"/>
      <c r="E486" s="68"/>
      <c r="F486" s="69"/>
      <c r="G486" s="70"/>
      <c r="H486" s="71"/>
      <c r="I486" s="72"/>
      <c r="J486" s="73"/>
      <c r="K486" s="62"/>
      <c r="L486" s="62"/>
      <c r="M486" s="62"/>
      <c r="N486" s="62"/>
      <c r="O486" s="62"/>
    </row>
    <row r="487" spans="1:15">
      <c r="A487" s="75">
        <f t="shared" si="7"/>
        <v>0</v>
      </c>
      <c r="B487" s="66"/>
      <c r="C487" s="66"/>
      <c r="D487" s="66"/>
      <c r="E487" s="68"/>
      <c r="F487" s="69"/>
      <c r="G487" s="70"/>
      <c r="H487" s="71"/>
      <c r="I487" s="72"/>
      <c r="J487" s="73"/>
      <c r="K487" s="62"/>
      <c r="L487" s="62"/>
      <c r="M487" s="62"/>
      <c r="N487" s="62"/>
      <c r="O487" s="62"/>
    </row>
    <row r="488" spans="1:15">
      <c r="A488" s="75">
        <f t="shared" si="7"/>
        <v>0</v>
      </c>
      <c r="B488" s="66"/>
      <c r="C488" s="66"/>
      <c r="D488" s="66"/>
      <c r="E488" s="68"/>
      <c r="F488" s="69"/>
      <c r="G488" s="70"/>
      <c r="H488" s="71"/>
      <c r="I488" s="72"/>
      <c r="J488" s="73"/>
      <c r="K488" s="62"/>
      <c r="L488" s="62"/>
      <c r="M488" s="62"/>
      <c r="N488" s="62"/>
      <c r="O488" s="62"/>
    </row>
    <row r="489" spans="1:15">
      <c r="A489" s="75">
        <f t="shared" si="7"/>
        <v>0</v>
      </c>
      <c r="B489" s="66"/>
      <c r="C489" s="66"/>
      <c r="D489" s="66"/>
      <c r="E489" s="68"/>
      <c r="F489" s="69"/>
      <c r="G489" s="70"/>
      <c r="H489" s="71"/>
      <c r="I489" s="72"/>
      <c r="J489" s="73"/>
      <c r="K489" s="62"/>
      <c r="L489" s="62"/>
      <c r="M489" s="62"/>
      <c r="N489" s="62"/>
      <c r="O489" s="62"/>
    </row>
    <row r="490" spans="1:15">
      <c r="A490" s="75">
        <f t="shared" si="7"/>
        <v>0</v>
      </c>
      <c r="B490" s="66"/>
      <c r="C490" s="66"/>
      <c r="D490" s="66"/>
      <c r="E490" s="68"/>
      <c r="F490" s="69"/>
      <c r="G490" s="70"/>
      <c r="H490" s="71"/>
      <c r="I490" s="72"/>
      <c r="J490" s="73"/>
      <c r="K490" s="62"/>
      <c r="L490" s="62"/>
      <c r="M490" s="62"/>
      <c r="N490" s="62"/>
      <c r="O490" s="62"/>
    </row>
    <row r="491" spans="1:15">
      <c r="A491" s="75">
        <f t="shared" si="7"/>
        <v>0</v>
      </c>
      <c r="B491" s="66"/>
      <c r="C491" s="66"/>
      <c r="D491" s="66"/>
      <c r="E491" s="68"/>
      <c r="F491" s="69"/>
      <c r="G491" s="70"/>
      <c r="H491" s="71"/>
      <c r="I491" s="72"/>
      <c r="J491" s="73"/>
      <c r="K491" s="62"/>
      <c r="L491" s="62"/>
      <c r="M491" s="62"/>
      <c r="N491" s="62"/>
      <c r="O491" s="62"/>
    </row>
    <row r="492" spans="1:15">
      <c r="A492" s="75">
        <f t="shared" si="7"/>
        <v>0</v>
      </c>
      <c r="B492" s="66"/>
      <c r="C492" s="66"/>
      <c r="D492" s="66"/>
      <c r="E492" s="68"/>
      <c r="F492" s="69"/>
      <c r="G492" s="70"/>
      <c r="H492" s="71"/>
      <c r="I492" s="72"/>
      <c r="J492" s="73"/>
      <c r="K492" s="62"/>
      <c r="L492" s="62"/>
      <c r="M492" s="62"/>
      <c r="N492" s="62"/>
      <c r="O492" s="62"/>
    </row>
    <row r="493" spans="1:15">
      <c r="A493" s="75">
        <f t="shared" si="7"/>
        <v>0</v>
      </c>
      <c r="B493" s="66"/>
      <c r="C493" s="66"/>
      <c r="D493" s="66"/>
      <c r="E493" s="68"/>
      <c r="F493" s="69"/>
      <c r="G493" s="70"/>
      <c r="H493" s="71"/>
      <c r="I493" s="72"/>
      <c r="J493" s="73"/>
      <c r="K493" s="62"/>
      <c r="L493" s="62"/>
      <c r="M493" s="62"/>
      <c r="N493" s="62"/>
      <c r="O493" s="62"/>
    </row>
    <row r="494" spans="1:15">
      <c r="A494" s="75">
        <f t="shared" si="7"/>
        <v>0</v>
      </c>
      <c r="B494" s="66"/>
      <c r="C494" s="66"/>
      <c r="D494" s="66"/>
      <c r="E494" s="68"/>
      <c r="F494" s="69"/>
      <c r="G494" s="70"/>
      <c r="H494" s="71"/>
      <c r="I494" s="72"/>
      <c r="J494" s="73"/>
      <c r="K494" s="62"/>
      <c r="L494" s="62"/>
      <c r="M494" s="62"/>
      <c r="N494" s="62"/>
      <c r="O494" s="62"/>
    </row>
    <row r="495" spans="1:15">
      <c r="A495" s="75">
        <f t="shared" si="7"/>
        <v>0</v>
      </c>
      <c r="B495" s="66"/>
      <c r="C495" s="66"/>
      <c r="D495" s="66"/>
      <c r="E495" s="68"/>
      <c r="F495" s="69"/>
      <c r="G495" s="70"/>
      <c r="H495" s="71"/>
      <c r="I495" s="72"/>
      <c r="J495" s="73"/>
      <c r="K495" s="62"/>
      <c r="L495" s="62"/>
      <c r="M495" s="62"/>
      <c r="N495" s="62"/>
      <c r="O495" s="62"/>
    </row>
    <row r="496" spans="1:15">
      <c r="A496" s="75">
        <f t="shared" si="7"/>
        <v>0</v>
      </c>
      <c r="B496" s="66"/>
      <c r="C496" s="66"/>
      <c r="D496" s="66"/>
      <c r="E496" s="68"/>
      <c r="F496" s="69"/>
      <c r="G496" s="70"/>
      <c r="H496" s="71"/>
      <c r="I496" s="72"/>
      <c r="J496" s="73"/>
      <c r="K496" s="62"/>
      <c r="L496" s="62"/>
      <c r="M496" s="62"/>
      <c r="N496" s="62"/>
      <c r="O496" s="62"/>
    </row>
    <row r="497" spans="1:15">
      <c r="A497" s="75">
        <f t="shared" si="7"/>
        <v>0</v>
      </c>
      <c r="B497" s="66"/>
      <c r="C497" s="66"/>
      <c r="D497" s="66"/>
      <c r="E497" s="68"/>
      <c r="F497" s="69"/>
      <c r="G497" s="70"/>
      <c r="H497" s="71"/>
      <c r="I497" s="72"/>
      <c r="J497" s="73"/>
      <c r="K497" s="62"/>
      <c r="L497" s="62"/>
      <c r="M497" s="62"/>
      <c r="N497" s="62"/>
      <c r="O497" s="62"/>
    </row>
    <row r="498" spans="1:15">
      <c r="A498" s="75">
        <f t="shared" si="7"/>
        <v>0</v>
      </c>
      <c r="B498" s="66"/>
      <c r="C498" s="66"/>
      <c r="D498" s="66"/>
      <c r="E498" s="68"/>
      <c r="F498" s="69"/>
      <c r="G498" s="70"/>
      <c r="H498" s="71"/>
      <c r="I498" s="72"/>
      <c r="J498" s="73"/>
      <c r="K498" s="62"/>
      <c r="L498" s="62"/>
      <c r="M498" s="62"/>
      <c r="N498" s="62"/>
      <c r="O498" s="62"/>
    </row>
    <row r="499" spans="1:15">
      <c r="A499" s="75">
        <f t="shared" si="7"/>
        <v>0</v>
      </c>
      <c r="B499" s="66"/>
      <c r="C499" s="66"/>
      <c r="D499" s="66"/>
      <c r="E499" s="68"/>
      <c r="F499" s="69"/>
      <c r="G499" s="70"/>
      <c r="H499" s="71"/>
      <c r="I499" s="72"/>
      <c r="J499" s="73"/>
      <c r="K499" s="62"/>
      <c r="L499" s="62"/>
      <c r="M499" s="62"/>
      <c r="N499" s="62"/>
      <c r="O499" s="62"/>
    </row>
    <row r="500" spans="1:15">
      <c r="A500" s="75">
        <f t="shared" si="7"/>
        <v>0</v>
      </c>
      <c r="B500" s="66"/>
      <c r="C500" s="66"/>
      <c r="D500" s="66"/>
      <c r="E500" s="68"/>
      <c r="F500" s="69"/>
      <c r="G500" s="70"/>
      <c r="H500" s="71"/>
      <c r="I500" s="72"/>
      <c r="J500" s="73"/>
      <c r="K500" s="62"/>
      <c r="L500" s="62"/>
      <c r="M500" s="62"/>
      <c r="N500" s="62"/>
      <c r="O500" s="62"/>
    </row>
    <row r="501" spans="1:15">
      <c r="A501" s="75">
        <f t="shared" si="7"/>
        <v>0</v>
      </c>
      <c r="B501" s="66"/>
      <c r="C501" s="66"/>
      <c r="D501" s="66"/>
      <c r="E501" s="68"/>
      <c r="F501" s="69"/>
      <c r="G501" s="70"/>
      <c r="H501" s="71"/>
      <c r="I501" s="72"/>
      <c r="J501" s="73"/>
      <c r="K501" s="62"/>
      <c r="L501" s="62"/>
      <c r="M501" s="62"/>
      <c r="N501" s="62"/>
      <c r="O501" s="62"/>
    </row>
    <row r="502" spans="1:15">
      <c r="A502" s="75">
        <f t="shared" si="7"/>
        <v>0</v>
      </c>
      <c r="B502" s="66"/>
      <c r="C502" s="66"/>
      <c r="D502" s="66"/>
      <c r="E502" s="68"/>
      <c r="F502" s="69"/>
      <c r="G502" s="70"/>
      <c r="H502" s="71"/>
      <c r="I502" s="72"/>
      <c r="J502" s="73"/>
      <c r="K502" s="62"/>
      <c r="L502" s="62"/>
      <c r="M502" s="62"/>
      <c r="N502" s="62"/>
      <c r="O502" s="62"/>
    </row>
    <row r="503" spans="1:15">
      <c r="A503" s="75">
        <f t="shared" si="7"/>
        <v>0</v>
      </c>
      <c r="B503" s="66"/>
      <c r="C503" s="66"/>
      <c r="D503" s="66"/>
      <c r="E503" s="68"/>
      <c r="F503" s="69"/>
      <c r="G503" s="70"/>
      <c r="H503" s="71"/>
      <c r="I503" s="72"/>
      <c r="J503" s="73"/>
      <c r="K503" s="62"/>
      <c r="L503" s="62"/>
      <c r="M503" s="62"/>
      <c r="N503" s="62"/>
      <c r="O503" s="62"/>
    </row>
    <row r="504" spans="1:15">
      <c r="A504" s="75">
        <f t="shared" si="7"/>
        <v>0</v>
      </c>
      <c r="B504" s="66"/>
      <c r="C504" s="66"/>
      <c r="D504" s="66"/>
      <c r="E504" s="68"/>
      <c r="F504" s="69"/>
      <c r="G504" s="70"/>
      <c r="H504" s="71"/>
      <c r="I504" s="72"/>
      <c r="J504" s="73"/>
      <c r="K504" s="62"/>
      <c r="L504" s="62"/>
      <c r="M504" s="62"/>
      <c r="N504" s="62"/>
      <c r="O504" s="62"/>
    </row>
    <row r="505" spans="1:15">
      <c r="A505" s="75">
        <f t="shared" si="7"/>
        <v>0</v>
      </c>
      <c r="B505" s="66"/>
      <c r="C505" s="66"/>
      <c r="D505" s="66"/>
      <c r="E505" s="68"/>
      <c r="F505" s="69"/>
      <c r="G505" s="70"/>
      <c r="H505" s="71"/>
      <c r="I505" s="72"/>
      <c r="J505" s="73"/>
      <c r="K505" s="62"/>
      <c r="L505" s="62"/>
      <c r="M505" s="62"/>
      <c r="N505" s="62"/>
      <c r="O505" s="62"/>
    </row>
    <row r="506" spans="1:15">
      <c r="A506" s="75">
        <f t="shared" si="7"/>
        <v>0</v>
      </c>
      <c r="B506" s="66"/>
      <c r="C506" s="66"/>
      <c r="D506" s="66"/>
      <c r="E506" s="68"/>
      <c r="F506" s="69"/>
      <c r="G506" s="70"/>
      <c r="H506" s="71"/>
      <c r="I506" s="72"/>
      <c r="J506" s="73"/>
      <c r="K506" s="62"/>
      <c r="L506" s="62"/>
      <c r="M506" s="62"/>
      <c r="N506" s="62"/>
      <c r="O506" s="62"/>
    </row>
    <row r="507" spans="1:15">
      <c r="A507" s="75">
        <f t="shared" si="7"/>
        <v>0</v>
      </c>
      <c r="B507" s="66"/>
      <c r="C507" s="66"/>
      <c r="D507" s="66"/>
      <c r="E507" s="68"/>
      <c r="F507" s="69"/>
      <c r="G507" s="70"/>
      <c r="H507" s="71"/>
      <c r="I507" s="72"/>
      <c r="J507" s="73"/>
      <c r="K507" s="62"/>
      <c r="L507" s="62"/>
      <c r="M507" s="62"/>
      <c r="N507" s="62"/>
      <c r="O507" s="62"/>
    </row>
    <row r="508" spans="1:15">
      <c r="A508" s="75">
        <f t="shared" si="7"/>
        <v>0</v>
      </c>
      <c r="B508" s="66"/>
      <c r="C508" s="66"/>
      <c r="D508" s="66"/>
      <c r="E508" s="68"/>
      <c r="F508" s="69"/>
      <c r="G508" s="70"/>
      <c r="H508" s="71"/>
      <c r="I508" s="72"/>
      <c r="J508" s="73"/>
      <c r="K508" s="62"/>
      <c r="L508" s="62"/>
      <c r="M508" s="62"/>
      <c r="N508" s="62"/>
      <c r="O508" s="62"/>
    </row>
    <row r="509" spans="1:15">
      <c r="A509" s="75">
        <f t="shared" si="7"/>
        <v>0</v>
      </c>
      <c r="B509" s="66"/>
      <c r="C509" s="66"/>
      <c r="D509" s="66"/>
      <c r="E509" s="68"/>
      <c r="F509" s="69"/>
      <c r="G509" s="70"/>
      <c r="H509" s="71"/>
      <c r="I509" s="72"/>
      <c r="J509" s="73"/>
      <c r="K509" s="62"/>
      <c r="L509" s="62"/>
      <c r="M509" s="62"/>
      <c r="N509" s="62"/>
      <c r="O509" s="62"/>
    </row>
    <row r="510" spans="1:15">
      <c r="A510" s="75">
        <f t="shared" si="7"/>
        <v>0</v>
      </c>
      <c r="B510" s="66"/>
      <c r="C510" s="66"/>
      <c r="D510" s="66"/>
      <c r="E510" s="68"/>
      <c r="F510" s="69"/>
      <c r="G510" s="70"/>
      <c r="H510" s="71"/>
      <c r="I510" s="72"/>
      <c r="J510" s="73"/>
      <c r="K510" s="62"/>
      <c r="L510" s="62"/>
      <c r="M510" s="62"/>
      <c r="N510" s="62"/>
      <c r="O510" s="62"/>
    </row>
    <row r="511" spans="1:15">
      <c r="A511" s="75">
        <f t="shared" si="7"/>
        <v>0</v>
      </c>
      <c r="B511" s="66"/>
      <c r="C511" s="66"/>
      <c r="D511" s="66"/>
      <c r="E511" s="68"/>
      <c r="F511" s="69"/>
      <c r="G511" s="70"/>
      <c r="H511" s="71"/>
      <c r="I511" s="72"/>
      <c r="J511" s="73"/>
      <c r="K511" s="62"/>
      <c r="L511" s="62"/>
      <c r="M511" s="62"/>
      <c r="N511" s="62"/>
      <c r="O511" s="62"/>
    </row>
    <row r="512" spans="1:15">
      <c r="A512" s="75">
        <f t="shared" si="7"/>
        <v>0</v>
      </c>
      <c r="B512" s="66"/>
      <c r="C512" s="66"/>
      <c r="D512" s="66"/>
      <c r="E512" s="68"/>
      <c r="F512" s="69"/>
      <c r="G512" s="70"/>
      <c r="H512" s="71"/>
      <c r="I512" s="72"/>
      <c r="J512" s="73"/>
      <c r="K512" s="62"/>
      <c r="L512" s="62"/>
      <c r="M512" s="62"/>
      <c r="N512" s="62"/>
      <c r="O512" s="62"/>
    </row>
    <row r="513" spans="1:15">
      <c r="A513" s="75">
        <f t="shared" si="7"/>
        <v>0</v>
      </c>
      <c r="B513" s="66"/>
      <c r="C513" s="66"/>
      <c r="D513" s="66"/>
      <c r="E513" s="68"/>
      <c r="F513" s="69"/>
      <c r="G513" s="70"/>
      <c r="H513" s="71"/>
      <c r="I513" s="72"/>
      <c r="J513" s="73"/>
      <c r="K513" s="62"/>
      <c r="L513" s="62"/>
      <c r="M513" s="62"/>
      <c r="N513" s="62"/>
      <c r="O513" s="62"/>
    </row>
    <row r="514" spans="1:15">
      <c r="A514" s="75">
        <f t="shared" si="7"/>
        <v>0</v>
      </c>
      <c r="B514" s="66"/>
      <c r="C514" s="66"/>
      <c r="D514" s="66"/>
      <c r="E514" s="68"/>
      <c r="F514" s="69"/>
      <c r="G514" s="70"/>
      <c r="H514" s="71"/>
      <c r="I514" s="72"/>
      <c r="J514" s="73"/>
      <c r="K514" s="62"/>
      <c r="L514" s="62"/>
      <c r="M514" s="62"/>
      <c r="N514" s="62"/>
      <c r="O514" s="62"/>
    </row>
    <row r="515" spans="1:15">
      <c r="A515" s="75">
        <f t="shared" si="7"/>
        <v>0</v>
      </c>
      <c r="B515" s="66"/>
      <c r="C515" s="66"/>
      <c r="D515" s="66"/>
      <c r="E515" s="68"/>
      <c r="F515" s="69"/>
      <c r="G515" s="70"/>
      <c r="H515" s="71"/>
      <c r="I515" s="72"/>
      <c r="J515" s="73"/>
      <c r="K515" s="62"/>
      <c r="L515" s="62"/>
      <c r="M515" s="62"/>
      <c r="N515" s="62"/>
      <c r="O515" s="62"/>
    </row>
    <row r="516" spans="1:15">
      <c r="A516" s="75">
        <f t="shared" si="7"/>
        <v>0</v>
      </c>
      <c r="B516" s="66"/>
      <c r="C516" s="66"/>
      <c r="D516" s="66"/>
      <c r="E516" s="68"/>
      <c r="F516" s="69"/>
      <c r="G516" s="70"/>
      <c r="H516" s="71"/>
      <c r="I516" s="72"/>
      <c r="J516" s="73"/>
      <c r="K516" s="62"/>
      <c r="L516" s="62"/>
      <c r="M516" s="62"/>
      <c r="N516" s="62"/>
      <c r="O516" s="62"/>
    </row>
    <row r="517" spans="1:15">
      <c r="A517" s="75">
        <f t="shared" si="7"/>
        <v>0</v>
      </c>
      <c r="B517" s="66"/>
      <c r="C517" s="66"/>
      <c r="D517" s="66"/>
      <c r="E517" s="68"/>
      <c r="F517" s="69"/>
      <c r="G517" s="70"/>
      <c r="H517" s="71"/>
      <c r="I517" s="72"/>
      <c r="J517" s="73"/>
      <c r="K517" s="62"/>
      <c r="L517" s="62"/>
      <c r="M517" s="62"/>
      <c r="N517" s="62"/>
      <c r="O517" s="62"/>
    </row>
    <row r="518" spans="1:15">
      <c r="A518" s="75">
        <f t="shared" si="7"/>
        <v>0</v>
      </c>
      <c r="B518" s="66"/>
      <c r="C518" s="66"/>
      <c r="D518" s="66"/>
      <c r="E518" s="68"/>
      <c r="F518" s="69"/>
      <c r="G518" s="70"/>
      <c r="H518" s="71"/>
      <c r="I518" s="72"/>
      <c r="J518" s="73"/>
      <c r="K518" s="62"/>
      <c r="L518" s="62"/>
      <c r="M518" s="62"/>
      <c r="N518" s="62"/>
      <c r="O518" s="62"/>
    </row>
    <row r="519" spans="1:15">
      <c r="A519" s="75">
        <f t="shared" si="7"/>
        <v>0</v>
      </c>
      <c r="B519" s="66"/>
      <c r="C519" s="66"/>
      <c r="D519" s="66"/>
      <c r="E519" s="68"/>
      <c r="F519" s="69"/>
      <c r="G519" s="70"/>
      <c r="H519" s="71"/>
      <c r="I519" s="72"/>
      <c r="J519" s="73"/>
      <c r="K519" s="62"/>
      <c r="L519" s="62"/>
      <c r="M519" s="62"/>
      <c r="N519" s="62"/>
      <c r="O519" s="62"/>
    </row>
    <row r="520" spans="1:15">
      <c r="A520" s="75">
        <f t="shared" si="7"/>
        <v>0</v>
      </c>
      <c r="B520" s="66"/>
      <c r="C520" s="66"/>
      <c r="D520" s="66"/>
      <c r="E520" s="68"/>
      <c r="F520" s="69"/>
      <c r="G520" s="70"/>
      <c r="H520" s="71"/>
      <c r="I520" s="72"/>
      <c r="J520" s="73"/>
      <c r="K520" s="62"/>
      <c r="L520" s="62"/>
      <c r="M520" s="62"/>
      <c r="N520" s="62"/>
      <c r="O520" s="62"/>
    </row>
    <row r="521" spans="1:15">
      <c r="A521" s="75">
        <f t="shared" si="7"/>
        <v>0</v>
      </c>
      <c r="B521" s="66"/>
      <c r="C521" s="66"/>
      <c r="D521" s="66"/>
      <c r="E521" s="68"/>
      <c r="F521" s="69"/>
      <c r="G521" s="70"/>
      <c r="H521" s="71"/>
      <c r="I521" s="72"/>
      <c r="J521" s="73"/>
      <c r="K521" s="62"/>
      <c r="L521" s="62"/>
      <c r="M521" s="62"/>
      <c r="N521" s="62"/>
      <c r="O521" s="62"/>
    </row>
    <row r="522" spans="1:15">
      <c r="A522" s="75">
        <f t="shared" ref="A522:A585" si="8">E522</f>
        <v>0</v>
      </c>
      <c r="B522" s="66"/>
      <c r="C522" s="66"/>
      <c r="D522" s="66"/>
      <c r="E522" s="68"/>
      <c r="F522" s="69"/>
      <c r="G522" s="70"/>
      <c r="H522" s="71"/>
      <c r="I522" s="72"/>
      <c r="J522" s="73"/>
      <c r="K522" s="62"/>
      <c r="L522" s="62"/>
      <c r="M522" s="62"/>
      <c r="N522" s="62"/>
      <c r="O522" s="62"/>
    </row>
    <row r="523" spans="1:15">
      <c r="A523" s="75">
        <f t="shared" si="8"/>
        <v>0</v>
      </c>
      <c r="B523" s="66"/>
      <c r="C523" s="66"/>
      <c r="D523" s="66"/>
      <c r="E523" s="68"/>
      <c r="F523" s="69"/>
      <c r="G523" s="70"/>
      <c r="H523" s="71"/>
      <c r="I523" s="72"/>
      <c r="J523" s="73"/>
      <c r="K523" s="62"/>
      <c r="L523" s="62"/>
      <c r="M523" s="62"/>
      <c r="N523" s="62"/>
      <c r="O523" s="62"/>
    </row>
    <row r="524" spans="1:15">
      <c r="A524" s="75">
        <f t="shared" si="8"/>
        <v>0</v>
      </c>
      <c r="B524" s="66"/>
      <c r="C524" s="66"/>
      <c r="D524" s="66"/>
      <c r="E524" s="68"/>
      <c r="F524" s="69"/>
      <c r="G524" s="70"/>
      <c r="H524" s="71"/>
      <c r="I524" s="72"/>
      <c r="J524" s="73"/>
      <c r="K524" s="62"/>
      <c r="L524" s="62"/>
      <c r="M524" s="62"/>
      <c r="N524" s="62"/>
      <c r="O524" s="62"/>
    </row>
    <row r="525" spans="1:15">
      <c r="A525" s="75">
        <f t="shared" si="8"/>
        <v>0</v>
      </c>
      <c r="B525" s="66"/>
      <c r="C525" s="66"/>
      <c r="D525" s="66"/>
      <c r="E525" s="68"/>
      <c r="F525" s="69"/>
      <c r="G525" s="70"/>
      <c r="H525" s="71"/>
      <c r="I525" s="72"/>
      <c r="J525" s="73"/>
      <c r="K525" s="62"/>
      <c r="L525" s="62"/>
      <c r="M525" s="62"/>
      <c r="N525" s="62"/>
      <c r="O525" s="62"/>
    </row>
    <row r="526" spans="1:15">
      <c r="A526" s="75">
        <f t="shared" si="8"/>
        <v>0</v>
      </c>
      <c r="B526" s="66"/>
      <c r="C526" s="66"/>
      <c r="D526" s="66"/>
      <c r="E526" s="68"/>
      <c r="F526" s="69"/>
      <c r="G526" s="70"/>
      <c r="H526" s="71"/>
      <c r="I526" s="72"/>
      <c r="J526" s="73"/>
      <c r="K526" s="62"/>
      <c r="L526" s="62"/>
      <c r="M526" s="62"/>
      <c r="N526" s="62"/>
      <c r="O526" s="62"/>
    </row>
    <row r="527" spans="1:15">
      <c r="A527" s="75">
        <f t="shared" si="8"/>
        <v>0</v>
      </c>
      <c r="B527" s="66"/>
      <c r="C527" s="66"/>
      <c r="D527" s="66"/>
      <c r="E527" s="68"/>
      <c r="F527" s="69"/>
      <c r="G527" s="70"/>
      <c r="H527" s="71"/>
      <c r="I527" s="72"/>
      <c r="J527" s="73"/>
      <c r="K527" s="62"/>
      <c r="L527" s="62"/>
      <c r="M527" s="62"/>
      <c r="N527" s="62"/>
      <c r="O527" s="62"/>
    </row>
    <row r="528" spans="1:15">
      <c r="A528" s="75">
        <f t="shared" si="8"/>
        <v>0</v>
      </c>
      <c r="B528" s="66"/>
      <c r="C528" s="66"/>
      <c r="D528" s="66"/>
      <c r="E528" s="68"/>
      <c r="F528" s="69"/>
      <c r="G528" s="70"/>
      <c r="H528" s="71"/>
      <c r="I528" s="72"/>
      <c r="J528" s="73"/>
      <c r="K528" s="62"/>
      <c r="L528" s="62"/>
      <c r="M528" s="62"/>
      <c r="N528" s="62"/>
      <c r="O528" s="62"/>
    </row>
    <row r="529" spans="1:15">
      <c r="A529" s="75">
        <f t="shared" si="8"/>
        <v>0</v>
      </c>
      <c r="B529" s="66"/>
      <c r="C529" s="66"/>
      <c r="D529" s="66"/>
      <c r="E529" s="68"/>
      <c r="F529" s="69"/>
      <c r="G529" s="70"/>
      <c r="H529" s="71"/>
      <c r="I529" s="72"/>
      <c r="J529" s="73"/>
      <c r="K529" s="62"/>
      <c r="L529" s="62"/>
      <c r="M529" s="62"/>
      <c r="N529" s="62"/>
      <c r="O529" s="62"/>
    </row>
    <row r="530" spans="1:15">
      <c r="A530" s="75">
        <f t="shared" si="8"/>
        <v>0</v>
      </c>
      <c r="B530" s="66"/>
      <c r="C530" s="66"/>
      <c r="D530" s="66"/>
      <c r="E530" s="68"/>
      <c r="F530" s="69"/>
      <c r="G530" s="70"/>
      <c r="H530" s="71"/>
      <c r="I530" s="72"/>
      <c r="J530" s="73"/>
      <c r="K530" s="62"/>
      <c r="L530" s="62"/>
      <c r="M530" s="62"/>
      <c r="N530" s="62"/>
      <c r="O530" s="62"/>
    </row>
    <row r="531" spans="1:15">
      <c r="A531" s="75">
        <f t="shared" si="8"/>
        <v>0</v>
      </c>
      <c r="B531" s="66"/>
      <c r="C531" s="66"/>
      <c r="D531" s="66"/>
      <c r="E531" s="68"/>
      <c r="F531" s="69"/>
      <c r="G531" s="70"/>
      <c r="H531" s="71"/>
      <c r="I531" s="72"/>
      <c r="J531" s="73"/>
      <c r="K531" s="62"/>
      <c r="L531" s="62"/>
      <c r="M531" s="62"/>
      <c r="N531" s="62"/>
      <c r="O531" s="62"/>
    </row>
    <row r="532" spans="1:15">
      <c r="A532" s="75">
        <f t="shared" si="8"/>
        <v>0</v>
      </c>
      <c r="B532" s="66"/>
      <c r="C532" s="66"/>
      <c r="D532" s="66"/>
      <c r="E532" s="68"/>
      <c r="F532" s="69"/>
      <c r="G532" s="70"/>
      <c r="H532" s="71"/>
      <c r="I532" s="72"/>
      <c r="J532" s="73"/>
      <c r="K532" s="62"/>
      <c r="L532" s="62"/>
      <c r="M532" s="62"/>
      <c r="N532" s="62"/>
      <c r="O532" s="62"/>
    </row>
    <row r="533" spans="1:15">
      <c r="A533" s="75">
        <f t="shared" si="8"/>
        <v>0</v>
      </c>
      <c r="B533" s="66"/>
      <c r="C533" s="66"/>
      <c r="D533" s="66"/>
      <c r="E533" s="68"/>
      <c r="F533" s="69"/>
      <c r="G533" s="70"/>
      <c r="H533" s="71"/>
      <c r="I533" s="72"/>
      <c r="J533" s="73"/>
      <c r="K533" s="62"/>
      <c r="L533" s="62"/>
      <c r="M533" s="62"/>
      <c r="N533" s="62"/>
      <c r="O533" s="62"/>
    </row>
    <row r="534" spans="1:15">
      <c r="A534" s="75">
        <f t="shared" si="8"/>
        <v>0</v>
      </c>
      <c r="B534" s="66"/>
      <c r="C534" s="66"/>
      <c r="D534" s="66"/>
      <c r="E534" s="68"/>
      <c r="F534" s="69"/>
      <c r="G534" s="70"/>
      <c r="H534" s="71"/>
      <c r="I534" s="72"/>
      <c r="J534" s="73"/>
      <c r="K534" s="62"/>
      <c r="L534" s="62"/>
      <c r="M534" s="62"/>
      <c r="N534" s="62"/>
      <c r="O534" s="62"/>
    </row>
    <row r="535" spans="1:15">
      <c r="A535" s="75">
        <f t="shared" si="8"/>
        <v>0</v>
      </c>
      <c r="B535" s="66"/>
      <c r="C535" s="66"/>
      <c r="D535" s="66"/>
      <c r="E535" s="68"/>
      <c r="F535" s="69"/>
      <c r="G535" s="70"/>
      <c r="H535" s="71"/>
      <c r="I535" s="72"/>
      <c r="J535" s="73"/>
      <c r="K535" s="62"/>
      <c r="L535" s="62"/>
      <c r="M535" s="62"/>
      <c r="N535" s="62"/>
      <c r="O535" s="62"/>
    </row>
    <row r="536" spans="1:15">
      <c r="A536" s="75">
        <f t="shared" si="8"/>
        <v>0</v>
      </c>
      <c r="B536" s="66"/>
      <c r="C536" s="66"/>
      <c r="D536" s="66"/>
      <c r="E536" s="68"/>
      <c r="F536" s="69"/>
      <c r="G536" s="70"/>
      <c r="H536" s="71"/>
      <c r="I536" s="72"/>
      <c r="J536" s="73"/>
      <c r="K536" s="62"/>
      <c r="L536" s="62"/>
      <c r="M536" s="62"/>
      <c r="N536" s="62"/>
      <c r="O536" s="62"/>
    </row>
    <row r="537" spans="1:15">
      <c r="A537" s="75">
        <f t="shared" si="8"/>
        <v>0</v>
      </c>
      <c r="B537" s="66"/>
      <c r="C537" s="66"/>
      <c r="D537" s="66"/>
      <c r="E537" s="68"/>
      <c r="F537" s="69"/>
      <c r="G537" s="70"/>
      <c r="H537" s="71"/>
      <c r="I537" s="72"/>
      <c r="J537" s="73"/>
      <c r="K537" s="62"/>
      <c r="L537" s="62"/>
      <c r="M537" s="62"/>
      <c r="N537" s="62"/>
      <c r="O537" s="62"/>
    </row>
    <row r="538" spans="1:15">
      <c r="A538" s="75">
        <f t="shared" si="8"/>
        <v>0</v>
      </c>
      <c r="B538" s="66"/>
      <c r="C538" s="66"/>
      <c r="D538" s="66"/>
      <c r="E538" s="68"/>
      <c r="F538" s="69"/>
      <c r="G538" s="70"/>
      <c r="H538" s="71"/>
      <c r="I538" s="72"/>
      <c r="J538" s="73"/>
      <c r="K538" s="62"/>
      <c r="L538" s="62"/>
      <c r="M538" s="62"/>
      <c r="N538" s="62"/>
      <c r="O538" s="62"/>
    </row>
    <row r="539" spans="1:15">
      <c r="A539" s="75">
        <f t="shared" si="8"/>
        <v>0</v>
      </c>
      <c r="B539" s="66"/>
      <c r="C539" s="66"/>
      <c r="D539" s="66"/>
      <c r="E539" s="68"/>
      <c r="F539" s="69"/>
      <c r="G539" s="70"/>
      <c r="H539" s="71"/>
      <c r="I539" s="72"/>
      <c r="J539" s="73"/>
      <c r="K539" s="62"/>
      <c r="L539" s="62"/>
      <c r="M539" s="62"/>
      <c r="N539" s="62"/>
      <c r="O539" s="62"/>
    </row>
    <row r="540" spans="1:15">
      <c r="A540" s="75">
        <f t="shared" si="8"/>
        <v>0</v>
      </c>
      <c r="B540" s="66"/>
      <c r="C540" s="66"/>
      <c r="D540" s="66"/>
      <c r="E540" s="68"/>
      <c r="F540" s="69"/>
      <c r="G540" s="70"/>
      <c r="H540" s="71"/>
      <c r="I540" s="72"/>
      <c r="J540" s="73"/>
      <c r="K540" s="62"/>
      <c r="L540" s="62"/>
      <c r="M540" s="62"/>
      <c r="N540" s="62"/>
      <c r="O540" s="62"/>
    </row>
    <row r="541" spans="1:15">
      <c r="A541" s="75">
        <f t="shared" si="8"/>
        <v>0</v>
      </c>
      <c r="B541" s="66"/>
      <c r="C541" s="66"/>
      <c r="D541" s="66"/>
      <c r="E541" s="68"/>
      <c r="F541" s="69"/>
      <c r="G541" s="70"/>
      <c r="H541" s="71"/>
      <c r="I541" s="72"/>
      <c r="J541" s="73"/>
      <c r="K541" s="62"/>
      <c r="L541" s="62"/>
      <c r="M541" s="62"/>
      <c r="N541" s="62"/>
      <c r="O541" s="62"/>
    </row>
    <row r="542" spans="1:15">
      <c r="A542" s="75">
        <f t="shared" si="8"/>
        <v>0</v>
      </c>
      <c r="B542" s="66"/>
      <c r="C542" s="66"/>
      <c r="D542" s="66"/>
      <c r="E542" s="68"/>
      <c r="F542" s="69"/>
      <c r="G542" s="70"/>
      <c r="H542" s="71"/>
      <c r="I542" s="72"/>
      <c r="J542" s="73"/>
      <c r="K542" s="62"/>
      <c r="L542" s="62"/>
      <c r="M542" s="62"/>
      <c r="N542" s="62"/>
      <c r="O542" s="62"/>
    </row>
    <row r="543" spans="1:15">
      <c r="A543" s="75">
        <f t="shared" si="8"/>
        <v>0</v>
      </c>
      <c r="B543" s="66"/>
      <c r="C543" s="66"/>
      <c r="D543" s="66"/>
      <c r="E543" s="68"/>
      <c r="F543" s="69"/>
      <c r="G543" s="70"/>
      <c r="H543" s="71"/>
      <c r="I543" s="72"/>
      <c r="J543" s="73"/>
      <c r="K543" s="62"/>
      <c r="L543" s="62"/>
      <c r="M543" s="62"/>
      <c r="N543" s="62"/>
      <c r="O543" s="62"/>
    </row>
    <row r="544" spans="1:15">
      <c r="A544" s="75">
        <f t="shared" si="8"/>
        <v>0</v>
      </c>
      <c r="B544" s="66"/>
      <c r="C544" s="66"/>
      <c r="D544" s="66"/>
      <c r="E544" s="68"/>
      <c r="F544" s="69"/>
      <c r="G544" s="70"/>
      <c r="H544" s="71"/>
      <c r="I544" s="72"/>
      <c r="J544" s="73"/>
      <c r="K544" s="62"/>
      <c r="L544" s="62"/>
      <c r="M544" s="62"/>
      <c r="N544" s="62"/>
      <c r="O544" s="62"/>
    </row>
    <row r="545" spans="1:15">
      <c r="A545" s="75">
        <f t="shared" si="8"/>
        <v>0</v>
      </c>
      <c r="B545" s="66"/>
      <c r="C545" s="66"/>
      <c r="D545" s="66"/>
      <c r="E545" s="68"/>
      <c r="F545" s="69"/>
      <c r="G545" s="70"/>
      <c r="H545" s="71"/>
      <c r="I545" s="72"/>
      <c r="J545" s="73"/>
      <c r="K545" s="62"/>
      <c r="L545" s="62"/>
      <c r="M545" s="62"/>
      <c r="N545" s="62"/>
      <c r="O545" s="62"/>
    </row>
    <row r="546" spans="1:15">
      <c r="A546" s="75">
        <f t="shared" si="8"/>
        <v>0</v>
      </c>
      <c r="B546" s="66"/>
      <c r="C546" s="66"/>
      <c r="D546" s="66"/>
      <c r="E546" s="68"/>
      <c r="F546" s="69"/>
      <c r="G546" s="70"/>
      <c r="H546" s="71"/>
      <c r="I546" s="72"/>
      <c r="J546" s="73"/>
      <c r="K546" s="62"/>
      <c r="L546" s="62"/>
      <c r="M546" s="62"/>
      <c r="N546" s="62"/>
      <c r="O546" s="62"/>
    </row>
    <row r="547" spans="1:15">
      <c r="A547" s="75">
        <f t="shared" si="8"/>
        <v>0</v>
      </c>
      <c r="B547" s="66"/>
      <c r="C547" s="66"/>
      <c r="D547" s="66"/>
      <c r="E547" s="68"/>
      <c r="F547" s="69"/>
      <c r="G547" s="70"/>
      <c r="H547" s="71"/>
      <c r="I547" s="72"/>
      <c r="J547" s="73"/>
      <c r="K547" s="62"/>
      <c r="L547" s="62"/>
      <c r="M547" s="62"/>
      <c r="N547" s="62"/>
      <c r="O547" s="62"/>
    </row>
    <row r="548" spans="1:15">
      <c r="A548" s="75">
        <f t="shared" si="8"/>
        <v>0</v>
      </c>
      <c r="B548" s="66"/>
      <c r="C548" s="66"/>
      <c r="D548" s="66"/>
      <c r="E548" s="68"/>
      <c r="F548" s="69"/>
      <c r="G548" s="70"/>
      <c r="H548" s="71"/>
      <c r="I548" s="72"/>
      <c r="J548" s="73"/>
      <c r="K548" s="62"/>
      <c r="L548" s="62"/>
      <c r="M548" s="62"/>
      <c r="N548" s="62"/>
      <c r="O548" s="62"/>
    </row>
    <row r="549" spans="1:15">
      <c r="A549" s="75">
        <f t="shared" si="8"/>
        <v>0</v>
      </c>
      <c r="B549" s="66"/>
      <c r="C549" s="66"/>
      <c r="D549" s="66"/>
      <c r="E549" s="68"/>
      <c r="F549" s="69"/>
      <c r="G549" s="70"/>
      <c r="H549" s="71"/>
      <c r="I549" s="72"/>
      <c r="J549" s="73"/>
      <c r="K549" s="62"/>
      <c r="L549" s="62"/>
      <c r="M549" s="62"/>
      <c r="N549" s="62"/>
      <c r="O549" s="62"/>
    </row>
    <row r="550" spans="1:15">
      <c r="A550" s="75">
        <f t="shared" si="8"/>
        <v>0</v>
      </c>
      <c r="B550" s="66"/>
      <c r="C550" s="66"/>
      <c r="D550" s="66"/>
      <c r="E550" s="68"/>
      <c r="F550" s="69"/>
      <c r="G550" s="70"/>
      <c r="H550" s="71"/>
      <c r="I550" s="72"/>
      <c r="J550" s="73"/>
      <c r="K550" s="62"/>
      <c r="L550" s="62"/>
      <c r="M550" s="62"/>
      <c r="N550" s="62"/>
      <c r="O550" s="62"/>
    </row>
    <row r="551" spans="1:15">
      <c r="A551" s="75">
        <f t="shared" si="8"/>
        <v>0</v>
      </c>
      <c r="B551" s="66"/>
      <c r="C551" s="66"/>
      <c r="D551" s="66"/>
      <c r="E551" s="68"/>
      <c r="F551" s="69"/>
      <c r="G551" s="70"/>
      <c r="H551" s="71"/>
      <c r="I551" s="72"/>
      <c r="J551" s="73"/>
      <c r="K551" s="62"/>
      <c r="L551" s="62"/>
      <c r="M551" s="62"/>
      <c r="N551" s="62"/>
      <c r="O551" s="62"/>
    </row>
    <row r="552" spans="1:15">
      <c r="A552" s="75">
        <f t="shared" si="8"/>
        <v>0</v>
      </c>
      <c r="B552" s="66"/>
      <c r="C552" s="66"/>
      <c r="D552" s="66"/>
      <c r="E552" s="68"/>
      <c r="F552" s="69"/>
      <c r="G552" s="70"/>
      <c r="H552" s="71"/>
      <c r="I552" s="72"/>
      <c r="J552" s="73"/>
      <c r="K552" s="62"/>
      <c r="L552" s="62"/>
      <c r="M552" s="62"/>
      <c r="N552" s="62"/>
      <c r="O552" s="62"/>
    </row>
    <row r="553" spans="1:15">
      <c r="A553" s="75">
        <f t="shared" si="8"/>
        <v>0</v>
      </c>
      <c r="B553" s="66"/>
      <c r="C553" s="66"/>
      <c r="D553" s="66"/>
      <c r="E553" s="68"/>
      <c r="F553" s="69"/>
      <c r="G553" s="70"/>
      <c r="H553" s="71"/>
      <c r="I553" s="72"/>
      <c r="J553" s="73"/>
      <c r="K553" s="62"/>
      <c r="L553" s="62"/>
      <c r="M553" s="62"/>
      <c r="N553" s="62"/>
      <c r="O553" s="62"/>
    </row>
    <row r="554" spans="1:15">
      <c r="A554" s="75">
        <f t="shared" si="8"/>
        <v>0</v>
      </c>
      <c r="B554" s="66"/>
      <c r="C554" s="66"/>
      <c r="D554" s="66"/>
      <c r="E554" s="68"/>
      <c r="F554" s="69"/>
      <c r="G554" s="70"/>
      <c r="H554" s="71"/>
      <c r="I554" s="72"/>
      <c r="J554" s="73"/>
      <c r="K554" s="62"/>
      <c r="L554" s="62"/>
      <c r="M554" s="62"/>
      <c r="N554" s="62"/>
      <c r="O554" s="62"/>
    </row>
    <row r="555" spans="1:15">
      <c r="A555" s="75">
        <f t="shared" si="8"/>
        <v>0</v>
      </c>
      <c r="B555" s="66"/>
      <c r="C555" s="66"/>
      <c r="D555" s="66"/>
      <c r="E555" s="68"/>
      <c r="F555" s="69"/>
      <c r="G555" s="70"/>
      <c r="H555" s="71"/>
      <c r="I555" s="72"/>
      <c r="J555" s="73"/>
      <c r="K555" s="62"/>
      <c r="L555" s="62"/>
      <c r="M555" s="62"/>
      <c r="N555" s="62"/>
      <c r="O555" s="62"/>
    </row>
    <row r="556" spans="1:15">
      <c r="A556" s="75">
        <f t="shared" si="8"/>
        <v>0</v>
      </c>
      <c r="B556" s="66"/>
      <c r="C556" s="66"/>
      <c r="D556" s="66"/>
      <c r="E556" s="68"/>
      <c r="F556" s="69"/>
      <c r="G556" s="70"/>
      <c r="H556" s="71"/>
      <c r="I556" s="72"/>
      <c r="J556" s="73"/>
      <c r="K556" s="62"/>
      <c r="L556" s="62"/>
      <c r="M556" s="62"/>
      <c r="N556" s="62"/>
      <c r="O556" s="62"/>
    </row>
    <row r="557" spans="1:15">
      <c r="A557" s="75">
        <f t="shared" si="8"/>
        <v>0</v>
      </c>
      <c r="B557" s="66"/>
      <c r="C557" s="66"/>
      <c r="D557" s="66"/>
      <c r="E557" s="68"/>
      <c r="F557" s="69"/>
      <c r="G557" s="70"/>
      <c r="H557" s="71"/>
      <c r="I557" s="72"/>
      <c r="J557" s="73"/>
      <c r="K557" s="62"/>
      <c r="L557" s="62"/>
      <c r="M557" s="62"/>
      <c r="N557" s="62"/>
      <c r="O557" s="62"/>
    </row>
    <row r="558" spans="1:15">
      <c r="A558" s="75">
        <f t="shared" si="8"/>
        <v>0</v>
      </c>
      <c r="B558" s="66"/>
      <c r="C558" s="66"/>
      <c r="D558" s="66"/>
      <c r="E558" s="68"/>
      <c r="F558" s="69"/>
      <c r="G558" s="70"/>
      <c r="H558" s="71"/>
      <c r="I558" s="72"/>
      <c r="J558" s="73"/>
      <c r="K558" s="62"/>
      <c r="L558" s="62"/>
      <c r="M558" s="62"/>
      <c r="N558" s="62"/>
      <c r="O558" s="62"/>
    </row>
    <row r="559" spans="1:15">
      <c r="A559" s="75">
        <f t="shared" si="8"/>
        <v>0</v>
      </c>
      <c r="B559" s="66"/>
      <c r="C559" s="66"/>
      <c r="D559" s="66"/>
      <c r="E559" s="68"/>
      <c r="F559" s="69"/>
      <c r="G559" s="70"/>
      <c r="H559" s="71"/>
      <c r="I559" s="72"/>
      <c r="J559" s="73"/>
      <c r="K559" s="62"/>
      <c r="L559" s="62"/>
      <c r="M559" s="62"/>
      <c r="N559" s="62"/>
      <c r="O559" s="62"/>
    </row>
    <row r="560" spans="1:15">
      <c r="A560" s="75">
        <f t="shared" si="8"/>
        <v>0</v>
      </c>
      <c r="B560" s="66"/>
      <c r="C560" s="66"/>
      <c r="D560" s="66"/>
      <c r="E560" s="68"/>
      <c r="F560" s="69"/>
      <c r="G560" s="70"/>
      <c r="H560" s="71"/>
      <c r="I560" s="72"/>
      <c r="J560" s="73"/>
      <c r="K560" s="62"/>
      <c r="L560" s="62"/>
      <c r="M560" s="62"/>
      <c r="N560" s="62"/>
      <c r="O560" s="62"/>
    </row>
    <row r="561" spans="1:15">
      <c r="A561" s="75">
        <f t="shared" si="8"/>
        <v>0</v>
      </c>
      <c r="B561" s="66"/>
      <c r="C561" s="66"/>
      <c r="D561" s="66"/>
      <c r="E561" s="68"/>
      <c r="F561" s="69"/>
      <c r="G561" s="70"/>
      <c r="H561" s="71"/>
      <c r="I561" s="72"/>
      <c r="J561" s="73"/>
      <c r="K561" s="62"/>
      <c r="L561" s="62"/>
      <c r="M561" s="62"/>
      <c r="N561" s="62"/>
      <c r="O561" s="62"/>
    </row>
    <row r="562" spans="1:15">
      <c r="A562" s="75">
        <f t="shared" si="8"/>
        <v>0</v>
      </c>
      <c r="B562" s="66"/>
      <c r="C562" s="66"/>
      <c r="D562" s="66"/>
      <c r="E562" s="68"/>
      <c r="F562" s="69"/>
      <c r="G562" s="70"/>
      <c r="H562" s="71"/>
      <c r="I562" s="72"/>
      <c r="J562" s="73"/>
      <c r="K562" s="62"/>
      <c r="L562" s="62"/>
      <c r="M562" s="62"/>
      <c r="N562" s="62"/>
      <c r="O562" s="62"/>
    </row>
    <row r="563" spans="1:15">
      <c r="A563" s="75">
        <f t="shared" si="8"/>
        <v>0</v>
      </c>
      <c r="B563" s="66"/>
      <c r="C563" s="66"/>
      <c r="D563" s="66"/>
      <c r="E563" s="68"/>
      <c r="F563" s="69"/>
      <c r="G563" s="70"/>
      <c r="H563" s="71"/>
      <c r="I563" s="72"/>
      <c r="J563" s="73"/>
      <c r="K563" s="62"/>
      <c r="L563" s="62"/>
      <c r="M563" s="62"/>
      <c r="N563" s="62"/>
      <c r="O563" s="62"/>
    </row>
    <row r="564" spans="1:15">
      <c r="A564" s="75">
        <f t="shared" si="8"/>
        <v>0</v>
      </c>
      <c r="B564" s="66"/>
      <c r="C564" s="66"/>
      <c r="D564" s="66"/>
      <c r="E564" s="68"/>
      <c r="F564" s="69"/>
      <c r="G564" s="70"/>
      <c r="H564" s="71"/>
      <c r="I564" s="72"/>
      <c r="J564" s="73"/>
      <c r="K564" s="62"/>
      <c r="L564" s="62"/>
      <c r="M564" s="62"/>
      <c r="N564" s="62"/>
      <c r="O564" s="62"/>
    </row>
    <row r="565" spans="1:15">
      <c r="A565" s="75">
        <f t="shared" si="8"/>
        <v>0</v>
      </c>
      <c r="B565" s="66"/>
      <c r="C565" s="66"/>
      <c r="D565" s="66"/>
      <c r="E565" s="68"/>
      <c r="F565" s="69"/>
      <c r="G565" s="70"/>
      <c r="H565" s="71"/>
      <c r="I565" s="72"/>
      <c r="J565" s="73"/>
      <c r="K565" s="62"/>
      <c r="L565" s="62"/>
      <c r="M565" s="62"/>
      <c r="N565" s="62"/>
      <c r="O565" s="62"/>
    </row>
    <row r="566" spans="1:15">
      <c r="A566" s="75">
        <f t="shared" si="8"/>
        <v>0</v>
      </c>
      <c r="B566" s="66"/>
      <c r="C566" s="66"/>
      <c r="D566" s="66"/>
      <c r="E566" s="68"/>
      <c r="F566" s="69"/>
      <c r="G566" s="70"/>
      <c r="H566" s="71"/>
      <c r="I566" s="72"/>
      <c r="J566" s="73"/>
      <c r="K566" s="62"/>
      <c r="L566" s="62"/>
      <c r="M566" s="62"/>
      <c r="N566" s="62"/>
      <c r="O566" s="62"/>
    </row>
    <row r="567" spans="1:15">
      <c r="A567" s="75">
        <f t="shared" si="8"/>
        <v>0</v>
      </c>
      <c r="B567" s="66"/>
      <c r="C567" s="66"/>
      <c r="D567" s="66"/>
      <c r="E567" s="68"/>
      <c r="F567" s="69"/>
      <c r="G567" s="70"/>
      <c r="H567" s="71"/>
      <c r="I567" s="72"/>
      <c r="J567" s="73"/>
      <c r="K567" s="62"/>
      <c r="L567" s="62"/>
      <c r="M567" s="62"/>
      <c r="N567" s="62"/>
      <c r="O567" s="62"/>
    </row>
    <row r="568" spans="1:15">
      <c r="A568" s="75">
        <f t="shared" si="8"/>
        <v>0</v>
      </c>
      <c r="B568" s="66"/>
      <c r="C568" s="66"/>
      <c r="D568" s="66"/>
      <c r="E568" s="68"/>
      <c r="F568" s="69"/>
      <c r="G568" s="70"/>
      <c r="H568" s="71"/>
      <c r="I568" s="72"/>
      <c r="J568" s="73"/>
      <c r="K568" s="62"/>
      <c r="L568" s="62"/>
      <c r="M568" s="62"/>
      <c r="N568" s="62"/>
      <c r="O568" s="62"/>
    </row>
    <row r="569" spans="1:15">
      <c r="A569" s="75">
        <f t="shared" si="8"/>
        <v>0</v>
      </c>
      <c r="B569" s="66"/>
      <c r="C569" s="66"/>
      <c r="D569" s="66"/>
      <c r="E569" s="68"/>
      <c r="F569" s="69"/>
      <c r="G569" s="70"/>
      <c r="H569" s="71"/>
      <c r="I569" s="72"/>
      <c r="J569" s="73"/>
      <c r="K569" s="62"/>
      <c r="L569" s="62"/>
      <c r="M569" s="62"/>
      <c r="N569" s="62"/>
      <c r="O569" s="62"/>
    </row>
    <row r="570" spans="1:15">
      <c r="A570" s="75">
        <f t="shared" si="8"/>
        <v>0</v>
      </c>
      <c r="B570" s="66"/>
      <c r="C570" s="66"/>
      <c r="D570" s="66"/>
      <c r="E570" s="68"/>
      <c r="F570" s="69"/>
      <c r="G570" s="70"/>
      <c r="H570" s="71"/>
      <c r="I570" s="72"/>
      <c r="J570" s="73"/>
      <c r="K570" s="62"/>
      <c r="L570" s="62"/>
      <c r="M570" s="62"/>
      <c r="N570" s="62"/>
      <c r="O570" s="62"/>
    </row>
    <row r="571" spans="1:15">
      <c r="A571" s="75">
        <f t="shared" si="8"/>
        <v>0</v>
      </c>
      <c r="B571" s="66"/>
      <c r="C571" s="66"/>
      <c r="D571" s="66"/>
      <c r="E571" s="68"/>
      <c r="F571" s="69"/>
      <c r="G571" s="70"/>
      <c r="H571" s="71"/>
      <c r="I571" s="72"/>
      <c r="J571" s="73"/>
      <c r="K571" s="62"/>
      <c r="L571" s="62"/>
      <c r="M571" s="62"/>
      <c r="N571" s="62"/>
      <c r="O571" s="62"/>
    </row>
    <row r="572" spans="1:15">
      <c r="A572" s="75">
        <f t="shared" si="8"/>
        <v>0</v>
      </c>
      <c r="B572" s="66"/>
      <c r="C572" s="66"/>
      <c r="D572" s="66"/>
      <c r="E572" s="68"/>
      <c r="F572" s="69"/>
      <c r="G572" s="70"/>
      <c r="H572" s="71"/>
      <c r="I572" s="72"/>
      <c r="J572" s="73"/>
      <c r="K572" s="62"/>
      <c r="L572" s="62"/>
      <c r="M572" s="62"/>
      <c r="N572" s="62"/>
      <c r="O572" s="62"/>
    </row>
    <row r="573" spans="1:15">
      <c r="A573" s="75">
        <f t="shared" si="8"/>
        <v>0</v>
      </c>
      <c r="B573" s="66"/>
      <c r="C573" s="66"/>
      <c r="D573" s="66"/>
      <c r="E573" s="68"/>
      <c r="F573" s="69"/>
      <c r="G573" s="70"/>
      <c r="H573" s="71"/>
      <c r="I573" s="72"/>
      <c r="J573" s="73"/>
      <c r="K573" s="62"/>
      <c r="L573" s="62"/>
      <c r="M573" s="62"/>
      <c r="N573" s="62"/>
      <c r="O573" s="62"/>
    </row>
    <row r="574" spans="1:15">
      <c r="A574" s="75">
        <f t="shared" si="8"/>
        <v>0</v>
      </c>
      <c r="B574" s="66"/>
      <c r="C574" s="66"/>
      <c r="D574" s="66"/>
      <c r="E574" s="68"/>
      <c r="F574" s="69"/>
      <c r="G574" s="70"/>
      <c r="H574" s="71"/>
      <c r="I574" s="72"/>
      <c r="J574" s="73"/>
      <c r="K574" s="62"/>
      <c r="L574" s="62"/>
      <c r="M574" s="62"/>
      <c r="N574" s="62"/>
      <c r="O574" s="62"/>
    </row>
    <row r="575" spans="1:15">
      <c r="A575" s="75">
        <f t="shared" si="8"/>
        <v>0</v>
      </c>
      <c r="B575" s="66"/>
      <c r="C575" s="66"/>
      <c r="D575" s="66"/>
      <c r="E575" s="68"/>
      <c r="F575" s="69"/>
      <c r="G575" s="70"/>
      <c r="H575" s="71"/>
      <c r="I575" s="72"/>
      <c r="J575" s="73"/>
      <c r="K575" s="62"/>
      <c r="L575" s="62"/>
      <c r="M575" s="62"/>
      <c r="N575" s="62"/>
      <c r="O575" s="62"/>
    </row>
    <row r="576" spans="1:15">
      <c r="A576" s="75">
        <f t="shared" si="8"/>
        <v>0</v>
      </c>
      <c r="B576" s="66"/>
      <c r="C576" s="66"/>
      <c r="D576" s="66"/>
      <c r="E576" s="68"/>
      <c r="F576" s="69"/>
      <c r="G576" s="70"/>
      <c r="H576" s="71"/>
      <c r="I576" s="72"/>
      <c r="J576" s="73"/>
      <c r="K576" s="62"/>
      <c r="L576" s="62"/>
      <c r="M576" s="62"/>
      <c r="N576" s="62"/>
      <c r="O576" s="62"/>
    </row>
    <row r="577" spans="1:15">
      <c r="A577" s="75">
        <f t="shared" si="8"/>
        <v>0</v>
      </c>
      <c r="B577" s="66"/>
      <c r="C577" s="66"/>
      <c r="D577" s="66"/>
      <c r="E577" s="68"/>
      <c r="F577" s="69"/>
      <c r="G577" s="70"/>
      <c r="H577" s="71"/>
      <c r="I577" s="72"/>
      <c r="J577" s="73"/>
      <c r="K577" s="62"/>
      <c r="L577" s="62"/>
      <c r="M577" s="62"/>
      <c r="N577" s="62"/>
      <c r="O577" s="62"/>
    </row>
    <row r="578" spans="1:15">
      <c r="A578" s="75">
        <f t="shared" si="8"/>
        <v>0</v>
      </c>
      <c r="B578" s="66"/>
      <c r="C578" s="66"/>
      <c r="D578" s="66"/>
      <c r="E578" s="68"/>
      <c r="F578" s="69"/>
      <c r="G578" s="70"/>
      <c r="H578" s="71"/>
      <c r="I578" s="72"/>
      <c r="J578" s="73"/>
      <c r="K578" s="62"/>
      <c r="L578" s="62"/>
      <c r="M578" s="62"/>
      <c r="N578" s="62"/>
      <c r="O578" s="62"/>
    </row>
    <row r="579" spans="1:15">
      <c r="A579" s="75">
        <f t="shared" si="8"/>
        <v>0</v>
      </c>
      <c r="B579" s="66"/>
      <c r="C579" s="66"/>
      <c r="D579" s="66"/>
      <c r="E579" s="68"/>
      <c r="F579" s="69"/>
      <c r="G579" s="70"/>
      <c r="H579" s="71"/>
      <c r="I579" s="72"/>
      <c r="J579" s="73"/>
      <c r="K579" s="62"/>
      <c r="L579" s="62"/>
      <c r="M579" s="62"/>
      <c r="N579" s="62"/>
      <c r="O579" s="62"/>
    </row>
    <row r="580" spans="1:15">
      <c r="A580" s="75">
        <f t="shared" si="8"/>
        <v>0</v>
      </c>
      <c r="B580" s="66"/>
      <c r="C580" s="66"/>
      <c r="D580" s="66"/>
      <c r="E580" s="68"/>
      <c r="F580" s="69"/>
      <c r="G580" s="70"/>
      <c r="H580" s="71"/>
      <c r="I580" s="72"/>
      <c r="J580" s="73"/>
      <c r="K580" s="62"/>
      <c r="L580" s="62"/>
      <c r="M580" s="62"/>
      <c r="N580" s="62"/>
      <c r="O580" s="62"/>
    </row>
    <row r="581" spans="1:15">
      <c r="A581" s="75">
        <f t="shared" si="8"/>
        <v>0</v>
      </c>
      <c r="B581" s="66"/>
      <c r="C581" s="66"/>
      <c r="D581" s="66"/>
      <c r="E581" s="68"/>
      <c r="F581" s="69"/>
      <c r="G581" s="70"/>
      <c r="H581" s="71"/>
      <c r="I581" s="72"/>
      <c r="J581" s="73"/>
      <c r="K581" s="62"/>
      <c r="L581" s="62"/>
      <c r="M581" s="62"/>
      <c r="N581" s="62"/>
      <c r="O581" s="62"/>
    </row>
    <row r="582" spans="1:15">
      <c r="A582" s="75">
        <f t="shared" si="8"/>
        <v>0</v>
      </c>
      <c r="B582" s="66"/>
      <c r="C582" s="66"/>
      <c r="D582" s="66"/>
      <c r="E582" s="68"/>
      <c r="F582" s="69"/>
      <c r="G582" s="70"/>
      <c r="H582" s="71"/>
      <c r="I582" s="72"/>
      <c r="J582" s="73"/>
      <c r="K582" s="62"/>
      <c r="L582" s="62"/>
      <c r="M582" s="62"/>
      <c r="N582" s="62"/>
      <c r="O582" s="62"/>
    </row>
    <row r="583" spans="1:15">
      <c r="A583" s="75">
        <f t="shared" si="8"/>
        <v>0</v>
      </c>
      <c r="B583" s="66"/>
      <c r="C583" s="66"/>
      <c r="D583" s="66"/>
      <c r="E583" s="68"/>
      <c r="F583" s="69"/>
      <c r="G583" s="70"/>
      <c r="H583" s="71"/>
      <c r="I583" s="72"/>
      <c r="J583" s="73"/>
      <c r="K583" s="62"/>
      <c r="L583" s="62"/>
      <c r="M583" s="62"/>
      <c r="N583" s="62"/>
      <c r="O583" s="62"/>
    </row>
    <row r="584" spans="1:15">
      <c r="A584" s="75">
        <f t="shared" si="8"/>
        <v>0</v>
      </c>
      <c r="B584" s="66"/>
      <c r="C584" s="66"/>
      <c r="D584" s="66"/>
      <c r="E584" s="68"/>
      <c r="F584" s="69"/>
      <c r="G584" s="70"/>
      <c r="H584" s="71"/>
      <c r="I584" s="72"/>
      <c r="J584" s="73"/>
      <c r="K584" s="62"/>
      <c r="L584" s="62"/>
      <c r="M584" s="62"/>
      <c r="N584" s="62"/>
      <c r="O584" s="62"/>
    </row>
    <row r="585" spans="1:15">
      <c r="A585" s="75">
        <f t="shared" si="8"/>
        <v>0</v>
      </c>
      <c r="B585" s="66"/>
      <c r="C585" s="66"/>
      <c r="D585" s="66"/>
      <c r="E585" s="68"/>
      <c r="F585" s="69"/>
      <c r="G585" s="70"/>
      <c r="H585" s="71"/>
      <c r="I585" s="72"/>
      <c r="J585" s="73"/>
      <c r="K585" s="62"/>
      <c r="L585" s="62"/>
      <c r="M585" s="62"/>
      <c r="N585" s="62"/>
      <c r="O585" s="62"/>
    </row>
    <row r="586" spans="1:15">
      <c r="A586" s="75">
        <f t="shared" ref="A586:A649" si="9">E586</f>
        <v>0</v>
      </c>
      <c r="B586" s="66"/>
      <c r="C586" s="66"/>
      <c r="D586" s="66"/>
      <c r="E586" s="68"/>
      <c r="F586" s="69"/>
      <c r="G586" s="70"/>
      <c r="H586" s="71"/>
      <c r="I586" s="72"/>
      <c r="J586" s="73"/>
      <c r="K586" s="62"/>
      <c r="L586" s="62"/>
      <c r="M586" s="62"/>
      <c r="N586" s="62"/>
      <c r="O586" s="62"/>
    </row>
    <row r="587" spans="1:15">
      <c r="A587" s="75">
        <f t="shared" si="9"/>
        <v>0</v>
      </c>
      <c r="B587" s="66"/>
      <c r="C587" s="66"/>
      <c r="D587" s="66"/>
      <c r="E587" s="68"/>
      <c r="F587" s="69"/>
      <c r="G587" s="70"/>
      <c r="H587" s="71"/>
      <c r="I587" s="72"/>
      <c r="J587" s="73"/>
      <c r="K587" s="62"/>
      <c r="L587" s="62"/>
      <c r="M587" s="62"/>
      <c r="N587" s="62"/>
      <c r="O587" s="62"/>
    </row>
    <row r="588" spans="1:15">
      <c r="A588" s="75">
        <f t="shared" si="9"/>
        <v>0</v>
      </c>
      <c r="B588" s="66"/>
      <c r="C588" s="66"/>
      <c r="D588" s="66"/>
      <c r="E588" s="68"/>
      <c r="F588" s="69"/>
      <c r="G588" s="70"/>
      <c r="H588" s="71"/>
      <c r="I588" s="72"/>
      <c r="J588" s="73"/>
      <c r="K588" s="62"/>
      <c r="L588" s="62"/>
      <c r="M588" s="62"/>
      <c r="N588" s="62"/>
      <c r="O588" s="62"/>
    </row>
    <row r="589" spans="1:15">
      <c r="A589" s="75">
        <f t="shared" si="9"/>
        <v>0</v>
      </c>
      <c r="B589" s="66"/>
      <c r="C589" s="66"/>
      <c r="D589" s="66"/>
      <c r="E589" s="68"/>
      <c r="F589" s="69"/>
      <c r="G589" s="70"/>
      <c r="H589" s="71"/>
      <c r="I589" s="72"/>
      <c r="J589" s="73"/>
      <c r="K589" s="62"/>
      <c r="L589" s="62"/>
      <c r="M589" s="62"/>
      <c r="N589" s="62"/>
      <c r="O589" s="62"/>
    </row>
    <row r="590" spans="1:15">
      <c r="A590" s="75">
        <f t="shared" si="9"/>
        <v>0</v>
      </c>
      <c r="B590" s="66"/>
      <c r="C590" s="66"/>
      <c r="D590" s="66"/>
      <c r="E590" s="68"/>
      <c r="F590" s="69"/>
      <c r="G590" s="70"/>
      <c r="H590" s="71"/>
      <c r="I590" s="72"/>
      <c r="J590" s="73"/>
      <c r="K590" s="62"/>
      <c r="L590" s="62"/>
      <c r="M590" s="62"/>
      <c r="N590" s="62"/>
      <c r="O590" s="62"/>
    </row>
    <row r="591" spans="1:15">
      <c r="A591" s="75">
        <f t="shared" si="9"/>
        <v>0</v>
      </c>
      <c r="B591" s="66"/>
      <c r="C591" s="66"/>
      <c r="D591" s="66"/>
      <c r="E591" s="68"/>
      <c r="F591" s="69"/>
      <c r="G591" s="70"/>
      <c r="H591" s="71"/>
      <c r="I591" s="72"/>
      <c r="J591" s="73"/>
      <c r="K591" s="62"/>
      <c r="L591" s="62"/>
      <c r="M591" s="62"/>
      <c r="N591" s="62"/>
      <c r="O591" s="62"/>
    </row>
    <row r="592" spans="1:15">
      <c r="A592" s="75">
        <f t="shared" si="9"/>
        <v>0</v>
      </c>
      <c r="B592" s="66"/>
      <c r="C592" s="66"/>
      <c r="D592" s="66"/>
      <c r="E592" s="68"/>
      <c r="F592" s="69"/>
      <c r="G592" s="70"/>
      <c r="H592" s="71"/>
      <c r="I592" s="72"/>
      <c r="J592" s="73"/>
      <c r="K592" s="62"/>
      <c r="L592" s="62"/>
      <c r="M592" s="62"/>
      <c r="N592" s="62"/>
      <c r="O592" s="62"/>
    </row>
    <row r="593" spans="1:15">
      <c r="A593" s="75">
        <f t="shared" si="9"/>
        <v>0</v>
      </c>
      <c r="B593" s="66"/>
      <c r="C593" s="66"/>
      <c r="D593" s="66"/>
      <c r="E593" s="68"/>
      <c r="F593" s="69"/>
      <c r="G593" s="70"/>
      <c r="H593" s="71"/>
      <c r="I593" s="72"/>
      <c r="J593" s="73"/>
      <c r="K593" s="62"/>
      <c r="L593" s="62"/>
      <c r="M593" s="62"/>
      <c r="N593" s="62"/>
      <c r="O593" s="62"/>
    </row>
    <row r="594" spans="1:15">
      <c r="A594" s="75">
        <f t="shared" si="9"/>
        <v>0</v>
      </c>
      <c r="B594" s="66"/>
      <c r="C594" s="66"/>
      <c r="D594" s="66"/>
      <c r="E594" s="68"/>
      <c r="F594" s="69"/>
      <c r="G594" s="70"/>
      <c r="H594" s="71"/>
      <c r="I594" s="72"/>
      <c r="J594" s="73"/>
      <c r="K594" s="62"/>
      <c r="L594" s="62"/>
      <c r="M594" s="62"/>
      <c r="N594" s="62"/>
      <c r="O594" s="62"/>
    </row>
    <row r="595" spans="1:15">
      <c r="A595" s="75">
        <f t="shared" si="9"/>
        <v>0</v>
      </c>
      <c r="B595" s="66"/>
      <c r="C595" s="66"/>
      <c r="D595" s="66"/>
      <c r="E595" s="68"/>
      <c r="F595" s="69"/>
      <c r="G595" s="70"/>
      <c r="H595" s="71"/>
      <c r="I595" s="72"/>
      <c r="J595" s="73"/>
      <c r="K595" s="62"/>
      <c r="L595" s="62"/>
      <c r="M595" s="62"/>
      <c r="N595" s="62"/>
      <c r="O595" s="62"/>
    </row>
    <row r="596" spans="1:15">
      <c r="A596" s="75">
        <f t="shared" si="9"/>
        <v>0</v>
      </c>
      <c r="B596" s="66"/>
      <c r="C596" s="66"/>
      <c r="D596" s="66"/>
      <c r="E596" s="68"/>
      <c r="F596" s="69"/>
      <c r="G596" s="70"/>
      <c r="H596" s="71"/>
      <c r="I596" s="72"/>
      <c r="J596" s="73"/>
      <c r="K596" s="62"/>
      <c r="L596" s="62"/>
      <c r="M596" s="62"/>
      <c r="N596" s="62"/>
      <c r="O596" s="62"/>
    </row>
    <row r="597" spans="1:15">
      <c r="A597" s="75">
        <f t="shared" si="9"/>
        <v>0</v>
      </c>
      <c r="B597" s="66"/>
      <c r="C597" s="66"/>
      <c r="D597" s="66"/>
      <c r="E597" s="68"/>
      <c r="F597" s="69"/>
      <c r="G597" s="70"/>
      <c r="H597" s="71"/>
      <c r="I597" s="72"/>
      <c r="J597" s="73"/>
      <c r="K597" s="62"/>
      <c r="L597" s="62"/>
      <c r="M597" s="62"/>
      <c r="N597" s="62"/>
      <c r="O597" s="62"/>
    </row>
    <row r="598" spans="1:15">
      <c r="A598" s="75">
        <f t="shared" si="9"/>
        <v>0</v>
      </c>
      <c r="B598" s="66"/>
      <c r="C598" s="66"/>
      <c r="D598" s="66"/>
      <c r="E598" s="68"/>
      <c r="F598" s="69"/>
      <c r="G598" s="70"/>
      <c r="H598" s="71"/>
      <c r="I598" s="72"/>
      <c r="J598" s="73"/>
      <c r="K598" s="62"/>
      <c r="L598" s="62"/>
      <c r="M598" s="62"/>
      <c r="N598" s="62"/>
      <c r="O598" s="62"/>
    </row>
    <row r="599" spans="1:15">
      <c r="A599" s="75">
        <f t="shared" si="9"/>
        <v>0</v>
      </c>
      <c r="B599" s="66"/>
      <c r="C599" s="66"/>
      <c r="D599" s="66"/>
      <c r="E599" s="68"/>
      <c r="F599" s="69"/>
      <c r="G599" s="70"/>
      <c r="H599" s="71"/>
      <c r="I599" s="72"/>
      <c r="J599" s="73"/>
      <c r="K599" s="62"/>
      <c r="L599" s="62"/>
      <c r="M599" s="62"/>
      <c r="N599" s="62"/>
      <c r="O599" s="62"/>
    </row>
    <row r="600" spans="1:15">
      <c r="A600" s="75">
        <f t="shared" si="9"/>
        <v>0</v>
      </c>
      <c r="B600" s="66"/>
      <c r="C600" s="66"/>
      <c r="D600" s="66"/>
      <c r="E600" s="68"/>
      <c r="F600" s="69"/>
      <c r="G600" s="70"/>
      <c r="H600" s="71"/>
      <c r="I600" s="72"/>
      <c r="J600" s="73"/>
      <c r="K600" s="62"/>
      <c r="L600" s="62"/>
      <c r="M600" s="62"/>
      <c r="N600" s="62"/>
      <c r="O600" s="62"/>
    </row>
    <row r="601" spans="1:15">
      <c r="A601" s="75">
        <f t="shared" si="9"/>
        <v>0</v>
      </c>
      <c r="B601" s="66"/>
      <c r="C601" s="66"/>
      <c r="D601" s="66"/>
      <c r="E601" s="68"/>
      <c r="F601" s="69"/>
      <c r="G601" s="70"/>
      <c r="H601" s="71"/>
      <c r="I601" s="72"/>
      <c r="J601" s="73"/>
      <c r="K601" s="62"/>
      <c r="L601" s="62"/>
      <c r="M601" s="62"/>
      <c r="N601" s="62"/>
      <c r="O601" s="62"/>
    </row>
    <row r="602" spans="1:15">
      <c r="A602" s="75">
        <f t="shared" si="9"/>
        <v>0</v>
      </c>
      <c r="B602" s="66"/>
      <c r="C602" s="66"/>
      <c r="D602" s="66"/>
      <c r="E602" s="68"/>
      <c r="F602" s="69"/>
      <c r="G602" s="70"/>
      <c r="H602" s="71"/>
      <c r="I602" s="72"/>
      <c r="J602" s="73"/>
      <c r="K602" s="62"/>
      <c r="L602" s="62"/>
      <c r="M602" s="62"/>
      <c r="N602" s="62"/>
      <c r="O602" s="62"/>
    </row>
    <row r="603" spans="1:15">
      <c r="A603" s="75">
        <f t="shared" si="9"/>
        <v>0</v>
      </c>
      <c r="B603" s="66"/>
      <c r="C603" s="66"/>
      <c r="D603" s="66"/>
      <c r="E603" s="68"/>
      <c r="F603" s="69"/>
      <c r="G603" s="70"/>
      <c r="H603" s="71"/>
      <c r="I603" s="72"/>
      <c r="J603" s="73"/>
      <c r="K603" s="62"/>
      <c r="L603" s="62"/>
      <c r="M603" s="62"/>
      <c r="N603" s="62"/>
      <c r="O603" s="62"/>
    </row>
    <row r="604" spans="1:15">
      <c r="A604" s="75">
        <f t="shared" si="9"/>
        <v>0</v>
      </c>
      <c r="B604" s="66"/>
      <c r="C604" s="66"/>
      <c r="D604" s="66"/>
      <c r="E604" s="68"/>
      <c r="F604" s="69"/>
      <c r="G604" s="70"/>
      <c r="H604" s="71"/>
      <c r="I604" s="72"/>
      <c r="J604" s="73"/>
      <c r="K604" s="62"/>
      <c r="L604" s="62"/>
      <c r="M604" s="62"/>
      <c r="N604" s="62"/>
      <c r="O604" s="62"/>
    </row>
    <row r="605" spans="1:15">
      <c r="A605" s="75">
        <f t="shared" si="9"/>
        <v>0</v>
      </c>
      <c r="B605" s="66"/>
      <c r="C605" s="66"/>
      <c r="D605" s="66"/>
      <c r="E605" s="68"/>
      <c r="F605" s="69"/>
      <c r="G605" s="70"/>
      <c r="H605" s="71"/>
      <c r="I605" s="72"/>
      <c r="J605" s="73"/>
      <c r="K605" s="62"/>
      <c r="L605" s="62"/>
      <c r="M605" s="62"/>
      <c r="N605" s="62"/>
      <c r="O605" s="62"/>
    </row>
    <row r="606" spans="1:15">
      <c r="A606" s="75">
        <f t="shared" si="9"/>
        <v>0</v>
      </c>
      <c r="B606" s="66"/>
      <c r="C606" s="66"/>
      <c r="D606" s="66"/>
      <c r="E606" s="68"/>
      <c r="F606" s="69"/>
      <c r="G606" s="70"/>
      <c r="H606" s="71"/>
      <c r="I606" s="72"/>
      <c r="J606" s="73"/>
      <c r="K606" s="62"/>
      <c r="L606" s="62"/>
      <c r="M606" s="62"/>
      <c r="N606" s="62"/>
      <c r="O606" s="62"/>
    </row>
    <row r="607" spans="1:15">
      <c r="A607" s="75">
        <f t="shared" si="9"/>
        <v>0</v>
      </c>
      <c r="B607" s="66"/>
      <c r="C607" s="66"/>
      <c r="D607" s="66"/>
      <c r="E607" s="68"/>
      <c r="F607" s="69"/>
      <c r="G607" s="70"/>
      <c r="H607" s="71"/>
      <c r="I607" s="72"/>
      <c r="J607" s="73"/>
      <c r="K607" s="62"/>
      <c r="L607" s="62"/>
      <c r="M607" s="62"/>
      <c r="N607" s="62"/>
      <c r="O607" s="62"/>
    </row>
    <row r="608" spans="1:15">
      <c r="A608" s="75">
        <f t="shared" si="9"/>
        <v>0</v>
      </c>
      <c r="B608" s="66"/>
      <c r="C608" s="66"/>
      <c r="D608" s="66"/>
      <c r="E608" s="68"/>
      <c r="F608" s="69"/>
      <c r="G608" s="70"/>
      <c r="H608" s="71"/>
      <c r="I608" s="72"/>
      <c r="J608" s="73"/>
      <c r="K608" s="62"/>
      <c r="L608" s="62"/>
      <c r="M608" s="62"/>
      <c r="N608" s="62"/>
      <c r="O608" s="62"/>
    </row>
    <row r="609" spans="1:15">
      <c r="A609" s="75">
        <f t="shared" si="9"/>
        <v>0</v>
      </c>
      <c r="B609" s="66"/>
      <c r="C609" s="66"/>
      <c r="D609" s="66"/>
      <c r="E609" s="68"/>
      <c r="F609" s="69"/>
      <c r="G609" s="70"/>
      <c r="H609" s="71"/>
      <c r="I609" s="72"/>
      <c r="J609" s="73"/>
      <c r="K609" s="62"/>
      <c r="L609" s="62"/>
      <c r="M609" s="62"/>
      <c r="N609" s="62"/>
      <c r="O609" s="62"/>
    </row>
    <row r="610" spans="1:15">
      <c r="A610" s="75">
        <f t="shared" si="9"/>
        <v>0</v>
      </c>
      <c r="B610" s="66"/>
      <c r="C610" s="66"/>
      <c r="D610" s="66"/>
      <c r="E610" s="68"/>
      <c r="F610" s="69"/>
      <c r="G610" s="70"/>
      <c r="H610" s="71"/>
      <c r="I610" s="72"/>
      <c r="J610" s="73"/>
      <c r="K610" s="62"/>
      <c r="L610" s="62"/>
      <c r="M610" s="62"/>
      <c r="N610" s="62"/>
      <c r="O610" s="62"/>
    </row>
    <row r="611" spans="1:15">
      <c r="A611" s="75">
        <f t="shared" si="9"/>
        <v>0</v>
      </c>
      <c r="B611" s="66"/>
      <c r="C611" s="66"/>
      <c r="D611" s="66"/>
      <c r="E611" s="68"/>
      <c r="F611" s="69"/>
      <c r="G611" s="70"/>
      <c r="H611" s="71"/>
      <c r="I611" s="72"/>
      <c r="J611" s="73"/>
      <c r="K611" s="62"/>
      <c r="L611" s="62"/>
      <c r="M611" s="62"/>
      <c r="N611" s="62"/>
      <c r="O611" s="62"/>
    </row>
    <row r="612" spans="1:15">
      <c r="A612" s="75">
        <f t="shared" si="9"/>
        <v>0</v>
      </c>
      <c r="B612" s="66"/>
      <c r="C612" s="66"/>
      <c r="D612" s="66"/>
      <c r="E612" s="68"/>
      <c r="F612" s="69"/>
      <c r="G612" s="70"/>
      <c r="H612" s="71"/>
      <c r="I612" s="72"/>
      <c r="J612" s="73"/>
      <c r="K612" s="62"/>
      <c r="L612" s="62"/>
      <c r="M612" s="62"/>
      <c r="N612" s="62"/>
      <c r="O612" s="62"/>
    </row>
    <row r="613" spans="1:15">
      <c r="A613" s="75">
        <f t="shared" si="9"/>
        <v>0</v>
      </c>
      <c r="B613" s="66"/>
      <c r="C613" s="66"/>
      <c r="D613" s="66"/>
      <c r="E613" s="68"/>
      <c r="F613" s="69"/>
      <c r="G613" s="70"/>
      <c r="H613" s="71"/>
      <c r="I613" s="72"/>
      <c r="J613" s="73"/>
      <c r="K613" s="62"/>
      <c r="L613" s="62"/>
      <c r="M613" s="62"/>
      <c r="N613" s="62"/>
      <c r="O613" s="62"/>
    </row>
    <row r="614" spans="1:15">
      <c r="A614" s="75">
        <f t="shared" si="9"/>
        <v>0</v>
      </c>
      <c r="B614" s="66"/>
      <c r="C614" s="66"/>
      <c r="D614" s="66"/>
      <c r="E614" s="68"/>
      <c r="F614" s="69"/>
      <c r="G614" s="70"/>
      <c r="H614" s="71"/>
      <c r="I614" s="72"/>
      <c r="J614" s="73"/>
      <c r="K614" s="62"/>
      <c r="L614" s="62"/>
      <c r="M614" s="62"/>
      <c r="N614" s="62"/>
      <c r="O614" s="62"/>
    </row>
    <row r="615" spans="1:15">
      <c r="A615" s="75">
        <f t="shared" si="9"/>
        <v>0</v>
      </c>
      <c r="B615" s="66"/>
      <c r="C615" s="66"/>
      <c r="D615" s="66"/>
      <c r="E615" s="68"/>
      <c r="F615" s="69"/>
      <c r="G615" s="70"/>
      <c r="H615" s="71"/>
      <c r="I615" s="72"/>
      <c r="J615" s="73"/>
      <c r="K615" s="62"/>
      <c r="L615" s="62"/>
      <c r="M615" s="62"/>
      <c r="N615" s="62"/>
      <c r="O615" s="62"/>
    </row>
    <row r="616" spans="1:15">
      <c r="A616" s="75">
        <f t="shared" si="9"/>
        <v>0</v>
      </c>
      <c r="B616" s="66"/>
      <c r="C616" s="66"/>
      <c r="D616" s="66"/>
      <c r="E616" s="68"/>
      <c r="F616" s="69"/>
      <c r="G616" s="70"/>
      <c r="H616" s="71"/>
      <c r="I616" s="72"/>
      <c r="J616" s="73"/>
      <c r="K616" s="62"/>
      <c r="L616" s="62"/>
      <c r="M616" s="62"/>
      <c r="N616" s="62"/>
      <c r="O616" s="62"/>
    </row>
    <row r="617" spans="1:15">
      <c r="A617" s="75">
        <f t="shared" si="9"/>
        <v>0</v>
      </c>
      <c r="B617" s="66"/>
      <c r="C617" s="66"/>
      <c r="D617" s="66"/>
      <c r="E617" s="68"/>
      <c r="F617" s="69"/>
      <c r="G617" s="70"/>
      <c r="H617" s="71"/>
      <c r="I617" s="72"/>
      <c r="J617" s="73"/>
      <c r="K617" s="62"/>
      <c r="L617" s="62"/>
      <c r="M617" s="62"/>
      <c r="N617" s="62"/>
      <c r="O617" s="62"/>
    </row>
    <row r="618" spans="1:15">
      <c r="A618" s="75">
        <f t="shared" si="9"/>
        <v>0</v>
      </c>
      <c r="B618" s="66"/>
      <c r="C618" s="66"/>
      <c r="D618" s="66"/>
      <c r="E618" s="68"/>
      <c r="F618" s="69"/>
      <c r="G618" s="70"/>
      <c r="H618" s="71"/>
      <c r="I618" s="72"/>
      <c r="J618" s="73"/>
      <c r="K618" s="62"/>
      <c r="L618" s="62"/>
      <c r="M618" s="62"/>
      <c r="N618" s="62"/>
      <c r="O618" s="62"/>
    </row>
    <row r="619" spans="1:15">
      <c r="A619" s="75">
        <f t="shared" si="9"/>
        <v>0</v>
      </c>
      <c r="B619" s="66"/>
      <c r="C619" s="66"/>
      <c r="D619" s="66"/>
      <c r="E619" s="68"/>
      <c r="F619" s="69"/>
      <c r="G619" s="70"/>
      <c r="H619" s="71"/>
      <c r="I619" s="72"/>
      <c r="J619" s="73"/>
      <c r="K619" s="62"/>
      <c r="L619" s="62"/>
      <c r="M619" s="62"/>
      <c r="N619" s="62"/>
      <c r="O619" s="62"/>
    </row>
    <row r="620" spans="1:15">
      <c r="A620" s="75">
        <f t="shared" si="9"/>
        <v>0</v>
      </c>
      <c r="B620" s="66"/>
      <c r="C620" s="66"/>
      <c r="D620" s="66"/>
      <c r="E620" s="68"/>
      <c r="F620" s="69"/>
      <c r="G620" s="70"/>
      <c r="H620" s="71"/>
      <c r="I620" s="72"/>
      <c r="J620" s="73"/>
      <c r="K620" s="62"/>
      <c r="L620" s="62"/>
      <c r="M620" s="62"/>
      <c r="N620" s="62"/>
      <c r="O620" s="62"/>
    </row>
    <row r="621" spans="1:15">
      <c r="A621" s="75">
        <f t="shared" si="9"/>
        <v>0</v>
      </c>
      <c r="B621" s="66"/>
      <c r="C621" s="66"/>
      <c r="D621" s="66"/>
      <c r="E621" s="68"/>
      <c r="F621" s="69"/>
      <c r="G621" s="70"/>
      <c r="H621" s="71"/>
      <c r="I621" s="72"/>
      <c r="J621" s="73"/>
      <c r="K621" s="62"/>
      <c r="L621" s="62"/>
      <c r="M621" s="62"/>
      <c r="N621" s="62"/>
      <c r="O621" s="62"/>
    </row>
    <row r="622" spans="1:15">
      <c r="A622" s="75">
        <f t="shared" si="9"/>
        <v>0</v>
      </c>
      <c r="B622" s="66"/>
      <c r="C622" s="66"/>
      <c r="D622" s="66"/>
      <c r="E622" s="68"/>
      <c r="F622" s="69"/>
      <c r="G622" s="70"/>
      <c r="H622" s="71"/>
      <c r="I622" s="72"/>
      <c r="J622" s="73"/>
      <c r="K622" s="62"/>
      <c r="L622" s="62"/>
      <c r="M622" s="62"/>
      <c r="N622" s="62"/>
      <c r="O622" s="62"/>
    </row>
    <row r="623" spans="1:15">
      <c r="A623" s="75">
        <f t="shared" si="9"/>
        <v>0</v>
      </c>
      <c r="B623" s="66"/>
      <c r="C623" s="66"/>
      <c r="D623" s="66"/>
      <c r="E623" s="68"/>
      <c r="F623" s="69"/>
      <c r="G623" s="70"/>
      <c r="H623" s="71"/>
      <c r="I623" s="72"/>
      <c r="J623" s="73"/>
      <c r="K623" s="62"/>
      <c r="L623" s="62"/>
      <c r="M623" s="62"/>
      <c r="N623" s="62"/>
      <c r="O623" s="62"/>
    </row>
    <row r="624" spans="1:15">
      <c r="A624" s="75">
        <f t="shared" si="9"/>
        <v>0</v>
      </c>
      <c r="B624" s="66"/>
      <c r="C624" s="66"/>
      <c r="D624" s="66"/>
      <c r="E624" s="68"/>
      <c r="F624" s="69"/>
      <c r="G624" s="70"/>
      <c r="H624" s="71"/>
      <c r="I624" s="72"/>
      <c r="J624" s="73"/>
      <c r="K624" s="62"/>
      <c r="L624" s="62"/>
      <c r="M624" s="62"/>
      <c r="N624" s="62"/>
      <c r="O624" s="62"/>
    </row>
    <row r="625" spans="1:15">
      <c r="A625" s="75">
        <f t="shared" si="9"/>
        <v>0</v>
      </c>
      <c r="B625" s="66"/>
      <c r="C625" s="66"/>
      <c r="D625" s="66"/>
      <c r="E625" s="68"/>
      <c r="F625" s="69"/>
      <c r="G625" s="70"/>
      <c r="H625" s="71"/>
      <c r="I625" s="72"/>
      <c r="J625" s="73"/>
      <c r="K625" s="62"/>
      <c r="L625" s="62"/>
      <c r="M625" s="62"/>
      <c r="N625" s="62"/>
      <c r="O625" s="62"/>
    </row>
    <row r="626" spans="1:15">
      <c r="A626" s="75">
        <f t="shared" si="9"/>
        <v>0</v>
      </c>
      <c r="B626" s="66"/>
      <c r="C626" s="66"/>
      <c r="D626" s="66"/>
      <c r="E626" s="68"/>
      <c r="F626" s="69"/>
      <c r="G626" s="70"/>
      <c r="H626" s="71"/>
      <c r="I626" s="72"/>
      <c r="J626" s="73"/>
      <c r="K626" s="62"/>
      <c r="L626" s="62"/>
      <c r="M626" s="62"/>
      <c r="N626" s="62"/>
      <c r="O626" s="62"/>
    </row>
    <row r="627" spans="1:15">
      <c r="A627" s="75">
        <f t="shared" si="9"/>
        <v>0</v>
      </c>
      <c r="B627" s="66"/>
      <c r="C627" s="66"/>
      <c r="D627" s="66"/>
      <c r="E627" s="68"/>
      <c r="F627" s="69"/>
      <c r="G627" s="70"/>
      <c r="H627" s="71"/>
      <c r="I627" s="72"/>
      <c r="J627" s="73"/>
      <c r="K627" s="62"/>
      <c r="L627" s="62"/>
      <c r="M627" s="62"/>
      <c r="N627" s="62"/>
      <c r="O627" s="62"/>
    </row>
    <row r="628" spans="1:15">
      <c r="A628" s="75">
        <f t="shared" si="9"/>
        <v>0</v>
      </c>
      <c r="B628" s="66"/>
      <c r="C628" s="66"/>
      <c r="D628" s="66"/>
      <c r="E628" s="68"/>
      <c r="F628" s="69"/>
      <c r="G628" s="70"/>
      <c r="H628" s="71"/>
      <c r="I628" s="72"/>
      <c r="J628" s="73"/>
      <c r="K628" s="62"/>
      <c r="L628" s="62"/>
      <c r="M628" s="62"/>
      <c r="N628" s="62"/>
      <c r="O628" s="62"/>
    </row>
    <row r="629" spans="1:15">
      <c r="A629" s="75">
        <f t="shared" si="9"/>
        <v>0</v>
      </c>
      <c r="B629" s="66"/>
      <c r="C629" s="66"/>
      <c r="D629" s="66"/>
      <c r="E629" s="68"/>
      <c r="F629" s="69"/>
      <c r="G629" s="70"/>
      <c r="H629" s="71"/>
      <c r="I629" s="72"/>
      <c r="J629" s="73"/>
      <c r="K629" s="62"/>
      <c r="L629" s="62"/>
      <c r="M629" s="62"/>
      <c r="N629" s="62"/>
      <c r="O629" s="62"/>
    </row>
    <row r="630" spans="1:15">
      <c r="A630" s="75">
        <f t="shared" si="9"/>
        <v>0</v>
      </c>
      <c r="B630" s="66"/>
      <c r="C630" s="66"/>
      <c r="D630" s="66"/>
      <c r="E630" s="68"/>
      <c r="F630" s="69"/>
      <c r="G630" s="70"/>
      <c r="H630" s="71"/>
      <c r="I630" s="72"/>
      <c r="J630" s="73"/>
      <c r="K630" s="62"/>
      <c r="L630" s="62"/>
      <c r="M630" s="62"/>
      <c r="N630" s="62"/>
      <c r="O630" s="62"/>
    </row>
    <row r="631" spans="1:15">
      <c r="A631" s="75">
        <f t="shared" si="9"/>
        <v>0</v>
      </c>
      <c r="B631" s="66"/>
      <c r="C631" s="66"/>
      <c r="D631" s="66"/>
      <c r="E631" s="68"/>
      <c r="F631" s="69"/>
      <c r="G631" s="70"/>
      <c r="H631" s="71"/>
      <c r="I631" s="72"/>
      <c r="J631" s="73"/>
      <c r="K631" s="62"/>
      <c r="L631" s="62"/>
      <c r="M631" s="62"/>
      <c r="N631" s="62"/>
      <c r="O631" s="62"/>
    </row>
    <row r="632" spans="1:15">
      <c r="A632" s="75">
        <f t="shared" si="9"/>
        <v>0</v>
      </c>
      <c r="B632" s="66"/>
      <c r="C632" s="66"/>
      <c r="D632" s="66"/>
      <c r="E632" s="68"/>
      <c r="F632" s="69"/>
      <c r="G632" s="70"/>
      <c r="H632" s="71"/>
      <c r="I632" s="72"/>
      <c r="J632" s="73"/>
      <c r="K632" s="62"/>
      <c r="L632" s="62"/>
      <c r="M632" s="62"/>
      <c r="N632" s="62"/>
      <c r="O632" s="62"/>
    </row>
    <row r="633" spans="1:15">
      <c r="A633" s="75">
        <f t="shared" si="9"/>
        <v>0</v>
      </c>
      <c r="B633" s="66"/>
      <c r="C633" s="66"/>
      <c r="D633" s="66"/>
      <c r="E633" s="68"/>
      <c r="F633" s="69"/>
      <c r="G633" s="70"/>
      <c r="H633" s="71"/>
      <c r="I633" s="72"/>
      <c r="J633" s="73"/>
      <c r="K633" s="62"/>
      <c r="L633" s="62"/>
      <c r="M633" s="62"/>
      <c r="N633" s="62"/>
      <c r="O633" s="62"/>
    </row>
    <row r="634" spans="1:15">
      <c r="A634" s="75">
        <f t="shared" si="9"/>
        <v>0</v>
      </c>
      <c r="B634" s="66"/>
      <c r="C634" s="66"/>
      <c r="D634" s="66"/>
      <c r="E634" s="68"/>
      <c r="F634" s="69"/>
      <c r="G634" s="70"/>
      <c r="H634" s="71"/>
      <c r="I634" s="72"/>
      <c r="J634" s="73"/>
      <c r="K634" s="62"/>
      <c r="L634" s="62"/>
      <c r="M634" s="62"/>
      <c r="N634" s="62"/>
      <c r="O634" s="62"/>
    </row>
    <row r="635" spans="1:15">
      <c r="A635" s="75">
        <f t="shared" si="9"/>
        <v>0</v>
      </c>
      <c r="B635" s="66"/>
      <c r="C635" s="66"/>
      <c r="D635" s="66"/>
      <c r="E635" s="68"/>
      <c r="F635" s="69"/>
      <c r="G635" s="70"/>
      <c r="H635" s="71"/>
      <c r="I635" s="72"/>
      <c r="J635" s="73"/>
      <c r="K635" s="62"/>
      <c r="L635" s="62"/>
      <c r="M635" s="62"/>
      <c r="N635" s="62"/>
      <c r="O635" s="62"/>
    </row>
    <row r="636" spans="1:15">
      <c r="A636" s="75">
        <f t="shared" si="9"/>
        <v>0</v>
      </c>
      <c r="B636" s="66"/>
      <c r="C636" s="66"/>
      <c r="D636" s="66"/>
      <c r="E636" s="68"/>
      <c r="F636" s="69"/>
      <c r="G636" s="70"/>
      <c r="H636" s="71"/>
      <c r="I636" s="72"/>
      <c r="J636" s="73"/>
      <c r="K636" s="62"/>
      <c r="L636" s="62"/>
      <c r="M636" s="62"/>
      <c r="N636" s="62"/>
      <c r="O636" s="62"/>
    </row>
    <row r="637" spans="1:15">
      <c r="A637" s="75">
        <f t="shared" si="9"/>
        <v>0</v>
      </c>
      <c r="B637" s="66"/>
      <c r="C637" s="66"/>
      <c r="D637" s="66"/>
      <c r="E637" s="68"/>
      <c r="F637" s="69"/>
      <c r="G637" s="70"/>
      <c r="H637" s="71"/>
      <c r="I637" s="72"/>
      <c r="J637" s="73"/>
      <c r="K637" s="62"/>
      <c r="L637" s="62"/>
      <c r="M637" s="62"/>
      <c r="N637" s="62"/>
      <c r="O637" s="62"/>
    </row>
    <row r="638" spans="1:15">
      <c r="A638" s="75">
        <f t="shared" si="9"/>
        <v>0</v>
      </c>
      <c r="B638" s="66"/>
      <c r="C638" s="66"/>
      <c r="D638" s="66"/>
      <c r="E638" s="68"/>
      <c r="F638" s="69"/>
      <c r="G638" s="70"/>
      <c r="H638" s="71"/>
      <c r="I638" s="72"/>
      <c r="J638" s="73"/>
      <c r="K638" s="62"/>
      <c r="L638" s="62"/>
      <c r="M638" s="62"/>
      <c r="N638" s="62"/>
      <c r="O638" s="62"/>
    </row>
    <row r="639" spans="1:15">
      <c r="A639" s="75">
        <f t="shared" si="9"/>
        <v>0</v>
      </c>
      <c r="B639" s="66"/>
      <c r="C639" s="66"/>
      <c r="D639" s="66"/>
      <c r="E639" s="68"/>
      <c r="F639" s="69"/>
      <c r="G639" s="70"/>
      <c r="H639" s="71"/>
      <c r="I639" s="72"/>
      <c r="J639" s="73"/>
      <c r="K639" s="62"/>
      <c r="L639" s="62"/>
      <c r="M639" s="62"/>
      <c r="N639" s="62"/>
      <c r="O639" s="62"/>
    </row>
    <row r="640" spans="1:15">
      <c r="A640" s="75">
        <f t="shared" si="9"/>
        <v>0</v>
      </c>
      <c r="B640" s="66"/>
      <c r="C640" s="66"/>
      <c r="D640" s="66"/>
      <c r="E640" s="68"/>
      <c r="F640" s="69"/>
      <c r="G640" s="70"/>
      <c r="H640" s="71"/>
      <c r="I640" s="72"/>
      <c r="J640" s="73"/>
      <c r="K640" s="62"/>
      <c r="L640" s="62"/>
      <c r="M640" s="62"/>
      <c r="N640" s="62"/>
      <c r="O640" s="62"/>
    </row>
    <row r="641" spans="1:15">
      <c r="A641" s="75">
        <f t="shared" si="9"/>
        <v>0</v>
      </c>
      <c r="B641" s="66"/>
      <c r="C641" s="66"/>
      <c r="D641" s="66"/>
      <c r="E641" s="68"/>
      <c r="F641" s="69"/>
      <c r="G641" s="70"/>
      <c r="H641" s="71"/>
      <c r="I641" s="72"/>
      <c r="J641" s="73"/>
      <c r="K641" s="62"/>
      <c r="L641" s="62"/>
      <c r="M641" s="62"/>
      <c r="N641" s="62"/>
      <c r="O641" s="62"/>
    </row>
    <row r="642" spans="1:15">
      <c r="A642" s="75">
        <f t="shared" si="9"/>
        <v>0</v>
      </c>
      <c r="B642" s="66"/>
      <c r="C642" s="66"/>
      <c r="D642" s="66"/>
      <c r="E642" s="68"/>
      <c r="F642" s="69"/>
      <c r="G642" s="70"/>
      <c r="H642" s="71"/>
      <c r="I642" s="72"/>
      <c r="J642" s="73"/>
      <c r="K642" s="62"/>
      <c r="L642" s="62"/>
      <c r="M642" s="62"/>
      <c r="N642" s="62"/>
      <c r="O642" s="62"/>
    </row>
    <row r="643" spans="1:15">
      <c r="A643" s="75">
        <f t="shared" si="9"/>
        <v>0</v>
      </c>
      <c r="B643" s="66"/>
      <c r="C643" s="66"/>
      <c r="D643" s="66"/>
      <c r="E643" s="68"/>
      <c r="F643" s="69"/>
      <c r="G643" s="70"/>
      <c r="H643" s="71"/>
      <c r="I643" s="72"/>
      <c r="J643" s="73"/>
      <c r="K643" s="62"/>
      <c r="L643" s="62"/>
      <c r="M643" s="62"/>
      <c r="N643" s="62"/>
      <c r="O643" s="62"/>
    </row>
    <row r="644" spans="1:15">
      <c r="A644" s="75">
        <f t="shared" si="9"/>
        <v>0</v>
      </c>
      <c r="B644" s="66"/>
      <c r="C644" s="66"/>
      <c r="D644" s="66"/>
      <c r="E644" s="68"/>
      <c r="F644" s="69"/>
      <c r="G644" s="70"/>
      <c r="H644" s="71"/>
      <c r="I644" s="72"/>
      <c r="J644" s="73"/>
      <c r="K644" s="62"/>
      <c r="L644" s="62"/>
      <c r="M644" s="62"/>
      <c r="N644" s="62"/>
      <c r="O644" s="62"/>
    </row>
    <row r="645" spans="1:15">
      <c r="A645" s="75">
        <f t="shared" si="9"/>
        <v>0</v>
      </c>
      <c r="B645" s="66"/>
      <c r="C645" s="66"/>
      <c r="D645" s="66"/>
      <c r="E645" s="68"/>
      <c r="F645" s="69"/>
      <c r="G645" s="70"/>
      <c r="H645" s="71"/>
      <c r="I645" s="72"/>
      <c r="J645" s="73"/>
      <c r="K645" s="62"/>
      <c r="L645" s="62"/>
      <c r="M645" s="62"/>
      <c r="N645" s="62"/>
      <c r="O645" s="62"/>
    </row>
    <row r="646" spans="1:15">
      <c r="A646" s="75">
        <f t="shared" si="9"/>
        <v>0</v>
      </c>
      <c r="B646" s="66"/>
      <c r="C646" s="66"/>
      <c r="D646" s="66"/>
      <c r="E646" s="68"/>
      <c r="F646" s="69"/>
      <c r="G646" s="70"/>
      <c r="H646" s="71"/>
      <c r="I646" s="72"/>
      <c r="J646" s="73"/>
      <c r="K646" s="62"/>
      <c r="L646" s="62"/>
      <c r="M646" s="62"/>
      <c r="N646" s="62"/>
      <c r="O646" s="62"/>
    </row>
    <row r="647" spans="1:15">
      <c r="A647" s="75">
        <f t="shared" si="9"/>
        <v>0</v>
      </c>
      <c r="B647" s="66"/>
      <c r="C647" s="66"/>
      <c r="D647" s="66"/>
      <c r="E647" s="68"/>
      <c r="F647" s="69"/>
      <c r="G647" s="70"/>
      <c r="H647" s="71"/>
      <c r="I647" s="72"/>
      <c r="J647" s="73"/>
      <c r="K647" s="62"/>
      <c r="L647" s="62"/>
      <c r="M647" s="62"/>
      <c r="N647" s="62"/>
      <c r="O647" s="62"/>
    </row>
    <row r="648" spans="1:15">
      <c r="A648" s="75">
        <f t="shared" si="9"/>
        <v>0</v>
      </c>
      <c r="B648" s="66"/>
      <c r="C648" s="66"/>
      <c r="D648" s="66"/>
      <c r="E648" s="68"/>
      <c r="F648" s="69"/>
      <c r="G648" s="70"/>
      <c r="H648" s="71"/>
      <c r="I648" s="72"/>
      <c r="J648" s="73"/>
      <c r="K648" s="62"/>
      <c r="L648" s="62"/>
      <c r="M648" s="62"/>
      <c r="N648" s="62"/>
      <c r="O648" s="62"/>
    </row>
    <row r="649" spans="1:15">
      <c r="A649" s="75">
        <f t="shared" si="9"/>
        <v>0</v>
      </c>
      <c r="B649" s="66"/>
      <c r="C649" s="66"/>
      <c r="D649" s="66"/>
      <c r="E649" s="68"/>
      <c r="F649" s="69"/>
      <c r="G649" s="70"/>
      <c r="H649" s="71"/>
      <c r="I649" s="72"/>
      <c r="J649" s="73"/>
      <c r="K649" s="62"/>
      <c r="L649" s="62"/>
      <c r="M649" s="62"/>
      <c r="N649" s="62"/>
      <c r="O649" s="62"/>
    </row>
    <row r="650" spans="1:15">
      <c r="A650" s="75">
        <f t="shared" ref="A650:A713" si="10">E650</f>
        <v>0</v>
      </c>
      <c r="B650" s="66"/>
      <c r="C650" s="66"/>
      <c r="D650" s="66"/>
      <c r="E650" s="68"/>
      <c r="F650" s="69"/>
      <c r="G650" s="70"/>
      <c r="H650" s="71"/>
      <c r="I650" s="72"/>
      <c r="J650" s="73"/>
      <c r="K650" s="62"/>
      <c r="L650" s="62"/>
      <c r="M650" s="62"/>
      <c r="N650" s="62"/>
      <c r="O650" s="62"/>
    </row>
    <row r="651" spans="1:15">
      <c r="A651" s="75">
        <f t="shared" si="10"/>
        <v>0</v>
      </c>
      <c r="B651" s="66"/>
      <c r="C651" s="66"/>
      <c r="D651" s="66"/>
      <c r="E651" s="68"/>
      <c r="F651" s="69"/>
      <c r="G651" s="70"/>
      <c r="H651" s="71"/>
      <c r="I651" s="72"/>
      <c r="J651" s="73"/>
      <c r="K651" s="62"/>
      <c r="L651" s="62"/>
      <c r="M651" s="62"/>
      <c r="N651" s="62"/>
      <c r="O651" s="62"/>
    </row>
    <row r="652" spans="1:15">
      <c r="A652" s="75">
        <f t="shared" si="10"/>
        <v>0</v>
      </c>
      <c r="B652" s="66"/>
      <c r="C652" s="66"/>
      <c r="D652" s="66"/>
      <c r="E652" s="68"/>
      <c r="F652" s="69"/>
      <c r="G652" s="70"/>
      <c r="H652" s="71"/>
      <c r="I652" s="72"/>
      <c r="J652" s="73"/>
      <c r="K652" s="62"/>
      <c r="L652" s="62"/>
      <c r="M652" s="62"/>
      <c r="N652" s="62"/>
      <c r="O652" s="62"/>
    </row>
    <row r="653" spans="1:15">
      <c r="A653" s="75">
        <f t="shared" si="10"/>
        <v>0</v>
      </c>
      <c r="B653" s="66"/>
      <c r="C653" s="66"/>
      <c r="D653" s="66"/>
      <c r="E653" s="68"/>
      <c r="F653" s="69"/>
      <c r="G653" s="70"/>
      <c r="H653" s="71"/>
      <c r="I653" s="72"/>
      <c r="J653" s="73"/>
      <c r="K653" s="62"/>
      <c r="L653" s="62"/>
      <c r="M653" s="62"/>
      <c r="N653" s="62"/>
      <c r="O653" s="62"/>
    </row>
    <row r="654" spans="1:15">
      <c r="A654" s="75">
        <f t="shared" si="10"/>
        <v>0</v>
      </c>
      <c r="B654" s="66"/>
      <c r="C654" s="66"/>
      <c r="D654" s="66"/>
      <c r="E654" s="68"/>
      <c r="F654" s="69"/>
      <c r="G654" s="70"/>
      <c r="H654" s="71"/>
      <c r="I654" s="72"/>
      <c r="J654" s="73"/>
      <c r="K654" s="62"/>
      <c r="L654" s="62"/>
      <c r="M654" s="62"/>
      <c r="N654" s="62"/>
      <c r="O654" s="62"/>
    </row>
    <row r="655" spans="1:15">
      <c r="A655" s="75">
        <f t="shared" si="10"/>
        <v>0</v>
      </c>
      <c r="B655" s="66"/>
      <c r="C655" s="66"/>
      <c r="D655" s="66"/>
      <c r="E655" s="68"/>
      <c r="F655" s="69"/>
      <c r="G655" s="70"/>
      <c r="H655" s="71"/>
      <c r="I655" s="72"/>
      <c r="J655" s="73"/>
      <c r="K655" s="62"/>
      <c r="L655" s="62"/>
      <c r="M655" s="62"/>
      <c r="N655" s="62"/>
      <c r="O655" s="62"/>
    </row>
    <row r="656" spans="1:15">
      <c r="A656" s="75">
        <f t="shared" si="10"/>
        <v>0</v>
      </c>
      <c r="B656" s="66"/>
      <c r="C656" s="66"/>
      <c r="D656" s="66"/>
      <c r="E656" s="68"/>
      <c r="F656" s="69"/>
      <c r="G656" s="70"/>
      <c r="H656" s="71"/>
      <c r="I656" s="72"/>
      <c r="J656" s="73"/>
      <c r="K656" s="62"/>
      <c r="L656" s="62"/>
      <c r="M656" s="62"/>
      <c r="N656" s="62"/>
      <c r="O656" s="62"/>
    </row>
    <row r="657" spans="1:15">
      <c r="A657" s="75">
        <f t="shared" si="10"/>
        <v>0</v>
      </c>
      <c r="B657" s="66"/>
      <c r="C657" s="66"/>
      <c r="D657" s="66"/>
      <c r="E657" s="68"/>
      <c r="F657" s="69"/>
      <c r="G657" s="70"/>
      <c r="H657" s="71"/>
      <c r="I657" s="72"/>
      <c r="J657" s="73"/>
      <c r="K657" s="62"/>
      <c r="L657" s="62"/>
      <c r="M657" s="62"/>
      <c r="N657" s="62"/>
      <c r="O657" s="62"/>
    </row>
    <row r="658" spans="1:15">
      <c r="A658" s="75">
        <f t="shared" si="10"/>
        <v>0</v>
      </c>
      <c r="B658" s="66"/>
      <c r="C658" s="66"/>
      <c r="D658" s="66"/>
      <c r="E658" s="68"/>
      <c r="F658" s="69"/>
      <c r="G658" s="70"/>
      <c r="H658" s="71"/>
      <c r="I658" s="72"/>
      <c r="J658" s="73"/>
      <c r="K658" s="62"/>
      <c r="L658" s="62"/>
      <c r="M658" s="62"/>
      <c r="N658" s="62"/>
      <c r="O658" s="62"/>
    </row>
    <row r="659" spans="1:15">
      <c r="A659" s="75">
        <f t="shared" si="10"/>
        <v>0</v>
      </c>
      <c r="B659" s="66"/>
      <c r="C659" s="66"/>
      <c r="D659" s="66"/>
      <c r="E659" s="68"/>
      <c r="F659" s="69"/>
      <c r="G659" s="70"/>
      <c r="H659" s="71"/>
      <c r="I659" s="72"/>
      <c r="J659" s="73"/>
      <c r="K659" s="62"/>
      <c r="L659" s="62"/>
      <c r="M659" s="62"/>
      <c r="N659" s="62"/>
      <c r="O659" s="62"/>
    </row>
    <row r="660" spans="1:15">
      <c r="A660" s="75">
        <f t="shared" si="10"/>
        <v>0</v>
      </c>
      <c r="B660" s="66"/>
      <c r="C660" s="66"/>
      <c r="D660" s="66"/>
      <c r="E660" s="68"/>
      <c r="F660" s="69"/>
      <c r="G660" s="70"/>
      <c r="H660" s="71"/>
      <c r="I660" s="72"/>
      <c r="J660" s="73"/>
      <c r="K660" s="62"/>
      <c r="L660" s="62"/>
      <c r="M660" s="62"/>
      <c r="N660" s="62"/>
      <c r="O660" s="62"/>
    </row>
    <row r="661" spans="1:15">
      <c r="A661" s="75">
        <f t="shared" si="10"/>
        <v>0</v>
      </c>
      <c r="B661" s="66"/>
      <c r="C661" s="66"/>
      <c r="D661" s="66"/>
      <c r="E661" s="68"/>
      <c r="F661" s="69"/>
      <c r="G661" s="70"/>
      <c r="H661" s="71"/>
      <c r="I661" s="72"/>
      <c r="J661" s="73"/>
      <c r="K661" s="62"/>
      <c r="L661" s="62"/>
      <c r="M661" s="62"/>
      <c r="N661" s="62"/>
      <c r="O661" s="62"/>
    </row>
    <row r="662" spans="1:15">
      <c r="A662" s="75">
        <f t="shared" si="10"/>
        <v>0</v>
      </c>
      <c r="B662" s="66"/>
      <c r="C662" s="66"/>
      <c r="D662" s="66"/>
      <c r="E662" s="68"/>
      <c r="F662" s="69"/>
      <c r="G662" s="70"/>
      <c r="H662" s="71"/>
      <c r="I662" s="72"/>
      <c r="J662" s="73"/>
      <c r="K662" s="62"/>
      <c r="L662" s="62"/>
      <c r="M662" s="62"/>
      <c r="N662" s="62"/>
      <c r="O662" s="62"/>
    </row>
    <row r="663" spans="1:15">
      <c r="A663" s="75">
        <f t="shared" si="10"/>
        <v>0</v>
      </c>
      <c r="B663" s="66"/>
      <c r="C663" s="66"/>
      <c r="D663" s="66"/>
      <c r="E663" s="68"/>
      <c r="F663" s="69"/>
      <c r="G663" s="70"/>
      <c r="H663" s="71"/>
      <c r="I663" s="72"/>
      <c r="J663" s="73"/>
      <c r="K663" s="62"/>
      <c r="L663" s="62"/>
      <c r="M663" s="62"/>
      <c r="N663" s="62"/>
      <c r="O663" s="62"/>
    </row>
    <row r="664" spans="1:15">
      <c r="A664" s="75">
        <f t="shared" si="10"/>
        <v>0</v>
      </c>
      <c r="B664" s="66"/>
      <c r="C664" s="66"/>
      <c r="D664" s="66"/>
      <c r="E664" s="68"/>
      <c r="F664" s="69"/>
      <c r="G664" s="70"/>
      <c r="H664" s="71"/>
      <c r="I664" s="72"/>
      <c r="J664" s="73"/>
      <c r="K664" s="62"/>
      <c r="L664" s="62"/>
      <c r="M664" s="62"/>
      <c r="N664" s="62"/>
      <c r="O664" s="62"/>
    </row>
    <row r="665" spans="1:15">
      <c r="A665" s="75">
        <f t="shared" si="10"/>
        <v>0</v>
      </c>
      <c r="B665" s="66"/>
      <c r="C665" s="66"/>
      <c r="D665" s="66"/>
      <c r="E665" s="68"/>
      <c r="F665" s="69"/>
      <c r="G665" s="70"/>
      <c r="H665" s="71"/>
      <c r="I665" s="72"/>
      <c r="J665" s="73"/>
      <c r="K665" s="62"/>
      <c r="L665" s="62"/>
      <c r="M665" s="62"/>
      <c r="N665" s="62"/>
      <c r="O665" s="62"/>
    </row>
    <row r="666" spans="1:15">
      <c r="A666" s="75">
        <f t="shared" si="10"/>
        <v>0</v>
      </c>
      <c r="B666" s="66"/>
      <c r="C666" s="66"/>
      <c r="D666" s="66"/>
      <c r="E666" s="68"/>
      <c r="F666" s="69"/>
      <c r="G666" s="70"/>
      <c r="H666" s="71"/>
      <c r="I666" s="72"/>
      <c r="J666" s="73"/>
      <c r="K666" s="62"/>
      <c r="L666" s="62"/>
      <c r="M666" s="62"/>
      <c r="N666" s="62"/>
      <c r="O666" s="62"/>
    </row>
    <row r="667" spans="1:15">
      <c r="A667" s="75">
        <f t="shared" si="10"/>
        <v>0</v>
      </c>
      <c r="B667" s="66"/>
      <c r="C667" s="66"/>
      <c r="D667" s="66"/>
      <c r="E667" s="68"/>
      <c r="F667" s="69"/>
      <c r="G667" s="70"/>
      <c r="H667" s="71"/>
      <c r="I667" s="72"/>
      <c r="J667" s="73"/>
      <c r="K667" s="62"/>
      <c r="L667" s="62"/>
      <c r="M667" s="62"/>
      <c r="N667" s="62"/>
      <c r="O667" s="62"/>
    </row>
    <row r="668" spans="1:15">
      <c r="A668" s="75">
        <f t="shared" si="10"/>
        <v>0</v>
      </c>
      <c r="B668" s="66"/>
      <c r="C668" s="66"/>
      <c r="D668" s="66"/>
      <c r="E668" s="68"/>
      <c r="F668" s="69"/>
      <c r="G668" s="70"/>
      <c r="H668" s="71"/>
      <c r="I668" s="72"/>
      <c r="J668" s="73"/>
      <c r="K668" s="62"/>
      <c r="L668" s="62"/>
      <c r="M668" s="62"/>
      <c r="N668" s="62"/>
      <c r="O668" s="62"/>
    </row>
    <row r="669" spans="1:15">
      <c r="A669" s="75">
        <f t="shared" si="10"/>
        <v>0</v>
      </c>
      <c r="B669" s="66"/>
      <c r="C669" s="66"/>
      <c r="D669" s="66"/>
      <c r="E669" s="68"/>
      <c r="F669" s="69"/>
      <c r="G669" s="70"/>
      <c r="H669" s="71"/>
      <c r="I669" s="72"/>
      <c r="J669" s="73"/>
      <c r="K669" s="62"/>
      <c r="L669" s="62"/>
      <c r="M669" s="62"/>
      <c r="N669" s="62"/>
      <c r="O669" s="62"/>
    </row>
    <row r="670" spans="1:15">
      <c r="A670" s="75">
        <f t="shared" si="10"/>
        <v>0</v>
      </c>
      <c r="B670" s="66"/>
      <c r="C670" s="66"/>
      <c r="D670" s="66"/>
      <c r="E670" s="68"/>
      <c r="F670" s="69"/>
      <c r="G670" s="70"/>
      <c r="H670" s="71"/>
      <c r="I670" s="72"/>
      <c r="J670" s="73"/>
      <c r="K670" s="62"/>
      <c r="L670" s="62"/>
      <c r="M670" s="62"/>
      <c r="N670" s="62"/>
      <c r="O670" s="62"/>
    </row>
    <row r="671" spans="1:15">
      <c r="A671" s="75">
        <f t="shared" si="10"/>
        <v>0</v>
      </c>
      <c r="B671" s="66"/>
      <c r="C671" s="66"/>
      <c r="D671" s="66"/>
      <c r="E671" s="68"/>
      <c r="F671" s="69"/>
      <c r="G671" s="70"/>
      <c r="H671" s="71"/>
      <c r="I671" s="72"/>
      <c r="J671" s="73"/>
      <c r="K671" s="62"/>
      <c r="L671" s="62"/>
      <c r="M671" s="62"/>
      <c r="N671" s="62"/>
      <c r="O671" s="62"/>
    </row>
    <row r="672" spans="1:15">
      <c r="A672" s="75">
        <f t="shared" si="10"/>
        <v>0</v>
      </c>
      <c r="B672" s="66"/>
      <c r="C672" s="66"/>
      <c r="D672" s="66"/>
      <c r="E672" s="68"/>
      <c r="F672" s="69"/>
      <c r="G672" s="70"/>
      <c r="H672" s="71"/>
      <c r="I672" s="72"/>
      <c r="J672" s="73"/>
      <c r="K672" s="62"/>
      <c r="L672" s="62"/>
      <c r="M672" s="62"/>
      <c r="N672" s="62"/>
      <c r="O672" s="62"/>
    </row>
    <row r="673" spans="1:15">
      <c r="A673" s="75">
        <f t="shared" si="10"/>
        <v>0</v>
      </c>
      <c r="B673" s="66"/>
      <c r="C673" s="66"/>
      <c r="D673" s="66"/>
      <c r="E673" s="68"/>
      <c r="F673" s="69"/>
      <c r="G673" s="70"/>
      <c r="H673" s="71"/>
      <c r="I673" s="72"/>
      <c r="J673" s="73"/>
      <c r="K673" s="62"/>
      <c r="L673" s="62"/>
      <c r="M673" s="62"/>
      <c r="N673" s="62"/>
      <c r="O673" s="62"/>
    </row>
    <row r="674" spans="1:15">
      <c r="A674" s="75">
        <f t="shared" si="10"/>
        <v>0</v>
      </c>
      <c r="B674" s="66"/>
      <c r="C674" s="66"/>
      <c r="D674" s="66"/>
      <c r="E674" s="68"/>
      <c r="F674" s="69"/>
      <c r="G674" s="70"/>
      <c r="H674" s="71"/>
      <c r="I674" s="72"/>
      <c r="J674" s="73"/>
      <c r="K674" s="62"/>
      <c r="L674" s="62"/>
      <c r="M674" s="62"/>
      <c r="N674" s="62"/>
      <c r="O674" s="62"/>
    </row>
    <row r="675" spans="1:15">
      <c r="A675" s="75">
        <f t="shared" si="10"/>
        <v>0</v>
      </c>
      <c r="B675" s="66"/>
      <c r="C675" s="66"/>
      <c r="D675" s="66"/>
      <c r="E675" s="68"/>
      <c r="F675" s="69"/>
      <c r="G675" s="70"/>
      <c r="H675" s="71"/>
      <c r="I675" s="72"/>
      <c r="J675" s="73"/>
      <c r="K675" s="62"/>
      <c r="L675" s="62"/>
      <c r="M675" s="62"/>
      <c r="N675" s="62"/>
      <c r="O675" s="62"/>
    </row>
    <row r="676" spans="1:15">
      <c r="A676" s="75">
        <f t="shared" si="10"/>
        <v>0</v>
      </c>
      <c r="B676" s="66"/>
      <c r="C676" s="66"/>
      <c r="D676" s="66"/>
      <c r="E676" s="68"/>
      <c r="F676" s="69"/>
      <c r="G676" s="70"/>
      <c r="H676" s="71"/>
      <c r="I676" s="72"/>
      <c r="J676" s="73"/>
      <c r="K676" s="62"/>
      <c r="L676" s="62"/>
      <c r="M676" s="62"/>
      <c r="N676" s="62"/>
      <c r="O676" s="62"/>
    </row>
    <row r="677" spans="1:15">
      <c r="A677" s="75">
        <f t="shared" si="10"/>
        <v>0</v>
      </c>
      <c r="B677" s="66"/>
      <c r="C677" s="66"/>
      <c r="D677" s="66"/>
      <c r="E677" s="68"/>
      <c r="F677" s="69"/>
      <c r="G677" s="70"/>
      <c r="H677" s="71"/>
      <c r="I677" s="72"/>
      <c r="J677" s="73"/>
      <c r="K677" s="62"/>
      <c r="L677" s="62"/>
      <c r="M677" s="62"/>
      <c r="N677" s="62"/>
      <c r="O677" s="62"/>
    </row>
    <row r="678" spans="1:15">
      <c r="A678" s="75">
        <f t="shared" si="10"/>
        <v>0</v>
      </c>
      <c r="B678" s="66"/>
      <c r="C678" s="66"/>
      <c r="D678" s="66"/>
      <c r="E678" s="68"/>
      <c r="F678" s="69"/>
      <c r="G678" s="70"/>
      <c r="H678" s="71"/>
      <c r="I678" s="72"/>
      <c r="J678" s="73"/>
      <c r="K678" s="62"/>
      <c r="L678" s="62"/>
      <c r="M678" s="62"/>
      <c r="N678" s="62"/>
      <c r="O678" s="62"/>
    </row>
    <row r="679" spans="1:15">
      <c r="A679" s="75">
        <f t="shared" si="10"/>
        <v>0</v>
      </c>
      <c r="B679" s="66"/>
      <c r="C679" s="66"/>
      <c r="D679" s="66"/>
      <c r="E679" s="68"/>
      <c r="F679" s="69"/>
      <c r="G679" s="70"/>
      <c r="H679" s="71"/>
      <c r="I679" s="72"/>
      <c r="J679" s="73"/>
      <c r="K679" s="62"/>
      <c r="L679" s="62"/>
      <c r="M679" s="62"/>
      <c r="N679" s="62"/>
      <c r="O679" s="62"/>
    </row>
    <row r="680" spans="1:15">
      <c r="A680" s="75">
        <f t="shared" si="10"/>
        <v>0</v>
      </c>
      <c r="B680" s="66"/>
      <c r="C680" s="66"/>
      <c r="D680" s="66"/>
      <c r="E680" s="68"/>
      <c r="F680" s="69"/>
      <c r="G680" s="70"/>
      <c r="H680" s="71"/>
      <c r="I680" s="72"/>
      <c r="J680" s="73"/>
      <c r="K680" s="62"/>
      <c r="L680" s="62"/>
      <c r="M680" s="62"/>
      <c r="N680" s="62"/>
      <c r="O680" s="62"/>
    </row>
    <row r="681" spans="1:15">
      <c r="A681" s="75">
        <f t="shared" si="10"/>
        <v>0</v>
      </c>
      <c r="B681" s="66"/>
      <c r="C681" s="66"/>
      <c r="D681" s="66"/>
      <c r="E681" s="68"/>
      <c r="F681" s="69"/>
      <c r="G681" s="70"/>
      <c r="H681" s="71"/>
      <c r="I681" s="72"/>
      <c r="J681" s="73"/>
      <c r="K681" s="62"/>
      <c r="L681" s="62"/>
      <c r="M681" s="62"/>
      <c r="N681" s="62"/>
      <c r="O681" s="62"/>
    </row>
    <row r="682" spans="1:15">
      <c r="A682" s="75">
        <f t="shared" si="10"/>
        <v>0</v>
      </c>
      <c r="B682" s="66"/>
      <c r="C682" s="66"/>
      <c r="D682" s="66"/>
      <c r="E682" s="68"/>
      <c r="F682" s="69"/>
      <c r="G682" s="70"/>
      <c r="H682" s="71"/>
      <c r="I682" s="72"/>
      <c r="J682" s="73"/>
      <c r="K682" s="62"/>
      <c r="L682" s="62"/>
      <c r="M682" s="62"/>
      <c r="N682" s="62"/>
      <c r="O682" s="62"/>
    </row>
    <row r="683" spans="1:15">
      <c r="A683" s="75">
        <f t="shared" si="10"/>
        <v>0</v>
      </c>
      <c r="B683" s="66"/>
      <c r="C683" s="66"/>
      <c r="D683" s="66"/>
      <c r="E683" s="68"/>
      <c r="F683" s="69"/>
      <c r="G683" s="70"/>
      <c r="H683" s="71"/>
      <c r="I683" s="72"/>
      <c r="J683" s="73"/>
      <c r="K683" s="62"/>
      <c r="L683" s="62"/>
      <c r="M683" s="62"/>
      <c r="N683" s="62"/>
      <c r="O683" s="62"/>
    </row>
    <row r="684" spans="1:15">
      <c r="A684" s="75">
        <f t="shared" si="10"/>
        <v>0</v>
      </c>
      <c r="B684" s="66"/>
      <c r="C684" s="66"/>
      <c r="D684" s="66"/>
      <c r="E684" s="68"/>
      <c r="F684" s="69"/>
      <c r="G684" s="70"/>
      <c r="H684" s="71"/>
      <c r="I684" s="72"/>
      <c r="J684" s="73"/>
      <c r="K684" s="62"/>
      <c r="L684" s="62"/>
      <c r="M684" s="62"/>
      <c r="N684" s="62"/>
      <c r="O684" s="62"/>
    </row>
    <row r="685" spans="1:15">
      <c r="A685" s="75">
        <f t="shared" si="10"/>
        <v>0</v>
      </c>
      <c r="B685" s="66"/>
      <c r="C685" s="66"/>
      <c r="D685" s="66"/>
      <c r="E685" s="68"/>
      <c r="F685" s="69"/>
      <c r="G685" s="70"/>
      <c r="H685" s="71"/>
      <c r="I685" s="72"/>
      <c r="J685" s="73"/>
      <c r="K685" s="62"/>
      <c r="L685" s="62"/>
      <c r="M685" s="62"/>
      <c r="N685" s="62"/>
      <c r="O685" s="62"/>
    </row>
    <row r="686" spans="1:15">
      <c r="A686" s="75">
        <f t="shared" si="10"/>
        <v>0</v>
      </c>
      <c r="B686" s="66"/>
      <c r="C686" s="66"/>
      <c r="D686" s="66"/>
      <c r="E686" s="68"/>
      <c r="F686" s="69"/>
      <c r="G686" s="70"/>
      <c r="H686" s="71"/>
      <c r="I686" s="72"/>
      <c r="J686" s="73"/>
      <c r="K686" s="62"/>
      <c r="L686" s="62"/>
      <c r="M686" s="62"/>
      <c r="N686" s="62"/>
      <c r="O686" s="62"/>
    </row>
    <row r="687" spans="1:15">
      <c r="A687" s="75">
        <f t="shared" si="10"/>
        <v>0</v>
      </c>
      <c r="B687" s="66"/>
      <c r="C687" s="66"/>
      <c r="D687" s="66"/>
      <c r="E687" s="68"/>
      <c r="F687" s="69"/>
      <c r="G687" s="70"/>
      <c r="H687" s="71"/>
      <c r="I687" s="72"/>
      <c r="J687" s="73"/>
      <c r="K687" s="62"/>
      <c r="L687" s="62"/>
      <c r="M687" s="62"/>
      <c r="N687" s="62"/>
      <c r="O687" s="62"/>
    </row>
    <row r="688" spans="1:15">
      <c r="A688" s="75">
        <f t="shared" si="10"/>
        <v>0</v>
      </c>
      <c r="B688" s="66"/>
      <c r="C688" s="66"/>
      <c r="D688" s="66"/>
      <c r="E688" s="68"/>
      <c r="F688" s="69"/>
      <c r="G688" s="70"/>
      <c r="H688" s="71"/>
      <c r="I688" s="72"/>
      <c r="J688" s="73"/>
      <c r="K688" s="62"/>
      <c r="L688" s="62"/>
      <c r="M688" s="62"/>
      <c r="N688" s="62"/>
      <c r="O688" s="62"/>
    </row>
    <row r="689" spans="1:15">
      <c r="A689" s="75">
        <f t="shared" si="10"/>
        <v>0</v>
      </c>
      <c r="B689" s="66"/>
      <c r="C689" s="66"/>
      <c r="D689" s="66"/>
      <c r="E689" s="68"/>
      <c r="F689" s="69"/>
      <c r="G689" s="70"/>
      <c r="H689" s="71"/>
      <c r="I689" s="72"/>
      <c r="J689" s="73"/>
      <c r="K689" s="62"/>
      <c r="L689" s="62"/>
      <c r="M689" s="62"/>
      <c r="N689" s="62"/>
      <c r="O689" s="62"/>
    </row>
    <row r="690" spans="1:15">
      <c r="A690" s="75">
        <f t="shared" si="10"/>
        <v>0</v>
      </c>
      <c r="B690" s="66"/>
      <c r="C690" s="66"/>
      <c r="D690" s="66"/>
      <c r="E690" s="68"/>
      <c r="F690" s="69"/>
      <c r="G690" s="70"/>
      <c r="H690" s="71"/>
      <c r="I690" s="72"/>
      <c r="J690" s="73"/>
      <c r="K690" s="62"/>
      <c r="L690" s="62"/>
      <c r="M690" s="62"/>
      <c r="N690" s="62"/>
      <c r="O690" s="62"/>
    </row>
    <row r="691" spans="1:15">
      <c r="A691" s="75">
        <f t="shared" si="10"/>
        <v>0</v>
      </c>
      <c r="B691" s="66"/>
      <c r="C691" s="66"/>
      <c r="D691" s="66"/>
      <c r="E691" s="68"/>
      <c r="F691" s="69"/>
      <c r="G691" s="70"/>
      <c r="H691" s="71"/>
      <c r="I691" s="72"/>
      <c r="J691" s="73"/>
      <c r="K691" s="62"/>
      <c r="L691" s="62"/>
      <c r="M691" s="62"/>
      <c r="N691" s="62"/>
      <c r="O691" s="62"/>
    </row>
    <row r="692" spans="1:15">
      <c r="A692" s="75">
        <f t="shared" si="10"/>
        <v>0</v>
      </c>
      <c r="B692" s="66"/>
      <c r="C692" s="66"/>
      <c r="D692" s="66"/>
      <c r="E692" s="68"/>
      <c r="F692" s="69"/>
      <c r="G692" s="70"/>
      <c r="H692" s="71"/>
      <c r="I692" s="72"/>
      <c r="J692" s="73"/>
      <c r="K692" s="62"/>
      <c r="L692" s="62"/>
      <c r="M692" s="62"/>
      <c r="N692" s="62"/>
      <c r="O692" s="62"/>
    </row>
    <row r="693" spans="1:15">
      <c r="A693" s="75">
        <f t="shared" si="10"/>
        <v>0</v>
      </c>
      <c r="B693" s="66"/>
      <c r="C693" s="66"/>
      <c r="D693" s="66"/>
      <c r="E693" s="68"/>
      <c r="F693" s="69"/>
      <c r="G693" s="70"/>
      <c r="H693" s="71"/>
      <c r="I693" s="72"/>
      <c r="J693" s="73"/>
      <c r="K693" s="62"/>
      <c r="L693" s="62"/>
      <c r="M693" s="62"/>
      <c r="N693" s="62"/>
      <c r="O693" s="62"/>
    </row>
    <row r="694" spans="1:15">
      <c r="A694" s="75">
        <f t="shared" si="10"/>
        <v>0</v>
      </c>
      <c r="B694" s="66"/>
      <c r="C694" s="66"/>
      <c r="D694" s="66"/>
      <c r="E694" s="68"/>
      <c r="F694" s="69"/>
      <c r="G694" s="70"/>
      <c r="H694" s="71"/>
      <c r="I694" s="72"/>
      <c r="J694" s="73"/>
      <c r="K694" s="62"/>
      <c r="L694" s="62"/>
      <c r="M694" s="62"/>
      <c r="N694" s="62"/>
      <c r="O694" s="62"/>
    </row>
    <row r="695" spans="1:15">
      <c r="A695" s="75">
        <f t="shared" si="10"/>
        <v>0</v>
      </c>
      <c r="B695" s="66"/>
      <c r="C695" s="66"/>
      <c r="D695" s="66"/>
      <c r="E695" s="68"/>
      <c r="F695" s="69"/>
      <c r="G695" s="70"/>
      <c r="H695" s="71"/>
      <c r="I695" s="72"/>
      <c r="J695" s="73"/>
      <c r="K695" s="62"/>
      <c r="L695" s="62"/>
      <c r="M695" s="62"/>
      <c r="N695" s="62"/>
      <c r="O695" s="62"/>
    </row>
    <row r="696" spans="1:15">
      <c r="A696" s="75">
        <f t="shared" si="10"/>
        <v>0</v>
      </c>
      <c r="B696" s="66"/>
      <c r="C696" s="66"/>
      <c r="D696" s="66"/>
      <c r="E696" s="68"/>
      <c r="F696" s="69"/>
      <c r="G696" s="70"/>
      <c r="H696" s="71"/>
      <c r="I696" s="72"/>
      <c r="J696" s="73"/>
      <c r="K696" s="62"/>
      <c r="L696" s="62"/>
      <c r="M696" s="62"/>
      <c r="N696" s="62"/>
      <c r="O696" s="62"/>
    </row>
    <row r="697" spans="1:15">
      <c r="A697" s="75">
        <f t="shared" si="10"/>
        <v>0</v>
      </c>
      <c r="B697" s="66"/>
      <c r="C697" s="66"/>
      <c r="D697" s="66"/>
      <c r="E697" s="68"/>
      <c r="F697" s="69"/>
      <c r="G697" s="70"/>
      <c r="H697" s="71"/>
      <c r="I697" s="72"/>
      <c r="J697" s="73"/>
      <c r="K697" s="62"/>
      <c r="L697" s="62"/>
      <c r="M697" s="62"/>
      <c r="N697" s="62"/>
      <c r="O697" s="62"/>
    </row>
    <row r="698" spans="1:15">
      <c r="A698" s="75">
        <f t="shared" si="10"/>
        <v>0</v>
      </c>
      <c r="B698" s="66"/>
      <c r="C698" s="66"/>
      <c r="D698" s="66"/>
      <c r="E698" s="68"/>
      <c r="F698" s="69"/>
      <c r="G698" s="70"/>
      <c r="H698" s="71"/>
      <c r="I698" s="72"/>
      <c r="J698" s="73"/>
      <c r="K698" s="62"/>
      <c r="L698" s="62"/>
      <c r="M698" s="62"/>
      <c r="N698" s="62"/>
      <c r="O698" s="62"/>
    </row>
    <row r="699" spans="1:15">
      <c r="A699" s="75">
        <f t="shared" si="10"/>
        <v>0</v>
      </c>
      <c r="B699" s="66"/>
      <c r="C699" s="66"/>
      <c r="D699" s="66"/>
      <c r="E699" s="68"/>
      <c r="F699" s="69"/>
      <c r="G699" s="70"/>
      <c r="H699" s="71"/>
      <c r="I699" s="72"/>
      <c r="J699" s="73"/>
      <c r="K699" s="62"/>
      <c r="L699" s="62"/>
      <c r="M699" s="62"/>
      <c r="N699" s="62"/>
      <c r="O699" s="62"/>
    </row>
    <row r="700" spans="1:15">
      <c r="A700" s="75">
        <f t="shared" si="10"/>
        <v>0</v>
      </c>
      <c r="B700" s="66"/>
      <c r="C700" s="66"/>
      <c r="D700" s="66"/>
      <c r="E700" s="68"/>
      <c r="F700" s="69"/>
      <c r="G700" s="70"/>
      <c r="H700" s="71"/>
      <c r="I700" s="72"/>
      <c r="J700" s="73"/>
      <c r="K700" s="62"/>
      <c r="L700" s="62"/>
      <c r="M700" s="62"/>
      <c r="N700" s="62"/>
      <c r="O700" s="62"/>
    </row>
    <row r="701" spans="1:15">
      <c r="A701" s="75">
        <f t="shared" si="10"/>
        <v>0</v>
      </c>
      <c r="B701" s="66"/>
      <c r="C701" s="66"/>
      <c r="D701" s="66"/>
      <c r="E701" s="68"/>
      <c r="F701" s="69"/>
      <c r="G701" s="70"/>
      <c r="H701" s="71"/>
      <c r="I701" s="72"/>
      <c r="J701" s="73"/>
      <c r="K701" s="62"/>
      <c r="L701" s="62"/>
      <c r="M701" s="62"/>
      <c r="N701" s="62"/>
      <c r="O701" s="62"/>
    </row>
    <row r="702" spans="1:15">
      <c r="A702" s="75">
        <f t="shared" si="10"/>
        <v>0</v>
      </c>
      <c r="B702" s="66"/>
      <c r="C702" s="66"/>
      <c r="D702" s="66"/>
      <c r="E702" s="68"/>
      <c r="F702" s="69"/>
      <c r="G702" s="70"/>
      <c r="H702" s="71"/>
      <c r="I702" s="72"/>
      <c r="J702" s="73"/>
      <c r="K702" s="62"/>
      <c r="L702" s="62"/>
      <c r="M702" s="62"/>
      <c r="N702" s="62"/>
      <c r="O702" s="62"/>
    </row>
    <row r="703" spans="1:15">
      <c r="A703" s="75">
        <f t="shared" si="10"/>
        <v>0</v>
      </c>
      <c r="B703" s="66"/>
      <c r="C703" s="66"/>
      <c r="D703" s="66"/>
      <c r="E703" s="68"/>
      <c r="F703" s="69"/>
      <c r="G703" s="70"/>
      <c r="H703" s="71"/>
      <c r="I703" s="72"/>
      <c r="J703" s="73"/>
      <c r="K703" s="62"/>
      <c r="L703" s="62"/>
      <c r="M703" s="62"/>
      <c r="N703" s="62"/>
      <c r="O703" s="62"/>
    </row>
    <row r="704" spans="1:15">
      <c r="A704" s="75">
        <f t="shared" si="10"/>
        <v>0</v>
      </c>
      <c r="B704" s="66"/>
      <c r="C704" s="66"/>
      <c r="D704" s="66"/>
      <c r="E704" s="68"/>
      <c r="F704" s="69"/>
      <c r="G704" s="70"/>
      <c r="H704" s="71"/>
      <c r="I704" s="72"/>
      <c r="J704" s="73"/>
      <c r="K704" s="62"/>
      <c r="L704" s="62"/>
      <c r="M704" s="62"/>
      <c r="N704" s="62"/>
      <c r="O704" s="62"/>
    </row>
    <row r="705" spans="1:15">
      <c r="A705" s="75">
        <f t="shared" si="10"/>
        <v>0</v>
      </c>
      <c r="B705" s="66"/>
      <c r="C705" s="66"/>
      <c r="D705" s="66"/>
      <c r="E705" s="68"/>
      <c r="F705" s="69"/>
      <c r="G705" s="70"/>
      <c r="H705" s="71"/>
      <c r="I705" s="72"/>
      <c r="J705" s="73"/>
      <c r="K705" s="62"/>
      <c r="L705" s="62"/>
      <c r="M705" s="62"/>
      <c r="N705" s="62"/>
      <c r="O705" s="62"/>
    </row>
    <row r="706" spans="1:15">
      <c r="A706" s="75">
        <f t="shared" si="10"/>
        <v>0</v>
      </c>
      <c r="B706" s="66"/>
      <c r="C706" s="66"/>
      <c r="D706" s="66"/>
      <c r="E706" s="68"/>
      <c r="F706" s="69"/>
      <c r="G706" s="70"/>
      <c r="H706" s="71"/>
      <c r="I706" s="72"/>
      <c r="J706" s="73"/>
      <c r="K706" s="62"/>
      <c r="L706" s="62"/>
      <c r="M706" s="62"/>
      <c r="N706" s="62"/>
      <c r="O706" s="62"/>
    </row>
    <row r="707" spans="1:15">
      <c r="A707" s="75">
        <f t="shared" si="10"/>
        <v>0</v>
      </c>
      <c r="B707" s="66"/>
      <c r="C707" s="66"/>
      <c r="D707" s="66"/>
      <c r="E707" s="68"/>
      <c r="F707" s="69"/>
      <c r="G707" s="70"/>
      <c r="H707" s="71"/>
      <c r="I707" s="72"/>
      <c r="J707" s="73"/>
      <c r="K707" s="62"/>
      <c r="L707" s="62"/>
      <c r="M707" s="62"/>
      <c r="N707" s="62"/>
      <c r="O707" s="62"/>
    </row>
    <row r="708" spans="1:15">
      <c r="A708" s="75">
        <f t="shared" si="10"/>
        <v>0</v>
      </c>
      <c r="B708" s="66"/>
      <c r="C708" s="66"/>
      <c r="D708" s="66"/>
      <c r="E708" s="68"/>
      <c r="F708" s="69"/>
      <c r="G708" s="70"/>
      <c r="H708" s="71"/>
      <c r="I708" s="72"/>
      <c r="J708" s="73"/>
      <c r="K708" s="62"/>
      <c r="L708" s="62"/>
      <c r="M708" s="62"/>
      <c r="N708" s="62"/>
      <c r="O708" s="62"/>
    </row>
    <row r="709" spans="1:15">
      <c r="A709" s="75">
        <f t="shared" si="10"/>
        <v>0</v>
      </c>
      <c r="B709" s="66"/>
      <c r="C709" s="66"/>
      <c r="D709" s="66"/>
      <c r="E709" s="68"/>
      <c r="F709" s="69"/>
      <c r="G709" s="70"/>
      <c r="H709" s="71"/>
      <c r="I709" s="72"/>
      <c r="J709" s="73"/>
      <c r="K709" s="62"/>
      <c r="L709" s="62"/>
      <c r="M709" s="62"/>
      <c r="N709" s="62"/>
      <c r="O709" s="62"/>
    </row>
    <row r="710" spans="1:15">
      <c r="A710" s="75">
        <f t="shared" si="10"/>
        <v>0</v>
      </c>
      <c r="B710" s="66"/>
      <c r="C710" s="66"/>
      <c r="D710" s="66"/>
      <c r="E710" s="68"/>
      <c r="F710" s="69"/>
      <c r="G710" s="70"/>
      <c r="H710" s="71"/>
      <c r="I710" s="72"/>
      <c r="J710" s="73"/>
      <c r="K710" s="62"/>
      <c r="L710" s="62"/>
      <c r="M710" s="62"/>
      <c r="N710" s="62"/>
      <c r="O710" s="62"/>
    </row>
    <row r="711" spans="1:15">
      <c r="A711" s="75">
        <f t="shared" si="10"/>
        <v>0</v>
      </c>
      <c r="B711" s="66"/>
      <c r="C711" s="66"/>
      <c r="D711" s="66"/>
      <c r="E711" s="68"/>
      <c r="F711" s="69"/>
      <c r="G711" s="70"/>
      <c r="H711" s="71"/>
      <c r="I711" s="72"/>
      <c r="J711" s="73"/>
      <c r="K711" s="62"/>
      <c r="L711" s="62"/>
      <c r="M711" s="62"/>
      <c r="N711" s="62"/>
      <c r="O711" s="62"/>
    </row>
    <row r="712" spans="1:15">
      <c r="A712" s="75">
        <f t="shared" si="10"/>
        <v>0</v>
      </c>
      <c r="B712" s="66"/>
      <c r="C712" s="66"/>
      <c r="D712" s="66"/>
      <c r="E712" s="68"/>
      <c r="F712" s="69"/>
      <c r="G712" s="70"/>
      <c r="H712" s="71"/>
      <c r="I712" s="72"/>
      <c r="J712" s="73"/>
      <c r="K712" s="62"/>
      <c r="L712" s="62"/>
      <c r="M712" s="62"/>
      <c r="N712" s="62"/>
      <c r="O712" s="62"/>
    </row>
    <row r="713" spans="1:15">
      <c r="A713" s="75">
        <f t="shared" si="10"/>
        <v>0</v>
      </c>
      <c r="B713" s="66"/>
      <c r="C713" s="66"/>
      <c r="D713" s="66"/>
      <c r="E713" s="68"/>
      <c r="F713" s="69"/>
      <c r="G713" s="70"/>
      <c r="H713" s="71"/>
      <c r="I713" s="72"/>
      <c r="J713" s="73"/>
      <c r="K713" s="62"/>
      <c r="L713" s="62"/>
      <c r="M713" s="62"/>
      <c r="N713" s="62"/>
      <c r="O713" s="62"/>
    </row>
    <row r="714" spans="1:15">
      <c r="A714" s="75">
        <f t="shared" ref="A714:A777" si="11">E714</f>
        <v>0</v>
      </c>
      <c r="B714" s="66"/>
      <c r="C714" s="66"/>
      <c r="D714" s="66"/>
      <c r="E714" s="68"/>
      <c r="F714" s="69"/>
      <c r="G714" s="70"/>
      <c r="H714" s="71"/>
      <c r="I714" s="72"/>
      <c r="J714" s="73"/>
      <c r="K714" s="62"/>
      <c r="L714" s="62"/>
      <c r="M714" s="62"/>
      <c r="N714" s="62"/>
      <c r="O714" s="62"/>
    </row>
    <row r="715" spans="1:15">
      <c r="A715" s="75">
        <f t="shared" si="11"/>
        <v>0</v>
      </c>
      <c r="B715" s="66"/>
      <c r="C715" s="66"/>
      <c r="D715" s="66"/>
      <c r="E715" s="68"/>
      <c r="F715" s="69"/>
      <c r="G715" s="70"/>
      <c r="H715" s="71"/>
      <c r="I715" s="72"/>
      <c r="J715" s="73"/>
      <c r="K715" s="62"/>
      <c r="L715" s="62"/>
      <c r="M715" s="62"/>
      <c r="N715" s="62"/>
      <c r="O715" s="62"/>
    </row>
    <row r="716" spans="1:15">
      <c r="A716" s="75">
        <f t="shared" si="11"/>
        <v>0</v>
      </c>
      <c r="B716" s="66"/>
      <c r="C716" s="66"/>
      <c r="D716" s="66"/>
      <c r="E716" s="68"/>
      <c r="F716" s="69"/>
      <c r="G716" s="70"/>
      <c r="H716" s="71"/>
      <c r="I716" s="72"/>
      <c r="J716" s="73"/>
      <c r="K716" s="62"/>
      <c r="L716" s="62"/>
      <c r="M716" s="62"/>
      <c r="N716" s="62"/>
      <c r="O716" s="62"/>
    </row>
    <row r="717" spans="1:15">
      <c r="A717" s="75">
        <f t="shared" si="11"/>
        <v>0</v>
      </c>
      <c r="B717" s="66"/>
      <c r="C717" s="66"/>
      <c r="D717" s="66"/>
      <c r="E717" s="68"/>
      <c r="F717" s="69"/>
      <c r="G717" s="70"/>
      <c r="H717" s="71"/>
      <c r="I717" s="72"/>
      <c r="J717" s="73"/>
      <c r="K717" s="62"/>
      <c r="L717" s="62"/>
      <c r="M717" s="62"/>
      <c r="N717" s="62"/>
      <c r="O717" s="62"/>
    </row>
    <row r="718" spans="1:15">
      <c r="A718" s="75">
        <f t="shared" si="11"/>
        <v>0</v>
      </c>
      <c r="B718" s="66"/>
      <c r="C718" s="66"/>
      <c r="D718" s="66"/>
      <c r="E718" s="68"/>
      <c r="F718" s="69"/>
      <c r="G718" s="70"/>
      <c r="H718" s="71"/>
      <c r="I718" s="72"/>
      <c r="J718" s="73"/>
      <c r="K718" s="62"/>
      <c r="L718" s="62"/>
      <c r="M718" s="62"/>
      <c r="N718" s="62"/>
      <c r="O718" s="62"/>
    </row>
    <row r="719" spans="1:15">
      <c r="A719" s="75">
        <f t="shared" si="11"/>
        <v>0</v>
      </c>
      <c r="B719" s="66"/>
      <c r="C719" s="66"/>
      <c r="D719" s="66"/>
      <c r="E719" s="68"/>
      <c r="F719" s="69"/>
      <c r="G719" s="70"/>
      <c r="H719" s="71"/>
      <c r="I719" s="72"/>
      <c r="J719" s="73"/>
      <c r="K719" s="62"/>
      <c r="L719" s="62"/>
      <c r="M719" s="62"/>
      <c r="N719" s="62"/>
      <c r="O719" s="62"/>
    </row>
    <row r="720" spans="1:15">
      <c r="A720" s="75">
        <f t="shared" si="11"/>
        <v>0</v>
      </c>
      <c r="B720" s="66"/>
      <c r="C720" s="66"/>
      <c r="D720" s="66"/>
      <c r="E720" s="68"/>
      <c r="F720" s="69"/>
      <c r="G720" s="70"/>
      <c r="H720" s="71"/>
      <c r="I720" s="72"/>
      <c r="J720" s="73"/>
      <c r="K720" s="62"/>
      <c r="L720" s="62"/>
      <c r="M720" s="62"/>
      <c r="N720" s="62"/>
      <c r="O720" s="62"/>
    </row>
    <row r="721" spans="1:15">
      <c r="A721" s="75">
        <f t="shared" si="11"/>
        <v>0</v>
      </c>
      <c r="B721" s="66"/>
      <c r="C721" s="66"/>
      <c r="D721" s="66"/>
      <c r="E721" s="68"/>
      <c r="F721" s="69"/>
      <c r="G721" s="70"/>
      <c r="H721" s="71"/>
      <c r="I721" s="72"/>
      <c r="J721" s="73"/>
      <c r="K721" s="62"/>
      <c r="L721" s="62"/>
      <c r="M721" s="62"/>
      <c r="N721" s="62"/>
      <c r="O721" s="62"/>
    </row>
    <row r="722" spans="1:15">
      <c r="A722" s="75">
        <f t="shared" si="11"/>
        <v>0</v>
      </c>
      <c r="B722" s="66"/>
      <c r="C722" s="66"/>
      <c r="D722" s="66"/>
      <c r="E722" s="68"/>
      <c r="F722" s="69"/>
      <c r="G722" s="70"/>
      <c r="H722" s="71"/>
      <c r="I722" s="72"/>
      <c r="J722" s="73"/>
      <c r="K722" s="62"/>
      <c r="L722" s="62"/>
      <c r="M722" s="62"/>
      <c r="N722" s="62"/>
      <c r="O722" s="62"/>
    </row>
    <row r="723" spans="1:15">
      <c r="A723" s="75">
        <f t="shared" si="11"/>
        <v>0</v>
      </c>
      <c r="B723" s="66"/>
      <c r="C723" s="66"/>
      <c r="D723" s="66"/>
      <c r="E723" s="68"/>
      <c r="F723" s="69"/>
      <c r="G723" s="70"/>
      <c r="H723" s="71"/>
      <c r="I723" s="72"/>
      <c r="J723" s="73"/>
      <c r="K723" s="62"/>
      <c r="L723" s="62"/>
      <c r="M723" s="62"/>
      <c r="N723" s="62"/>
      <c r="O723" s="62"/>
    </row>
    <row r="724" spans="1:15">
      <c r="A724" s="75">
        <f t="shared" si="11"/>
        <v>0</v>
      </c>
      <c r="B724" s="66"/>
      <c r="C724" s="66"/>
      <c r="D724" s="66"/>
      <c r="E724" s="68"/>
      <c r="F724" s="69"/>
      <c r="G724" s="70"/>
      <c r="H724" s="71"/>
      <c r="I724" s="72"/>
      <c r="J724" s="73"/>
      <c r="K724" s="62"/>
      <c r="L724" s="62"/>
      <c r="M724" s="62"/>
      <c r="N724" s="62"/>
      <c r="O724" s="62"/>
    </row>
    <row r="725" spans="1:15">
      <c r="A725" s="75">
        <f t="shared" si="11"/>
        <v>0</v>
      </c>
      <c r="B725" s="66"/>
      <c r="C725" s="66"/>
      <c r="D725" s="66"/>
      <c r="E725" s="68"/>
      <c r="F725" s="69"/>
      <c r="G725" s="70"/>
      <c r="H725" s="71"/>
      <c r="I725" s="72"/>
      <c r="J725" s="73"/>
      <c r="K725" s="62"/>
      <c r="L725" s="62"/>
      <c r="M725" s="62"/>
      <c r="N725" s="62"/>
      <c r="O725" s="62"/>
    </row>
    <row r="726" spans="1:15">
      <c r="A726" s="75">
        <f t="shared" si="11"/>
        <v>0</v>
      </c>
      <c r="B726" s="66"/>
      <c r="C726" s="66"/>
      <c r="D726" s="66"/>
      <c r="E726" s="68"/>
      <c r="F726" s="69"/>
      <c r="G726" s="70"/>
      <c r="H726" s="71"/>
      <c r="I726" s="72"/>
      <c r="J726" s="73"/>
      <c r="K726" s="62"/>
      <c r="L726" s="62"/>
      <c r="M726" s="62"/>
      <c r="N726" s="62"/>
      <c r="O726" s="62"/>
    </row>
    <row r="727" spans="1:15">
      <c r="A727" s="75">
        <f t="shared" si="11"/>
        <v>0</v>
      </c>
      <c r="B727" s="66"/>
      <c r="C727" s="66"/>
      <c r="D727" s="66"/>
      <c r="E727" s="68"/>
      <c r="F727" s="69"/>
      <c r="G727" s="70"/>
      <c r="H727" s="71"/>
      <c r="I727" s="72"/>
      <c r="J727" s="73"/>
      <c r="K727" s="62"/>
      <c r="L727" s="62"/>
      <c r="M727" s="62"/>
      <c r="N727" s="62"/>
      <c r="O727" s="62"/>
    </row>
    <row r="728" spans="1:15">
      <c r="A728" s="75">
        <f t="shared" si="11"/>
        <v>0</v>
      </c>
      <c r="B728" s="66"/>
      <c r="C728" s="66"/>
      <c r="D728" s="66"/>
      <c r="E728" s="68"/>
      <c r="F728" s="69"/>
      <c r="G728" s="70"/>
      <c r="H728" s="71"/>
      <c r="I728" s="72"/>
      <c r="J728" s="73"/>
      <c r="K728" s="62"/>
      <c r="L728" s="62"/>
      <c r="M728" s="62"/>
      <c r="N728" s="62"/>
      <c r="O728" s="62"/>
    </row>
    <row r="729" spans="1:15">
      <c r="A729" s="75">
        <f t="shared" si="11"/>
        <v>0</v>
      </c>
      <c r="B729" s="66"/>
      <c r="C729" s="66"/>
      <c r="D729" s="66"/>
      <c r="E729" s="68"/>
      <c r="F729" s="69"/>
      <c r="G729" s="70"/>
      <c r="H729" s="71"/>
      <c r="I729" s="72"/>
      <c r="J729" s="73"/>
      <c r="K729" s="62"/>
      <c r="L729" s="62"/>
      <c r="M729" s="62"/>
      <c r="N729" s="62"/>
      <c r="O729" s="62"/>
    </row>
    <row r="730" spans="1:15">
      <c r="A730" s="75">
        <f t="shared" si="11"/>
        <v>0</v>
      </c>
      <c r="B730" s="66"/>
      <c r="C730" s="66"/>
      <c r="D730" s="66"/>
      <c r="E730" s="68"/>
      <c r="F730" s="69"/>
      <c r="G730" s="70"/>
      <c r="H730" s="71"/>
      <c r="I730" s="72"/>
      <c r="J730" s="73"/>
      <c r="K730" s="62"/>
      <c r="L730" s="62"/>
      <c r="M730" s="62"/>
      <c r="N730" s="62"/>
      <c r="O730" s="62"/>
    </row>
    <row r="731" spans="1:15">
      <c r="A731" s="75">
        <f t="shared" si="11"/>
        <v>0</v>
      </c>
      <c r="B731" s="66"/>
      <c r="C731" s="66"/>
      <c r="D731" s="66"/>
      <c r="E731" s="68"/>
      <c r="F731" s="69"/>
      <c r="G731" s="70"/>
      <c r="H731" s="71"/>
      <c r="I731" s="72"/>
      <c r="J731" s="73"/>
      <c r="K731" s="62"/>
      <c r="L731" s="62"/>
      <c r="M731" s="62"/>
      <c r="N731" s="62"/>
      <c r="O731" s="62"/>
    </row>
    <row r="732" spans="1:15">
      <c r="A732" s="75">
        <f t="shared" si="11"/>
        <v>0</v>
      </c>
      <c r="B732" s="66"/>
      <c r="C732" s="66"/>
      <c r="D732" s="66"/>
      <c r="E732" s="68"/>
      <c r="F732" s="69"/>
      <c r="G732" s="70"/>
      <c r="H732" s="71"/>
      <c r="I732" s="72"/>
      <c r="J732" s="73"/>
      <c r="K732" s="62"/>
      <c r="L732" s="62"/>
      <c r="M732" s="62"/>
      <c r="N732" s="62"/>
      <c r="O732" s="62"/>
    </row>
    <row r="733" spans="1:15">
      <c r="A733" s="75">
        <f t="shared" si="11"/>
        <v>0</v>
      </c>
      <c r="B733" s="66"/>
      <c r="C733" s="66"/>
      <c r="D733" s="66"/>
      <c r="E733" s="68"/>
      <c r="F733" s="69"/>
      <c r="G733" s="70"/>
      <c r="H733" s="71"/>
      <c r="I733" s="72"/>
      <c r="J733" s="73"/>
      <c r="K733" s="62"/>
      <c r="L733" s="62"/>
      <c r="M733" s="62"/>
      <c r="N733" s="62"/>
      <c r="O733" s="62"/>
    </row>
    <row r="734" spans="1:15">
      <c r="A734" s="75">
        <f t="shared" si="11"/>
        <v>0</v>
      </c>
      <c r="B734" s="66"/>
      <c r="C734" s="66"/>
      <c r="D734" s="66"/>
      <c r="E734" s="68"/>
      <c r="F734" s="69"/>
      <c r="G734" s="70"/>
      <c r="H734" s="71"/>
      <c r="I734" s="72"/>
      <c r="J734" s="73"/>
      <c r="K734" s="62"/>
      <c r="L734" s="62"/>
      <c r="M734" s="62"/>
      <c r="N734" s="62"/>
      <c r="O734" s="62"/>
    </row>
    <row r="735" spans="1:15">
      <c r="A735" s="75">
        <f t="shared" si="11"/>
        <v>0</v>
      </c>
      <c r="B735" s="66"/>
      <c r="C735" s="66"/>
      <c r="D735" s="66"/>
      <c r="E735" s="68"/>
      <c r="F735" s="69"/>
      <c r="G735" s="70"/>
      <c r="H735" s="71"/>
      <c r="I735" s="72"/>
      <c r="J735" s="73"/>
      <c r="K735" s="62"/>
      <c r="L735" s="62"/>
      <c r="M735" s="62"/>
      <c r="N735" s="62"/>
      <c r="O735" s="62"/>
    </row>
    <row r="736" spans="1:15">
      <c r="A736" s="75">
        <f t="shared" si="11"/>
        <v>0</v>
      </c>
      <c r="B736" s="66"/>
      <c r="C736" s="66"/>
      <c r="D736" s="66"/>
      <c r="E736" s="68"/>
      <c r="F736" s="69"/>
      <c r="G736" s="70"/>
      <c r="H736" s="71"/>
      <c r="I736" s="72"/>
      <c r="J736" s="73"/>
      <c r="K736" s="62"/>
      <c r="L736" s="62"/>
      <c r="M736" s="62"/>
      <c r="N736" s="62"/>
      <c r="O736" s="62"/>
    </row>
    <row r="737" spans="1:15">
      <c r="A737" s="75">
        <f t="shared" si="11"/>
        <v>0</v>
      </c>
      <c r="B737" s="66"/>
      <c r="C737" s="66"/>
      <c r="D737" s="66"/>
      <c r="E737" s="68"/>
      <c r="F737" s="69"/>
      <c r="G737" s="70"/>
      <c r="H737" s="71"/>
      <c r="I737" s="72"/>
      <c r="J737" s="73"/>
      <c r="K737" s="62"/>
      <c r="L737" s="62"/>
      <c r="M737" s="62"/>
      <c r="N737" s="62"/>
      <c r="O737" s="62"/>
    </row>
    <row r="738" spans="1:15">
      <c r="A738" s="75">
        <f t="shared" si="11"/>
        <v>0</v>
      </c>
      <c r="B738" s="66"/>
      <c r="C738" s="66"/>
      <c r="D738" s="66"/>
      <c r="E738" s="68"/>
      <c r="F738" s="69"/>
      <c r="G738" s="70"/>
      <c r="H738" s="71"/>
      <c r="I738" s="72"/>
      <c r="J738" s="73"/>
      <c r="K738" s="62"/>
      <c r="L738" s="62"/>
      <c r="M738" s="62"/>
      <c r="N738" s="62"/>
      <c r="O738" s="62"/>
    </row>
    <row r="739" spans="1:15">
      <c r="A739" s="75">
        <f t="shared" si="11"/>
        <v>0</v>
      </c>
      <c r="B739" s="66"/>
      <c r="C739" s="66"/>
      <c r="D739" s="66"/>
      <c r="E739" s="68"/>
      <c r="F739" s="69"/>
      <c r="G739" s="70"/>
      <c r="H739" s="71"/>
      <c r="I739" s="72"/>
      <c r="J739" s="73"/>
      <c r="K739" s="62"/>
      <c r="L739" s="62"/>
      <c r="M739" s="62"/>
      <c r="N739" s="62"/>
      <c r="O739" s="62"/>
    </row>
    <row r="740" spans="1:15">
      <c r="A740" s="75">
        <f t="shared" si="11"/>
        <v>0</v>
      </c>
      <c r="B740" s="66"/>
      <c r="C740" s="66"/>
      <c r="D740" s="66"/>
      <c r="E740" s="68"/>
      <c r="F740" s="69"/>
      <c r="G740" s="70"/>
      <c r="H740" s="71"/>
      <c r="I740" s="72"/>
      <c r="J740" s="73"/>
      <c r="K740" s="62"/>
      <c r="L740" s="62"/>
      <c r="M740" s="62"/>
      <c r="N740" s="62"/>
      <c r="O740" s="62"/>
    </row>
    <row r="741" spans="1:15">
      <c r="A741" s="75">
        <f t="shared" si="11"/>
        <v>0</v>
      </c>
      <c r="B741" s="66"/>
      <c r="C741" s="66"/>
      <c r="D741" s="66"/>
      <c r="E741" s="68"/>
      <c r="F741" s="69"/>
      <c r="G741" s="70"/>
      <c r="H741" s="71"/>
      <c r="I741" s="72"/>
      <c r="J741" s="73"/>
      <c r="K741" s="62"/>
      <c r="L741" s="62"/>
      <c r="M741" s="62"/>
      <c r="N741" s="62"/>
      <c r="O741" s="62"/>
    </row>
    <row r="742" spans="1:15">
      <c r="A742" s="75">
        <f t="shared" si="11"/>
        <v>0</v>
      </c>
      <c r="B742" s="66"/>
      <c r="C742" s="66"/>
      <c r="D742" s="66"/>
      <c r="E742" s="68"/>
      <c r="F742" s="69"/>
      <c r="G742" s="70"/>
      <c r="H742" s="71"/>
      <c r="I742" s="72"/>
      <c r="J742" s="73"/>
      <c r="K742" s="62"/>
      <c r="L742" s="62"/>
      <c r="M742" s="62"/>
      <c r="N742" s="62"/>
      <c r="O742" s="62"/>
    </row>
    <row r="743" spans="1:15">
      <c r="A743" s="75">
        <f t="shared" si="11"/>
        <v>0</v>
      </c>
      <c r="B743" s="66"/>
      <c r="C743" s="66"/>
      <c r="D743" s="66"/>
      <c r="E743" s="68"/>
      <c r="F743" s="69"/>
      <c r="G743" s="70"/>
      <c r="H743" s="71"/>
      <c r="I743" s="72"/>
      <c r="J743" s="73"/>
      <c r="K743" s="62"/>
      <c r="L743" s="62"/>
      <c r="M743" s="62"/>
      <c r="N743" s="62"/>
      <c r="O743" s="62"/>
    </row>
    <row r="744" spans="1:15">
      <c r="A744" s="75">
        <f t="shared" si="11"/>
        <v>0</v>
      </c>
      <c r="B744" s="66"/>
      <c r="C744" s="66"/>
      <c r="D744" s="66"/>
      <c r="E744" s="68"/>
      <c r="F744" s="69"/>
      <c r="G744" s="70"/>
      <c r="H744" s="71"/>
      <c r="I744" s="72"/>
      <c r="J744" s="73"/>
      <c r="K744" s="62"/>
      <c r="L744" s="62"/>
      <c r="M744" s="62"/>
      <c r="N744" s="62"/>
      <c r="O744" s="62"/>
    </row>
    <row r="745" spans="1:15">
      <c r="A745" s="75">
        <f t="shared" si="11"/>
        <v>0</v>
      </c>
      <c r="B745" s="66"/>
      <c r="C745" s="66"/>
      <c r="D745" s="66"/>
      <c r="E745" s="68"/>
      <c r="F745" s="69"/>
      <c r="G745" s="70"/>
      <c r="H745" s="71"/>
      <c r="I745" s="72"/>
      <c r="J745" s="73"/>
      <c r="K745" s="62"/>
      <c r="L745" s="62"/>
      <c r="M745" s="62"/>
      <c r="N745" s="62"/>
      <c r="O745" s="62"/>
    </row>
    <row r="746" spans="1:15">
      <c r="A746" s="75">
        <f t="shared" si="11"/>
        <v>0</v>
      </c>
      <c r="B746" s="66"/>
      <c r="C746" s="66"/>
      <c r="D746" s="66"/>
      <c r="E746" s="68"/>
      <c r="F746" s="69"/>
      <c r="G746" s="70"/>
      <c r="H746" s="71"/>
      <c r="I746" s="72"/>
      <c r="J746" s="73"/>
      <c r="K746" s="62"/>
      <c r="L746" s="62"/>
      <c r="M746" s="62"/>
      <c r="N746" s="62"/>
      <c r="O746" s="62"/>
    </row>
    <row r="747" spans="1:15">
      <c r="A747" s="75">
        <f t="shared" si="11"/>
        <v>0</v>
      </c>
      <c r="B747" s="66"/>
      <c r="C747" s="66"/>
      <c r="D747" s="66"/>
      <c r="E747" s="68"/>
      <c r="F747" s="69"/>
      <c r="G747" s="70"/>
      <c r="H747" s="71"/>
      <c r="I747" s="72"/>
      <c r="J747" s="73"/>
      <c r="K747" s="62"/>
      <c r="L747" s="62"/>
      <c r="M747" s="62"/>
      <c r="N747" s="62"/>
      <c r="O747" s="62"/>
    </row>
    <row r="748" spans="1:15">
      <c r="A748" s="75">
        <f t="shared" si="11"/>
        <v>0</v>
      </c>
      <c r="B748" s="66"/>
      <c r="C748" s="66"/>
      <c r="D748" s="66"/>
      <c r="E748" s="68"/>
      <c r="F748" s="69"/>
      <c r="G748" s="70"/>
      <c r="H748" s="71"/>
      <c r="I748" s="72"/>
      <c r="J748" s="73"/>
      <c r="K748" s="62"/>
      <c r="L748" s="62"/>
      <c r="M748" s="62"/>
      <c r="N748" s="62"/>
      <c r="O748" s="62"/>
    </row>
    <row r="749" spans="1:15">
      <c r="A749" s="75">
        <f t="shared" si="11"/>
        <v>0</v>
      </c>
      <c r="B749" s="66"/>
      <c r="C749" s="66"/>
      <c r="D749" s="66"/>
      <c r="E749" s="68"/>
      <c r="F749" s="69"/>
      <c r="G749" s="70"/>
      <c r="H749" s="71"/>
      <c r="I749" s="72"/>
      <c r="J749" s="73"/>
      <c r="K749" s="62"/>
      <c r="L749" s="62"/>
      <c r="M749" s="62"/>
      <c r="N749" s="62"/>
      <c r="O749" s="62"/>
    </row>
    <row r="750" spans="1:15">
      <c r="A750" s="75">
        <f t="shared" si="11"/>
        <v>0</v>
      </c>
      <c r="B750" s="66"/>
      <c r="C750" s="66"/>
      <c r="D750" s="66"/>
      <c r="E750" s="68"/>
      <c r="F750" s="69"/>
      <c r="G750" s="70"/>
      <c r="H750" s="71"/>
      <c r="I750" s="72"/>
      <c r="J750" s="73"/>
      <c r="K750" s="62"/>
      <c r="L750" s="62"/>
      <c r="M750" s="62"/>
      <c r="N750" s="62"/>
      <c r="O750" s="62"/>
    </row>
    <row r="751" spans="1:15">
      <c r="A751" s="75">
        <f t="shared" si="11"/>
        <v>0</v>
      </c>
      <c r="B751" s="66"/>
      <c r="C751" s="66"/>
      <c r="D751" s="66"/>
      <c r="E751" s="68"/>
      <c r="F751" s="69"/>
      <c r="G751" s="70"/>
      <c r="H751" s="71"/>
      <c r="I751" s="72"/>
      <c r="J751" s="73"/>
      <c r="K751" s="62"/>
      <c r="L751" s="62"/>
      <c r="M751" s="62"/>
      <c r="N751" s="62"/>
      <c r="O751" s="62"/>
    </row>
    <row r="752" spans="1:15">
      <c r="A752" s="75">
        <f t="shared" si="11"/>
        <v>0</v>
      </c>
      <c r="B752" s="66"/>
      <c r="C752" s="66"/>
      <c r="D752" s="66"/>
      <c r="E752" s="68"/>
      <c r="F752" s="69"/>
      <c r="G752" s="70"/>
      <c r="H752" s="71"/>
      <c r="I752" s="72"/>
      <c r="J752" s="73"/>
      <c r="K752" s="62"/>
      <c r="L752" s="62"/>
      <c r="M752" s="62"/>
      <c r="N752" s="62"/>
      <c r="O752" s="62"/>
    </row>
    <row r="753" spans="1:15">
      <c r="A753" s="75">
        <f t="shared" si="11"/>
        <v>0</v>
      </c>
      <c r="B753" s="66"/>
      <c r="C753" s="66"/>
      <c r="D753" s="66"/>
      <c r="E753" s="68"/>
      <c r="F753" s="69"/>
      <c r="G753" s="70"/>
      <c r="H753" s="71"/>
      <c r="I753" s="72"/>
      <c r="J753" s="73"/>
      <c r="K753" s="62"/>
      <c r="L753" s="62"/>
      <c r="M753" s="62"/>
      <c r="N753" s="62"/>
      <c r="O753" s="62"/>
    </row>
    <row r="754" spans="1:15">
      <c r="A754" s="75">
        <f t="shared" si="11"/>
        <v>0</v>
      </c>
      <c r="B754" s="66"/>
      <c r="C754" s="66"/>
      <c r="D754" s="66"/>
      <c r="E754" s="68"/>
      <c r="F754" s="69"/>
      <c r="G754" s="70"/>
      <c r="H754" s="71"/>
      <c r="I754" s="72"/>
      <c r="J754" s="73"/>
      <c r="K754" s="62"/>
      <c r="L754" s="62"/>
      <c r="M754" s="62"/>
      <c r="N754" s="62"/>
      <c r="O754" s="62"/>
    </row>
    <row r="755" spans="1:15">
      <c r="A755" s="75">
        <f t="shared" si="11"/>
        <v>0</v>
      </c>
      <c r="B755" s="66"/>
      <c r="C755" s="66"/>
      <c r="D755" s="66"/>
      <c r="E755" s="68"/>
      <c r="F755" s="69"/>
      <c r="G755" s="70"/>
      <c r="H755" s="71"/>
      <c r="I755" s="72"/>
      <c r="J755" s="73"/>
      <c r="K755" s="62"/>
      <c r="L755" s="62"/>
      <c r="M755" s="62"/>
      <c r="N755" s="62"/>
      <c r="O755" s="62"/>
    </row>
    <row r="756" spans="1:15">
      <c r="A756" s="75">
        <f t="shared" si="11"/>
        <v>0</v>
      </c>
      <c r="B756" s="66"/>
      <c r="C756" s="66"/>
      <c r="D756" s="66"/>
      <c r="E756" s="68"/>
      <c r="F756" s="69"/>
      <c r="G756" s="70"/>
      <c r="H756" s="71"/>
      <c r="I756" s="72"/>
      <c r="J756" s="73"/>
      <c r="K756" s="62"/>
      <c r="L756" s="62"/>
      <c r="M756" s="62"/>
      <c r="N756" s="62"/>
      <c r="O756" s="62"/>
    </row>
    <row r="757" spans="1:15">
      <c r="A757" s="75">
        <f t="shared" si="11"/>
        <v>0</v>
      </c>
      <c r="B757" s="66"/>
      <c r="C757" s="66"/>
      <c r="D757" s="66"/>
      <c r="E757" s="68"/>
      <c r="F757" s="69"/>
      <c r="G757" s="70"/>
      <c r="H757" s="71"/>
      <c r="I757" s="72"/>
      <c r="J757" s="73"/>
      <c r="K757" s="62"/>
      <c r="L757" s="62"/>
      <c r="M757" s="62"/>
      <c r="N757" s="62"/>
      <c r="O757" s="62"/>
    </row>
    <row r="758" spans="1:15">
      <c r="A758" s="75">
        <f t="shared" si="11"/>
        <v>0</v>
      </c>
      <c r="B758" s="66"/>
      <c r="C758" s="66"/>
      <c r="D758" s="66"/>
      <c r="E758" s="68"/>
      <c r="F758" s="69"/>
      <c r="G758" s="70"/>
      <c r="H758" s="71"/>
      <c r="I758" s="72"/>
      <c r="J758" s="73"/>
      <c r="K758" s="62"/>
      <c r="L758" s="62"/>
      <c r="M758" s="62"/>
      <c r="N758" s="62"/>
      <c r="O758" s="62"/>
    </row>
    <row r="759" spans="1:15">
      <c r="A759" s="75">
        <f t="shared" si="11"/>
        <v>0</v>
      </c>
      <c r="B759" s="66"/>
      <c r="C759" s="66"/>
      <c r="D759" s="66"/>
      <c r="E759" s="68"/>
      <c r="F759" s="69"/>
      <c r="G759" s="70"/>
      <c r="H759" s="71"/>
      <c r="I759" s="72"/>
      <c r="J759" s="73"/>
      <c r="K759" s="62"/>
      <c r="L759" s="62"/>
      <c r="M759" s="62"/>
      <c r="N759" s="62"/>
      <c r="O759" s="62"/>
    </row>
    <row r="760" spans="1:15">
      <c r="A760" s="75">
        <f t="shared" si="11"/>
        <v>0</v>
      </c>
      <c r="B760" s="66"/>
      <c r="C760" s="66"/>
      <c r="D760" s="66"/>
      <c r="E760" s="68"/>
      <c r="F760" s="69"/>
      <c r="G760" s="70"/>
      <c r="H760" s="71"/>
      <c r="I760" s="72"/>
      <c r="J760" s="73"/>
      <c r="K760" s="62"/>
      <c r="L760" s="62"/>
      <c r="M760" s="62"/>
      <c r="N760" s="62"/>
      <c r="O760" s="62"/>
    </row>
    <row r="761" spans="1:15">
      <c r="A761" s="75">
        <f t="shared" si="11"/>
        <v>0</v>
      </c>
      <c r="B761" s="66"/>
      <c r="C761" s="66"/>
      <c r="D761" s="66"/>
      <c r="E761" s="68"/>
      <c r="F761" s="69"/>
      <c r="G761" s="70"/>
      <c r="H761" s="71"/>
      <c r="I761" s="72"/>
      <c r="J761" s="73"/>
      <c r="K761" s="62"/>
      <c r="L761" s="62"/>
      <c r="M761" s="62"/>
      <c r="N761" s="62"/>
      <c r="O761" s="62"/>
    </row>
    <row r="762" spans="1:15">
      <c r="A762" s="75">
        <f t="shared" si="11"/>
        <v>0</v>
      </c>
      <c r="B762" s="66"/>
      <c r="C762" s="66"/>
      <c r="D762" s="66"/>
      <c r="E762" s="68"/>
      <c r="F762" s="69"/>
      <c r="G762" s="70"/>
      <c r="H762" s="71"/>
      <c r="I762" s="72"/>
      <c r="J762" s="73"/>
      <c r="K762" s="62"/>
      <c r="L762" s="62"/>
      <c r="M762" s="62"/>
      <c r="N762" s="62"/>
      <c r="O762" s="62"/>
    </row>
    <row r="763" spans="1:15">
      <c r="A763" s="75">
        <f t="shared" si="11"/>
        <v>0</v>
      </c>
      <c r="B763" s="66"/>
      <c r="C763" s="66"/>
      <c r="D763" s="66"/>
      <c r="E763" s="68"/>
      <c r="F763" s="69"/>
      <c r="G763" s="70"/>
      <c r="H763" s="71"/>
      <c r="I763" s="72"/>
      <c r="J763" s="73"/>
      <c r="K763" s="62"/>
      <c r="L763" s="62"/>
      <c r="M763" s="62"/>
      <c r="N763" s="62"/>
      <c r="O763" s="62"/>
    </row>
    <row r="764" spans="1:15">
      <c r="A764" s="75">
        <f t="shared" si="11"/>
        <v>0</v>
      </c>
      <c r="B764" s="66"/>
      <c r="C764" s="66"/>
      <c r="D764" s="66"/>
      <c r="E764" s="68"/>
      <c r="F764" s="69"/>
      <c r="G764" s="70"/>
      <c r="H764" s="71"/>
      <c r="I764" s="72"/>
      <c r="J764" s="73"/>
      <c r="K764" s="62"/>
      <c r="L764" s="62"/>
      <c r="M764" s="62"/>
      <c r="N764" s="62"/>
      <c r="O764" s="62"/>
    </row>
    <row r="765" spans="1:15">
      <c r="A765" s="75">
        <f t="shared" si="11"/>
        <v>0</v>
      </c>
      <c r="B765" s="66"/>
      <c r="C765" s="66"/>
      <c r="D765" s="66"/>
      <c r="E765" s="68"/>
      <c r="F765" s="69"/>
      <c r="G765" s="70"/>
      <c r="H765" s="71"/>
      <c r="I765" s="72"/>
      <c r="J765" s="73"/>
      <c r="K765" s="62"/>
      <c r="L765" s="62"/>
      <c r="M765" s="62"/>
      <c r="N765" s="62"/>
      <c r="O765" s="62"/>
    </row>
    <row r="766" spans="1:15">
      <c r="A766" s="75">
        <f t="shared" si="11"/>
        <v>0</v>
      </c>
      <c r="B766" s="66"/>
      <c r="C766" s="66"/>
      <c r="D766" s="66"/>
      <c r="E766" s="68"/>
      <c r="F766" s="69"/>
      <c r="G766" s="70"/>
      <c r="H766" s="71"/>
      <c r="I766" s="72"/>
      <c r="J766" s="73"/>
      <c r="K766" s="62"/>
      <c r="L766" s="62"/>
      <c r="M766" s="62"/>
      <c r="N766" s="62"/>
      <c r="O766" s="62"/>
    </row>
    <row r="767" spans="1:15">
      <c r="A767" s="75">
        <f t="shared" si="11"/>
        <v>0</v>
      </c>
      <c r="B767" s="66"/>
      <c r="C767" s="66"/>
      <c r="D767" s="66"/>
      <c r="E767" s="68"/>
      <c r="F767" s="69"/>
      <c r="G767" s="70"/>
      <c r="H767" s="71"/>
      <c r="I767" s="72"/>
      <c r="J767" s="73"/>
      <c r="K767" s="62"/>
      <c r="L767" s="62"/>
      <c r="M767" s="62"/>
      <c r="N767" s="62"/>
      <c r="O767" s="62"/>
    </row>
    <row r="768" spans="1:15">
      <c r="A768" s="75">
        <f t="shared" si="11"/>
        <v>0</v>
      </c>
      <c r="B768" s="66"/>
      <c r="C768" s="66"/>
      <c r="D768" s="66"/>
      <c r="E768" s="68"/>
      <c r="F768" s="69"/>
      <c r="G768" s="70"/>
      <c r="H768" s="71"/>
      <c r="I768" s="72"/>
      <c r="J768" s="73"/>
      <c r="K768" s="62"/>
      <c r="L768" s="62"/>
      <c r="M768" s="62"/>
      <c r="N768" s="62"/>
      <c r="O768" s="62"/>
    </row>
    <row r="769" spans="1:15">
      <c r="A769" s="75">
        <f t="shared" si="11"/>
        <v>0</v>
      </c>
      <c r="B769" s="66"/>
      <c r="C769" s="66"/>
      <c r="D769" s="66"/>
      <c r="E769" s="68"/>
      <c r="F769" s="69"/>
      <c r="G769" s="70"/>
      <c r="H769" s="71"/>
      <c r="I769" s="72"/>
      <c r="J769" s="73"/>
      <c r="K769" s="62"/>
      <c r="L769" s="62"/>
      <c r="M769" s="62"/>
      <c r="N769" s="62"/>
      <c r="O769" s="62"/>
    </row>
    <row r="770" spans="1:15">
      <c r="A770" s="75">
        <f t="shared" si="11"/>
        <v>0</v>
      </c>
      <c r="B770" s="66"/>
      <c r="C770" s="66"/>
      <c r="D770" s="66"/>
      <c r="E770" s="68"/>
      <c r="F770" s="69"/>
      <c r="G770" s="70"/>
      <c r="H770" s="71"/>
      <c r="I770" s="72"/>
      <c r="J770" s="73"/>
      <c r="K770" s="62"/>
      <c r="L770" s="62"/>
      <c r="M770" s="62"/>
      <c r="N770" s="62"/>
      <c r="O770" s="62"/>
    </row>
    <row r="771" spans="1:15">
      <c r="A771" s="75">
        <f t="shared" si="11"/>
        <v>0</v>
      </c>
      <c r="B771" s="66"/>
      <c r="C771" s="66"/>
      <c r="D771" s="66"/>
      <c r="E771" s="68"/>
      <c r="F771" s="69"/>
      <c r="G771" s="70"/>
      <c r="H771" s="71"/>
      <c r="I771" s="72"/>
      <c r="J771" s="73"/>
      <c r="K771" s="62"/>
      <c r="L771" s="62"/>
      <c r="M771" s="62"/>
      <c r="N771" s="62"/>
      <c r="O771" s="62"/>
    </row>
    <row r="772" spans="1:15">
      <c r="A772" s="75">
        <f t="shared" si="11"/>
        <v>0</v>
      </c>
      <c r="B772" s="66"/>
      <c r="C772" s="66"/>
      <c r="D772" s="66"/>
      <c r="E772" s="68"/>
      <c r="F772" s="69"/>
      <c r="G772" s="70"/>
      <c r="H772" s="71"/>
      <c r="I772" s="72"/>
      <c r="J772" s="73"/>
      <c r="K772" s="62"/>
      <c r="L772" s="62"/>
      <c r="M772" s="62"/>
      <c r="N772" s="62"/>
      <c r="O772" s="62"/>
    </row>
    <row r="773" spans="1:15">
      <c r="A773" s="75">
        <f t="shared" si="11"/>
        <v>0</v>
      </c>
      <c r="B773" s="66"/>
      <c r="C773" s="66"/>
      <c r="D773" s="66"/>
      <c r="E773" s="68"/>
      <c r="F773" s="69"/>
      <c r="G773" s="70"/>
      <c r="H773" s="71"/>
      <c r="I773" s="72"/>
      <c r="J773" s="73"/>
      <c r="K773" s="62"/>
      <c r="L773" s="62"/>
      <c r="M773" s="62"/>
      <c r="N773" s="62"/>
      <c r="O773" s="62"/>
    </row>
    <row r="774" spans="1:15">
      <c r="A774" s="75">
        <f t="shared" si="11"/>
        <v>0</v>
      </c>
      <c r="B774" s="66"/>
      <c r="C774" s="66"/>
      <c r="D774" s="66"/>
      <c r="E774" s="68"/>
      <c r="F774" s="69"/>
      <c r="G774" s="70"/>
      <c r="H774" s="71"/>
      <c r="I774" s="72"/>
      <c r="J774" s="73"/>
      <c r="K774" s="62"/>
      <c r="L774" s="62"/>
      <c r="M774" s="62"/>
      <c r="N774" s="62"/>
      <c r="O774" s="62"/>
    </row>
    <row r="775" spans="1:15">
      <c r="A775" s="75">
        <f t="shared" si="11"/>
        <v>0</v>
      </c>
      <c r="B775" s="66"/>
      <c r="C775" s="66"/>
      <c r="D775" s="66"/>
      <c r="E775" s="68"/>
      <c r="F775" s="69"/>
      <c r="G775" s="70"/>
      <c r="H775" s="71"/>
      <c r="I775" s="72"/>
      <c r="J775" s="73"/>
      <c r="K775" s="62"/>
      <c r="L775" s="62"/>
      <c r="M775" s="62"/>
      <c r="N775" s="62"/>
      <c r="O775" s="62"/>
    </row>
    <row r="776" spans="1:15">
      <c r="A776" s="75">
        <f t="shared" si="11"/>
        <v>0</v>
      </c>
      <c r="B776" s="66"/>
      <c r="C776" s="66"/>
      <c r="D776" s="66"/>
      <c r="E776" s="68"/>
      <c r="F776" s="69"/>
      <c r="G776" s="70"/>
      <c r="H776" s="71"/>
      <c r="I776" s="72"/>
      <c r="J776" s="73"/>
      <c r="K776" s="62"/>
      <c r="L776" s="62"/>
      <c r="M776" s="62"/>
      <c r="N776" s="62"/>
      <c r="O776" s="62"/>
    </row>
    <row r="777" spans="1:15">
      <c r="A777" s="75">
        <f t="shared" si="11"/>
        <v>0</v>
      </c>
      <c r="B777" s="66"/>
      <c r="C777" s="66"/>
      <c r="D777" s="66"/>
      <c r="E777" s="68"/>
      <c r="F777" s="69"/>
      <c r="G777" s="70"/>
      <c r="H777" s="71"/>
      <c r="I777" s="72"/>
      <c r="J777" s="73"/>
      <c r="K777" s="62"/>
      <c r="L777" s="62"/>
      <c r="M777" s="62"/>
      <c r="N777" s="62"/>
      <c r="O777" s="62"/>
    </row>
    <row r="778" spans="1:15">
      <c r="A778" s="75">
        <f t="shared" ref="A778:A841" si="12">E778</f>
        <v>0</v>
      </c>
      <c r="B778" s="66"/>
      <c r="C778" s="66"/>
      <c r="D778" s="66"/>
      <c r="E778" s="68"/>
      <c r="F778" s="69"/>
      <c r="G778" s="70"/>
      <c r="H778" s="71"/>
      <c r="I778" s="72"/>
      <c r="J778" s="73"/>
      <c r="K778" s="62"/>
      <c r="L778" s="62"/>
      <c r="M778" s="62"/>
      <c r="N778" s="62"/>
      <c r="O778" s="62"/>
    </row>
    <row r="779" spans="1:15">
      <c r="A779" s="75">
        <f t="shared" si="12"/>
        <v>0</v>
      </c>
      <c r="B779" s="66"/>
      <c r="C779" s="66"/>
      <c r="D779" s="66"/>
      <c r="E779" s="68"/>
      <c r="F779" s="69"/>
      <c r="G779" s="70"/>
      <c r="H779" s="71"/>
      <c r="I779" s="72"/>
      <c r="J779" s="73"/>
      <c r="K779" s="62"/>
      <c r="L779" s="62"/>
      <c r="M779" s="62"/>
      <c r="N779" s="62"/>
      <c r="O779" s="62"/>
    </row>
    <row r="780" spans="1:15">
      <c r="A780" s="75">
        <f t="shared" si="12"/>
        <v>0</v>
      </c>
      <c r="B780" s="66"/>
      <c r="C780" s="66"/>
      <c r="D780" s="66"/>
      <c r="E780" s="68"/>
      <c r="F780" s="69"/>
      <c r="G780" s="70"/>
      <c r="H780" s="71"/>
      <c r="I780" s="72"/>
      <c r="J780" s="73"/>
      <c r="K780" s="62"/>
      <c r="L780" s="62"/>
      <c r="M780" s="62"/>
      <c r="N780" s="62"/>
      <c r="O780" s="62"/>
    </row>
    <row r="781" spans="1:15">
      <c r="A781" s="75">
        <f t="shared" si="12"/>
        <v>0</v>
      </c>
      <c r="B781" s="66"/>
      <c r="C781" s="66"/>
      <c r="D781" s="66"/>
      <c r="E781" s="68"/>
      <c r="F781" s="69"/>
      <c r="G781" s="70"/>
      <c r="H781" s="71"/>
      <c r="I781" s="72"/>
      <c r="J781" s="73"/>
      <c r="K781" s="62"/>
      <c r="L781" s="62"/>
      <c r="M781" s="62"/>
      <c r="N781" s="62"/>
      <c r="O781" s="62"/>
    </row>
    <row r="782" spans="1:15">
      <c r="A782" s="75">
        <f t="shared" si="12"/>
        <v>0</v>
      </c>
      <c r="B782" s="66"/>
      <c r="C782" s="66"/>
      <c r="D782" s="66"/>
      <c r="E782" s="68"/>
      <c r="F782" s="69"/>
      <c r="G782" s="70"/>
      <c r="H782" s="71"/>
      <c r="I782" s="72"/>
      <c r="J782" s="73"/>
      <c r="K782" s="62"/>
      <c r="L782" s="62"/>
      <c r="M782" s="62"/>
      <c r="N782" s="62"/>
      <c r="O782" s="62"/>
    </row>
    <row r="783" spans="1:15">
      <c r="A783" s="75">
        <f t="shared" si="12"/>
        <v>0</v>
      </c>
      <c r="B783" s="66"/>
      <c r="C783" s="66"/>
      <c r="D783" s="66"/>
      <c r="E783" s="68"/>
      <c r="F783" s="69"/>
      <c r="G783" s="70"/>
      <c r="H783" s="71"/>
      <c r="I783" s="72"/>
      <c r="J783" s="73"/>
      <c r="K783" s="62"/>
      <c r="L783" s="62"/>
      <c r="M783" s="62"/>
      <c r="N783" s="62"/>
      <c r="O783" s="62"/>
    </row>
    <row r="784" spans="1:15">
      <c r="A784" s="75">
        <f t="shared" si="12"/>
        <v>0</v>
      </c>
      <c r="B784" s="66"/>
      <c r="C784" s="66"/>
      <c r="D784" s="66"/>
      <c r="E784" s="68"/>
      <c r="F784" s="69"/>
      <c r="G784" s="70"/>
      <c r="H784" s="71"/>
      <c r="I784" s="72"/>
      <c r="J784" s="73"/>
      <c r="K784" s="62"/>
      <c r="L784" s="62"/>
      <c r="M784" s="62"/>
      <c r="N784" s="62"/>
      <c r="O784" s="62"/>
    </row>
    <row r="785" spans="1:15">
      <c r="A785" s="75">
        <f t="shared" si="12"/>
        <v>0</v>
      </c>
      <c r="B785" s="66"/>
      <c r="C785" s="66"/>
      <c r="D785" s="66"/>
      <c r="E785" s="68"/>
      <c r="F785" s="69"/>
      <c r="G785" s="70"/>
      <c r="H785" s="71"/>
      <c r="I785" s="72"/>
      <c r="J785" s="73"/>
      <c r="K785" s="62"/>
      <c r="L785" s="62"/>
      <c r="M785" s="62"/>
      <c r="N785" s="62"/>
      <c r="O785" s="62"/>
    </row>
    <row r="786" spans="1:15">
      <c r="A786" s="75">
        <f t="shared" si="12"/>
        <v>0</v>
      </c>
      <c r="B786" s="66"/>
      <c r="C786" s="66"/>
      <c r="D786" s="66"/>
      <c r="E786" s="68"/>
      <c r="F786" s="69"/>
      <c r="G786" s="70"/>
      <c r="H786" s="71"/>
      <c r="I786" s="72"/>
      <c r="J786" s="73"/>
      <c r="K786" s="62"/>
      <c r="L786" s="62"/>
      <c r="M786" s="62"/>
      <c r="N786" s="62"/>
      <c r="O786" s="62"/>
    </row>
    <row r="787" spans="1:15">
      <c r="A787" s="75">
        <f t="shared" si="12"/>
        <v>0</v>
      </c>
      <c r="B787" s="66"/>
      <c r="C787" s="66"/>
      <c r="D787" s="66"/>
      <c r="E787" s="68"/>
      <c r="F787" s="69"/>
      <c r="G787" s="70"/>
      <c r="H787" s="71"/>
      <c r="I787" s="72"/>
      <c r="J787" s="73"/>
      <c r="K787" s="62"/>
      <c r="L787" s="62"/>
      <c r="M787" s="62"/>
      <c r="N787" s="62"/>
      <c r="O787" s="62"/>
    </row>
    <row r="788" spans="1:15">
      <c r="A788" s="75">
        <f t="shared" si="12"/>
        <v>0</v>
      </c>
      <c r="B788" s="66"/>
      <c r="C788" s="66"/>
      <c r="D788" s="66"/>
      <c r="E788" s="68"/>
      <c r="F788" s="69"/>
      <c r="G788" s="70"/>
      <c r="H788" s="71"/>
      <c r="I788" s="72"/>
      <c r="J788" s="73"/>
      <c r="K788" s="62"/>
      <c r="L788" s="62"/>
      <c r="M788" s="62"/>
      <c r="N788" s="62"/>
      <c r="O788" s="62"/>
    </row>
    <row r="789" spans="1:15">
      <c r="A789" s="75">
        <f t="shared" si="12"/>
        <v>0</v>
      </c>
      <c r="B789" s="66"/>
      <c r="C789" s="66"/>
      <c r="D789" s="66"/>
      <c r="E789" s="68"/>
      <c r="F789" s="69"/>
      <c r="G789" s="70"/>
      <c r="H789" s="71"/>
      <c r="I789" s="72"/>
      <c r="J789" s="73"/>
      <c r="K789" s="62"/>
      <c r="L789" s="62"/>
      <c r="M789" s="62"/>
      <c r="N789" s="62"/>
      <c r="O789" s="62"/>
    </row>
    <row r="790" spans="1:15">
      <c r="A790" s="75">
        <f t="shared" si="12"/>
        <v>0</v>
      </c>
      <c r="B790" s="66"/>
      <c r="C790" s="66"/>
      <c r="D790" s="66"/>
      <c r="E790" s="68"/>
      <c r="F790" s="69"/>
      <c r="G790" s="70"/>
      <c r="H790" s="71"/>
      <c r="I790" s="72"/>
      <c r="J790" s="73"/>
      <c r="K790" s="62"/>
      <c r="L790" s="62"/>
      <c r="M790" s="62"/>
      <c r="N790" s="62"/>
      <c r="O790" s="62"/>
    </row>
    <row r="791" spans="1:15">
      <c r="A791" s="75">
        <f t="shared" si="12"/>
        <v>0</v>
      </c>
      <c r="B791" s="66"/>
      <c r="C791" s="66"/>
      <c r="D791" s="66"/>
      <c r="E791" s="68"/>
      <c r="F791" s="69"/>
      <c r="G791" s="70"/>
      <c r="H791" s="71"/>
      <c r="I791" s="72"/>
      <c r="J791" s="73"/>
      <c r="K791" s="62"/>
      <c r="L791" s="62"/>
      <c r="M791" s="62"/>
      <c r="N791" s="62"/>
      <c r="O791" s="62"/>
    </row>
    <row r="792" spans="1:15">
      <c r="A792" s="75">
        <f t="shared" si="12"/>
        <v>0</v>
      </c>
      <c r="B792" s="66"/>
      <c r="C792" s="66"/>
      <c r="D792" s="66"/>
      <c r="E792" s="68"/>
      <c r="F792" s="69"/>
      <c r="G792" s="70"/>
      <c r="H792" s="71"/>
      <c r="I792" s="72"/>
      <c r="J792" s="73"/>
      <c r="K792" s="62"/>
      <c r="L792" s="62"/>
      <c r="M792" s="62"/>
      <c r="N792" s="62"/>
      <c r="O792" s="62"/>
    </row>
    <row r="793" spans="1:15">
      <c r="A793" s="75">
        <f t="shared" si="12"/>
        <v>0</v>
      </c>
      <c r="B793" s="66"/>
      <c r="C793" s="66"/>
      <c r="D793" s="66"/>
      <c r="E793" s="68"/>
      <c r="F793" s="69"/>
      <c r="G793" s="70"/>
      <c r="H793" s="71"/>
      <c r="I793" s="72"/>
      <c r="J793" s="73"/>
      <c r="K793" s="62"/>
      <c r="L793" s="62"/>
      <c r="M793" s="62"/>
      <c r="N793" s="62"/>
      <c r="O793" s="62"/>
    </row>
    <row r="794" spans="1:15">
      <c r="A794" s="75">
        <f t="shared" si="12"/>
        <v>0</v>
      </c>
      <c r="B794" s="66"/>
      <c r="C794" s="66"/>
      <c r="D794" s="66"/>
      <c r="E794" s="68"/>
      <c r="F794" s="69"/>
      <c r="G794" s="70"/>
      <c r="H794" s="71"/>
      <c r="I794" s="72"/>
      <c r="J794" s="73"/>
      <c r="K794" s="62"/>
      <c r="L794" s="62"/>
      <c r="M794" s="62"/>
      <c r="N794" s="62"/>
      <c r="O794" s="62"/>
    </row>
    <row r="795" spans="1:15">
      <c r="A795" s="75">
        <f t="shared" si="12"/>
        <v>0</v>
      </c>
      <c r="B795" s="66"/>
      <c r="C795" s="66"/>
      <c r="D795" s="66"/>
      <c r="E795" s="68"/>
      <c r="F795" s="69"/>
      <c r="G795" s="70"/>
      <c r="H795" s="71"/>
      <c r="I795" s="72"/>
      <c r="J795" s="73"/>
      <c r="K795" s="62"/>
      <c r="L795" s="62"/>
      <c r="M795" s="62"/>
      <c r="N795" s="62"/>
      <c r="O795" s="62"/>
    </row>
    <row r="796" spans="1:15">
      <c r="A796" s="75">
        <f t="shared" si="12"/>
        <v>0</v>
      </c>
      <c r="B796" s="66"/>
      <c r="C796" s="66"/>
      <c r="D796" s="66"/>
      <c r="E796" s="68"/>
      <c r="F796" s="69"/>
      <c r="G796" s="70"/>
      <c r="H796" s="71"/>
      <c r="I796" s="72"/>
      <c r="J796" s="73"/>
      <c r="K796" s="62"/>
      <c r="L796" s="62"/>
      <c r="M796" s="62"/>
      <c r="N796" s="62"/>
      <c r="O796" s="62"/>
    </row>
    <row r="797" spans="1:15">
      <c r="A797" s="75">
        <f t="shared" si="12"/>
        <v>0</v>
      </c>
      <c r="B797" s="66"/>
      <c r="C797" s="66"/>
      <c r="D797" s="66"/>
      <c r="E797" s="68"/>
      <c r="F797" s="69"/>
      <c r="G797" s="70"/>
      <c r="H797" s="71"/>
      <c r="I797" s="72"/>
      <c r="J797" s="73"/>
      <c r="K797" s="62"/>
      <c r="L797" s="62"/>
      <c r="M797" s="62"/>
      <c r="N797" s="62"/>
      <c r="O797" s="62"/>
    </row>
    <row r="798" spans="1:15">
      <c r="A798" s="75">
        <f t="shared" si="12"/>
        <v>0</v>
      </c>
      <c r="B798" s="66"/>
      <c r="C798" s="66"/>
      <c r="D798" s="66"/>
      <c r="E798" s="68"/>
      <c r="F798" s="69"/>
      <c r="G798" s="70"/>
      <c r="H798" s="71"/>
      <c r="I798" s="72"/>
      <c r="J798" s="73"/>
      <c r="K798" s="62"/>
      <c r="L798" s="62"/>
      <c r="M798" s="62"/>
      <c r="N798" s="62"/>
      <c r="O798" s="62"/>
    </row>
    <row r="799" spans="1:15">
      <c r="A799" s="75">
        <f t="shared" si="12"/>
        <v>0</v>
      </c>
      <c r="B799" s="66"/>
      <c r="C799" s="66"/>
      <c r="D799" s="66"/>
      <c r="E799" s="68"/>
      <c r="F799" s="69"/>
      <c r="G799" s="70"/>
      <c r="H799" s="71"/>
      <c r="I799" s="72"/>
      <c r="J799" s="73"/>
      <c r="K799" s="62"/>
      <c r="L799" s="62"/>
      <c r="M799" s="62"/>
      <c r="N799" s="62"/>
      <c r="O799" s="62"/>
    </row>
    <row r="800" spans="1:15">
      <c r="A800" s="75">
        <f t="shared" si="12"/>
        <v>0</v>
      </c>
      <c r="B800" s="66"/>
      <c r="C800" s="66"/>
      <c r="D800" s="66"/>
      <c r="E800" s="68"/>
      <c r="F800" s="69"/>
      <c r="G800" s="70"/>
      <c r="H800" s="71"/>
      <c r="I800" s="72"/>
      <c r="J800" s="73"/>
      <c r="K800" s="62"/>
      <c r="L800" s="62"/>
      <c r="M800" s="62"/>
      <c r="N800" s="62"/>
      <c r="O800" s="62"/>
    </row>
    <row r="801" spans="1:15">
      <c r="A801" s="75">
        <f t="shared" si="12"/>
        <v>0</v>
      </c>
      <c r="B801" s="66"/>
      <c r="C801" s="66"/>
      <c r="D801" s="66"/>
      <c r="E801" s="68"/>
      <c r="F801" s="69"/>
      <c r="G801" s="70"/>
      <c r="H801" s="71"/>
      <c r="I801" s="72"/>
      <c r="J801" s="73"/>
      <c r="K801" s="62"/>
      <c r="L801" s="62"/>
      <c r="M801" s="62"/>
      <c r="N801" s="62"/>
      <c r="O801" s="62"/>
    </row>
    <row r="802" spans="1:15">
      <c r="A802" s="75">
        <f t="shared" si="12"/>
        <v>0</v>
      </c>
      <c r="B802" s="66"/>
      <c r="C802" s="66"/>
      <c r="D802" s="66"/>
      <c r="E802" s="68"/>
      <c r="F802" s="69"/>
      <c r="G802" s="70"/>
      <c r="H802" s="71"/>
      <c r="I802" s="72"/>
      <c r="J802" s="73"/>
      <c r="K802" s="62"/>
      <c r="L802" s="62"/>
      <c r="M802" s="62"/>
      <c r="N802" s="62"/>
      <c r="O802" s="62"/>
    </row>
    <row r="803" spans="1:15">
      <c r="A803" s="75">
        <f t="shared" si="12"/>
        <v>0</v>
      </c>
      <c r="B803" s="66"/>
      <c r="C803" s="66"/>
      <c r="D803" s="66"/>
      <c r="E803" s="68"/>
      <c r="F803" s="69"/>
      <c r="G803" s="70"/>
      <c r="H803" s="71"/>
      <c r="I803" s="72"/>
      <c r="J803" s="73"/>
      <c r="K803" s="62"/>
      <c r="L803" s="62"/>
      <c r="M803" s="62"/>
      <c r="N803" s="62"/>
      <c r="O803" s="62"/>
    </row>
    <row r="804" spans="1:15">
      <c r="A804" s="75">
        <f t="shared" si="12"/>
        <v>0</v>
      </c>
      <c r="B804" s="66"/>
      <c r="C804" s="66"/>
      <c r="D804" s="66"/>
      <c r="E804" s="68"/>
      <c r="F804" s="69"/>
      <c r="G804" s="70"/>
      <c r="H804" s="71"/>
      <c r="I804" s="72"/>
      <c r="J804" s="73"/>
      <c r="K804" s="62"/>
      <c r="L804" s="62"/>
      <c r="M804" s="62"/>
      <c r="N804" s="62"/>
      <c r="O804" s="62"/>
    </row>
    <row r="805" spans="1:15">
      <c r="A805" s="75">
        <f t="shared" si="12"/>
        <v>0</v>
      </c>
      <c r="B805" s="66"/>
      <c r="C805" s="66"/>
      <c r="D805" s="66"/>
      <c r="E805" s="68"/>
      <c r="F805" s="69"/>
      <c r="G805" s="70"/>
      <c r="H805" s="71"/>
      <c r="I805" s="72"/>
      <c r="J805" s="73"/>
      <c r="K805" s="62"/>
      <c r="L805" s="62"/>
      <c r="M805" s="62"/>
      <c r="N805" s="62"/>
      <c r="O805" s="62"/>
    </row>
    <row r="806" spans="1:15">
      <c r="A806" s="75">
        <f t="shared" si="12"/>
        <v>0</v>
      </c>
      <c r="B806" s="66"/>
      <c r="C806" s="66"/>
      <c r="D806" s="66"/>
      <c r="E806" s="68"/>
      <c r="F806" s="69"/>
      <c r="G806" s="70"/>
      <c r="H806" s="71"/>
      <c r="I806" s="72"/>
      <c r="J806" s="73"/>
      <c r="K806" s="62"/>
      <c r="L806" s="62"/>
      <c r="M806" s="62"/>
      <c r="N806" s="62"/>
      <c r="O806" s="62"/>
    </row>
    <row r="807" spans="1:15">
      <c r="A807" s="75">
        <f t="shared" si="12"/>
        <v>0</v>
      </c>
      <c r="B807" s="66"/>
      <c r="C807" s="66"/>
      <c r="D807" s="66"/>
      <c r="E807" s="68"/>
      <c r="F807" s="69"/>
      <c r="G807" s="70"/>
      <c r="H807" s="71"/>
      <c r="I807" s="72"/>
      <c r="J807" s="73"/>
      <c r="K807" s="62"/>
      <c r="L807" s="62"/>
      <c r="M807" s="62"/>
      <c r="N807" s="62"/>
      <c r="O807" s="62"/>
    </row>
    <row r="808" spans="1:15">
      <c r="A808" s="75">
        <f t="shared" si="12"/>
        <v>0</v>
      </c>
      <c r="B808" s="66"/>
      <c r="C808" s="66"/>
      <c r="D808" s="66"/>
      <c r="E808" s="68"/>
      <c r="F808" s="69"/>
      <c r="G808" s="70"/>
      <c r="H808" s="71"/>
      <c r="I808" s="72"/>
      <c r="J808" s="73"/>
      <c r="K808" s="62"/>
      <c r="L808" s="62"/>
      <c r="M808" s="62"/>
      <c r="N808" s="62"/>
      <c r="O808" s="62"/>
    </row>
    <row r="809" spans="1:15">
      <c r="A809" s="75">
        <f t="shared" si="12"/>
        <v>0</v>
      </c>
      <c r="B809" s="66"/>
      <c r="C809" s="66"/>
      <c r="D809" s="66"/>
      <c r="E809" s="68"/>
      <c r="F809" s="69"/>
      <c r="G809" s="70"/>
      <c r="H809" s="71"/>
      <c r="I809" s="72"/>
      <c r="J809" s="73"/>
      <c r="K809" s="62"/>
      <c r="L809" s="62"/>
      <c r="M809" s="62"/>
      <c r="N809" s="62"/>
      <c r="O809" s="62"/>
    </row>
    <row r="810" spans="1:15">
      <c r="A810" s="75">
        <f t="shared" si="12"/>
        <v>0</v>
      </c>
      <c r="B810" s="66"/>
      <c r="C810" s="66"/>
      <c r="D810" s="66"/>
      <c r="E810" s="68"/>
      <c r="F810" s="69"/>
      <c r="G810" s="70"/>
      <c r="H810" s="71"/>
      <c r="I810" s="72"/>
      <c r="J810" s="73"/>
      <c r="K810" s="62"/>
      <c r="L810" s="62"/>
      <c r="M810" s="62"/>
      <c r="N810" s="62"/>
      <c r="O810" s="62"/>
    </row>
    <row r="811" spans="1:15">
      <c r="A811" s="75">
        <f t="shared" si="12"/>
        <v>0</v>
      </c>
      <c r="B811" s="66"/>
      <c r="C811" s="66"/>
      <c r="D811" s="66"/>
      <c r="E811" s="68"/>
      <c r="F811" s="69"/>
      <c r="G811" s="70"/>
      <c r="H811" s="71"/>
      <c r="I811" s="72"/>
      <c r="J811" s="73"/>
      <c r="K811" s="62"/>
      <c r="L811" s="62"/>
      <c r="M811" s="62"/>
      <c r="N811" s="62"/>
      <c r="O811" s="62"/>
    </row>
    <row r="812" spans="1:15">
      <c r="A812" s="75">
        <f t="shared" si="12"/>
        <v>0</v>
      </c>
      <c r="B812" s="66"/>
      <c r="C812" s="66"/>
      <c r="D812" s="66"/>
      <c r="E812" s="68"/>
      <c r="F812" s="69"/>
      <c r="G812" s="70"/>
      <c r="H812" s="71"/>
      <c r="I812" s="72"/>
      <c r="J812" s="73"/>
      <c r="K812" s="62"/>
      <c r="L812" s="62"/>
      <c r="M812" s="62"/>
      <c r="N812" s="62"/>
      <c r="O812" s="62"/>
    </row>
    <row r="813" spans="1:15">
      <c r="A813" s="75">
        <f t="shared" si="12"/>
        <v>0</v>
      </c>
      <c r="B813" s="66"/>
      <c r="C813" s="66"/>
      <c r="D813" s="66"/>
      <c r="E813" s="68"/>
      <c r="F813" s="69"/>
      <c r="G813" s="70"/>
      <c r="H813" s="71"/>
      <c r="I813" s="72"/>
      <c r="J813" s="73"/>
      <c r="K813" s="62"/>
      <c r="L813" s="62"/>
      <c r="M813" s="62"/>
      <c r="N813" s="62"/>
      <c r="O813" s="62"/>
    </row>
    <row r="814" spans="1:15">
      <c r="A814" s="75">
        <f t="shared" si="12"/>
        <v>0</v>
      </c>
      <c r="B814" s="66"/>
      <c r="C814" s="66"/>
      <c r="D814" s="66"/>
      <c r="E814" s="68"/>
      <c r="F814" s="69"/>
      <c r="G814" s="70"/>
      <c r="H814" s="71"/>
      <c r="I814" s="72"/>
      <c r="J814" s="73"/>
      <c r="K814" s="62"/>
      <c r="L814" s="62"/>
      <c r="M814" s="62"/>
      <c r="N814" s="62"/>
      <c r="O814" s="62"/>
    </row>
    <row r="815" spans="1:15">
      <c r="A815" s="75">
        <f t="shared" si="12"/>
        <v>0</v>
      </c>
      <c r="B815" s="66"/>
      <c r="C815" s="66"/>
      <c r="D815" s="66"/>
      <c r="E815" s="68"/>
      <c r="F815" s="69"/>
      <c r="G815" s="70"/>
      <c r="H815" s="71"/>
      <c r="I815" s="72"/>
      <c r="J815" s="73"/>
      <c r="K815" s="62"/>
      <c r="L815" s="62"/>
      <c r="M815" s="62"/>
      <c r="N815" s="62"/>
      <c r="O815" s="62"/>
    </row>
    <row r="816" spans="1:15">
      <c r="A816" s="75">
        <f t="shared" si="12"/>
        <v>0</v>
      </c>
      <c r="B816" s="66"/>
      <c r="C816" s="66"/>
      <c r="D816" s="66"/>
      <c r="E816" s="68"/>
      <c r="F816" s="69"/>
      <c r="G816" s="70"/>
      <c r="H816" s="71"/>
      <c r="I816" s="72"/>
      <c r="J816" s="73"/>
      <c r="K816" s="62"/>
      <c r="L816" s="62"/>
      <c r="M816" s="62"/>
      <c r="N816" s="62"/>
      <c r="O816" s="62"/>
    </row>
    <row r="817" spans="1:15">
      <c r="A817" s="75">
        <f t="shared" si="12"/>
        <v>0</v>
      </c>
      <c r="B817" s="66"/>
      <c r="C817" s="66"/>
      <c r="D817" s="66"/>
      <c r="E817" s="68"/>
      <c r="F817" s="69"/>
      <c r="G817" s="70"/>
      <c r="H817" s="71"/>
      <c r="I817" s="72"/>
      <c r="J817" s="73"/>
      <c r="K817" s="62"/>
      <c r="L817" s="62"/>
      <c r="M817" s="62"/>
      <c r="N817" s="62"/>
      <c r="O817" s="62"/>
    </row>
    <row r="818" spans="1:15">
      <c r="A818" s="75">
        <f t="shared" si="12"/>
        <v>0</v>
      </c>
      <c r="B818" s="66"/>
      <c r="C818" s="66"/>
      <c r="D818" s="66"/>
      <c r="E818" s="68"/>
      <c r="F818" s="69"/>
      <c r="G818" s="70"/>
      <c r="H818" s="71"/>
      <c r="I818" s="72"/>
      <c r="J818" s="73"/>
      <c r="K818" s="62"/>
      <c r="L818" s="62"/>
      <c r="M818" s="62"/>
      <c r="N818" s="62"/>
      <c r="O818" s="62"/>
    </row>
    <row r="819" spans="1:15">
      <c r="A819" s="75">
        <f t="shared" si="12"/>
        <v>0</v>
      </c>
      <c r="B819" s="66"/>
      <c r="C819" s="66"/>
      <c r="D819" s="66"/>
      <c r="E819" s="68"/>
      <c r="F819" s="69"/>
      <c r="G819" s="70"/>
      <c r="H819" s="71"/>
      <c r="I819" s="72"/>
      <c r="J819" s="73"/>
      <c r="K819" s="62"/>
      <c r="L819" s="62"/>
      <c r="M819" s="62"/>
      <c r="N819" s="62"/>
      <c r="O819" s="62"/>
    </row>
    <row r="820" spans="1:15">
      <c r="A820" s="75">
        <f t="shared" si="12"/>
        <v>0</v>
      </c>
      <c r="B820" s="66"/>
      <c r="C820" s="66"/>
      <c r="D820" s="66"/>
      <c r="E820" s="68"/>
      <c r="F820" s="69"/>
      <c r="G820" s="70"/>
      <c r="H820" s="71"/>
      <c r="I820" s="72"/>
      <c r="J820" s="73"/>
      <c r="K820" s="62"/>
      <c r="L820" s="62"/>
      <c r="M820" s="62"/>
      <c r="N820" s="62"/>
      <c r="O820" s="62"/>
    </row>
    <row r="821" spans="1:15">
      <c r="A821" s="75">
        <f t="shared" si="12"/>
        <v>0</v>
      </c>
      <c r="B821" s="66"/>
      <c r="C821" s="66"/>
      <c r="D821" s="66"/>
      <c r="E821" s="68"/>
      <c r="F821" s="69"/>
      <c r="G821" s="70"/>
      <c r="H821" s="71"/>
      <c r="I821" s="72"/>
      <c r="J821" s="73"/>
      <c r="K821" s="62"/>
      <c r="L821" s="62"/>
      <c r="M821" s="62"/>
      <c r="N821" s="62"/>
      <c r="O821" s="62"/>
    </row>
    <row r="822" spans="1:15">
      <c r="A822" s="75">
        <f t="shared" si="12"/>
        <v>0</v>
      </c>
      <c r="B822" s="66"/>
      <c r="C822" s="66"/>
      <c r="D822" s="66"/>
      <c r="E822" s="68"/>
      <c r="F822" s="69"/>
      <c r="G822" s="70"/>
      <c r="H822" s="71"/>
      <c r="I822" s="72"/>
      <c r="J822" s="73"/>
      <c r="K822" s="62"/>
      <c r="L822" s="62"/>
      <c r="M822" s="62"/>
      <c r="N822" s="62"/>
      <c r="O822" s="62"/>
    </row>
    <row r="823" spans="1:15">
      <c r="A823" s="75">
        <f t="shared" si="12"/>
        <v>0</v>
      </c>
      <c r="B823" s="66"/>
      <c r="C823" s="66"/>
      <c r="D823" s="66"/>
      <c r="E823" s="68"/>
      <c r="F823" s="69"/>
      <c r="G823" s="70"/>
      <c r="H823" s="71"/>
      <c r="I823" s="72"/>
      <c r="J823" s="73"/>
      <c r="K823" s="62"/>
      <c r="L823" s="62"/>
      <c r="M823" s="62"/>
      <c r="N823" s="62"/>
      <c r="O823" s="62"/>
    </row>
    <row r="824" spans="1:15">
      <c r="A824" s="75">
        <f t="shared" si="12"/>
        <v>0</v>
      </c>
      <c r="B824" s="66"/>
      <c r="C824" s="66"/>
      <c r="D824" s="66"/>
      <c r="E824" s="68"/>
      <c r="F824" s="69"/>
      <c r="G824" s="70"/>
      <c r="H824" s="71"/>
      <c r="I824" s="72"/>
      <c r="J824" s="73"/>
      <c r="K824" s="62"/>
      <c r="L824" s="62"/>
      <c r="M824" s="62"/>
      <c r="N824" s="62"/>
      <c r="O824" s="62"/>
    </row>
    <row r="825" spans="1:15">
      <c r="A825" s="75">
        <f t="shared" si="12"/>
        <v>0</v>
      </c>
      <c r="B825" s="66"/>
      <c r="C825" s="66"/>
      <c r="D825" s="66"/>
      <c r="E825" s="68"/>
      <c r="F825" s="69"/>
      <c r="G825" s="70"/>
      <c r="H825" s="71"/>
      <c r="I825" s="72"/>
      <c r="J825" s="73"/>
      <c r="K825" s="62"/>
      <c r="L825" s="62"/>
      <c r="M825" s="62"/>
      <c r="N825" s="62"/>
      <c r="O825" s="62"/>
    </row>
    <row r="826" spans="1:15">
      <c r="A826" s="75">
        <f t="shared" si="12"/>
        <v>0</v>
      </c>
      <c r="B826" s="66"/>
      <c r="C826" s="66"/>
      <c r="D826" s="66"/>
      <c r="E826" s="68"/>
      <c r="F826" s="69"/>
      <c r="G826" s="70"/>
      <c r="H826" s="71"/>
      <c r="I826" s="72"/>
      <c r="J826" s="73"/>
      <c r="K826" s="62"/>
      <c r="L826" s="62"/>
      <c r="M826" s="62"/>
      <c r="N826" s="62"/>
      <c r="O826" s="62"/>
    </row>
    <row r="827" spans="1:15">
      <c r="A827" s="75">
        <f t="shared" si="12"/>
        <v>0</v>
      </c>
      <c r="B827" s="66"/>
      <c r="C827" s="66"/>
      <c r="D827" s="66"/>
      <c r="E827" s="68"/>
      <c r="F827" s="69"/>
      <c r="G827" s="70"/>
      <c r="H827" s="71"/>
      <c r="I827" s="72"/>
      <c r="J827" s="73"/>
      <c r="K827" s="62"/>
      <c r="L827" s="62"/>
      <c r="M827" s="62"/>
      <c r="N827" s="62"/>
      <c r="O827" s="62"/>
    </row>
    <row r="828" spans="1:15">
      <c r="A828" s="75">
        <f t="shared" si="12"/>
        <v>0</v>
      </c>
      <c r="B828" s="66"/>
      <c r="C828" s="66"/>
      <c r="D828" s="66"/>
      <c r="E828" s="68"/>
      <c r="F828" s="69"/>
      <c r="G828" s="70"/>
      <c r="H828" s="71"/>
      <c r="I828" s="72"/>
      <c r="J828" s="73"/>
      <c r="K828" s="62"/>
      <c r="L828" s="62"/>
      <c r="M828" s="62"/>
      <c r="N828" s="62"/>
      <c r="O828" s="62"/>
    </row>
    <row r="829" spans="1:15">
      <c r="A829" s="75">
        <f t="shared" si="12"/>
        <v>0</v>
      </c>
      <c r="B829" s="66"/>
      <c r="C829" s="66"/>
      <c r="D829" s="66"/>
      <c r="E829" s="68"/>
      <c r="F829" s="69"/>
      <c r="G829" s="70"/>
      <c r="H829" s="71"/>
      <c r="I829" s="72"/>
      <c r="J829" s="73"/>
      <c r="K829" s="62"/>
      <c r="L829" s="62"/>
      <c r="M829" s="62"/>
      <c r="N829" s="62"/>
      <c r="O829" s="62"/>
    </row>
    <row r="830" spans="1:15">
      <c r="A830" s="75">
        <f t="shared" si="12"/>
        <v>0</v>
      </c>
      <c r="B830" s="66"/>
      <c r="C830" s="66"/>
      <c r="D830" s="66"/>
      <c r="E830" s="68"/>
      <c r="F830" s="69"/>
      <c r="G830" s="70"/>
      <c r="H830" s="71"/>
      <c r="I830" s="72"/>
      <c r="J830" s="73"/>
      <c r="K830" s="62"/>
      <c r="L830" s="62"/>
      <c r="M830" s="62"/>
      <c r="N830" s="62"/>
      <c r="O830" s="62"/>
    </row>
    <row r="831" spans="1:15">
      <c r="A831" s="75">
        <f t="shared" si="12"/>
        <v>0</v>
      </c>
      <c r="B831" s="66"/>
      <c r="C831" s="66"/>
      <c r="D831" s="66"/>
      <c r="E831" s="68"/>
      <c r="F831" s="69"/>
      <c r="G831" s="70"/>
      <c r="H831" s="71"/>
      <c r="I831" s="72"/>
      <c r="J831" s="73"/>
      <c r="K831" s="62"/>
      <c r="L831" s="62"/>
      <c r="M831" s="62"/>
      <c r="N831" s="62"/>
      <c r="O831" s="62"/>
    </row>
    <row r="832" spans="1:15">
      <c r="A832" s="75">
        <f t="shared" si="12"/>
        <v>0</v>
      </c>
      <c r="B832" s="66"/>
      <c r="C832" s="66"/>
      <c r="D832" s="66"/>
      <c r="E832" s="68"/>
      <c r="F832" s="69"/>
      <c r="G832" s="70"/>
      <c r="H832" s="71"/>
      <c r="I832" s="72"/>
      <c r="J832" s="73"/>
      <c r="K832" s="62"/>
      <c r="L832" s="62"/>
      <c r="M832" s="62"/>
      <c r="N832" s="62"/>
      <c r="O832" s="62"/>
    </row>
    <row r="833" spans="1:15">
      <c r="A833" s="75">
        <f t="shared" si="12"/>
        <v>0</v>
      </c>
      <c r="B833" s="66"/>
      <c r="C833" s="66"/>
      <c r="D833" s="66"/>
      <c r="E833" s="68"/>
      <c r="F833" s="69"/>
      <c r="G833" s="70"/>
      <c r="H833" s="71"/>
      <c r="I833" s="72"/>
      <c r="J833" s="73"/>
      <c r="K833" s="62"/>
      <c r="L833" s="62"/>
      <c r="M833" s="62"/>
      <c r="N833" s="62"/>
      <c r="O833" s="62"/>
    </row>
    <row r="834" spans="1:15">
      <c r="A834" s="75">
        <f t="shared" si="12"/>
        <v>0</v>
      </c>
      <c r="B834" s="66"/>
      <c r="C834" s="66"/>
      <c r="D834" s="66"/>
      <c r="E834" s="68"/>
      <c r="F834" s="69"/>
      <c r="G834" s="70"/>
      <c r="H834" s="71"/>
      <c r="I834" s="72"/>
      <c r="J834" s="73"/>
      <c r="K834" s="62"/>
      <c r="L834" s="62"/>
      <c r="M834" s="62"/>
      <c r="N834" s="62"/>
      <c r="O834" s="62"/>
    </row>
    <row r="835" spans="1:15">
      <c r="A835" s="75">
        <f t="shared" si="12"/>
        <v>0</v>
      </c>
      <c r="B835" s="66"/>
      <c r="C835" s="66"/>
      <c r="D835" s="66"/>
      <c r="E835" s="68"/>
      <c r="F835" s="69"/>
      <c r="G835" s="70"/>
      <c r="H835" s="71"/>
      <c r="I835" s="72"/>
      <c r="J835" s="73"/>
      <c r="K835" s="62"/>
      <c r="L835" s="62"/>
      <c r="M835" s="62"/>
      <c r="N835" s="62"/>
      <c r="O835" s="62"/>
    </row>
    <row r="836" spans="1:15">
      <c r="A836" s="75">
        <f t="shared" si="12"/>
        <v>0</v>
      </c>
      <c r="B836" s="66"/>
      <c r="C836" s="66"/>
      <c r="D836" s="66"/>
      <c r="E836" s="68"/>
      <c r="F836" s="69"/>
      <c r="G836" s="70"/>
      <c r="H836" s="71"/>
      <c r="I836" s="72"/>
      <c r="J836" s="73"/>
      <c r="K836" s="62"/>
      <c r="L836" s="62"/>
      <c r="M836" s="62"/>
      <c r="N836" s="62"/>
      <c r="O836" s="62"/>
    </row>
    <row r="837" spans="1:15">
      <c r="A837" s="75">
        <f t="shared" si="12"/>
        <v>0</v>
      </c>
      <c r="B837" s="66"/>
      <c r="C837" s="66"/>
      <c r="D837" s="66"/>
      <c r="E837" s="68"/>
      <c r="F837" s="69"/>
      <c r="G837" s="70"/>
      <c r="H837" s="71"/>
      <c r="I837" s="72"/>
      <c r="J837" s="73"/>
      <c r="K837" s="62"/>
      <c r="L837" s="62"/>
      <c r="M837" s="62"/>
      <c r="N837" s="62"/>
      <c r="O837" s="62"/>
    </row>
    <row r="838" spans="1:15">
      <c r="A838" s="75">
        <f t="shared" si="12"/>
        <v>0</v>
      </c>
      <c r="B838" s="66"/>
      <c r="C838" s="66"/>
      <c r="D838" s="66"/>
      <c r="E838" s="68"/>
      <c r="F838" s="69"/>
      <c r="G838" s="70"/>
      <c r="H838" s="71"/>
      <c r="I838" s="72"/>
      <c r="J838" s="73"/>
      <c r="K838" s="62"/>
      <c r="L838" s="62"/>
      <c r="M838" s="62"/>
      <c r="N838" s="62"/>
      <c r="O838" s="62"/>
    </row>
    <row r="839" spans="1:15">
      <c r="A839" s="75">
        <f t="shared" si="12"/>
        <v>0</v>
      </c>
      <c r="B839" s="66"/>
      <c r="C839" s="66"/>
      <c r="D839" s="66"/>
      <c r="E839" s="68"/>
      <c r="F839" s="69"/>
      <c r="G839" s="70"/>
      <c r="H839" s="71"/>
      <c r="I839" s="72"/>
      <c r="J839" s="73"/>
      <c r="K839" s="62"/>
      <c r="L839" s="62"/>
      <c r="M839" s="62"/>
      <c r="N839" s="62"/>
      <c r="O839" s="62"/>
    </row>
    <row r="840" spans="1:15">
      <c r="A840" s="75">
        <f t="shared" si="12"/>
        <v>0</v>
      </c>
      <c r="B840" s="66"/>
      <c r="C840" s="66"/>
      <c r="D840" s="66"/>
      <c r="E840" s="68"/>
      <c r="F840" s="69"/>
      <c r="G840" s="70"/>
      <c r="H840" s="71"/>
      <c r="I840" s="72"/>
      <c r="J840" s="73"/>
      <c r="K840" s="62"/>
      <c r="L840" s="62"/>
      <c r="M840" s="62"/>
      <c r="N840" s="62"/>
      <c r="O840" s="62"/>
    </row>
    <row r="841" spans="1:15">
      <c r="A841" s="75">
        <f t="shared" si="12"/>
        <v>0</v>
      </c>
      <c r="B841" s="66"/>
      <c r="C841" s="66"/>
      <c r="D841" s="66"/>
      <c r="E841" s="68"/>
      <c r="F841" s="69"/>
      <c r="G841" s="70"/>
      <c r="H841" s="71"/>
      <c r="I841" s="72"/>
      <c r="J841" s="73"/>
      <c r="K841" s="62"/>
      <c r="L841" s="62"/>
      <c r="M841" s="62"/>
      <c r="N841" s="62"/>
      <c r="O841" s="62"/>
    </row>
    <row r="842" spans="1:15">
      <c r="A842" s="75">
        <f t="shared" ref="A842:A905" si="13">E842</f>
        <v>0</v>
      </c>
      <c r="B842" s="66"/>
      <c r="C842" s="66"/>
      <c r="D842" s="66"/>
      <c r="E842" s="68"/>
      <c r="F842" s="69"/>
      <c r="G842" s="70"/>
      <c r="H842" s="71"/>
      <c r="I842" s="72"/>
      <c r="J842" s="73"/>
      <c r="K842" s="62"/>
      <c r="L842" s="62"/>
      <c r="M842" s="62"/>
      <c r="N842" s="62"/>
      <c r="O842" s="62"/>
    </row>
    <row r="843" spans="1:15">
      <c r="A843" s="75">
        <f t="shared" si="13"/>
        <v>0</v>
      </c>
      <c r="B843" s="66"/>
      <c r="C843" s="66"/>
      <c r="D843" s="66"/>
      <c r="E843" s="68"/>
      <c r="F843" s="69"/>
      <c r="G843" s="70"/>
      <c r="H843" s="71"/>
      <c r="I843" s="72"/>
      <c r="J843" s="73"/>
      <c r="K843" s="62"/>
      <c r="L843" s="62"/>
      <c r="M843" s="62"/>
      <c r="N843" s="62"/>
      <c r="O843" s="62"/>
    </row>
    <row r="844" spans="1:15">
      <c r="A844" s="75">
        <f t="shared" si="13"/>
        <v>0</v>
      </c>
      <c r="B844" s="66"/>
      <c r="C844" s="66"/>
      <c r="D844" s="66"/>
      <c r="E844" s="68"/>
      <c r="F844" s="69"/>
      <c r="G844" s="70"/>
      <c r="H844" s="71"/>
      <c r="I844" s="72"/>
      <c r="J844" s="73"/>
      <c r="K844" s="62"/>
      <c r="L844" s="62"/>
      <c r="M844" s="62"/>
      <c r="N844" s="62"/>
      <c r="O844" s="62"/>
    </row>
    <row r="845" spans="1:15">
      <c r="A845" s="75">
        <f t="shared" si="13"/>
        <v>0</v>
      </c>
      <c r="B845" s="66"/>
      <c r="C845" s="66"/>
      <c r="D845" s="66"/>
      <c r="E845" s="68"/>
      <c r="F845" s="69"/>
      <c r="G845" s="70"/>
      <c r="H845" s="71"/>
      <c r="I845" s="72"/>
      <c r="J845" s="73"/>
      <c r="K845" s="62"/>
      <c r="L845" s="62"/>
      <c r="M845" s="62"/>
      <c r="N845" s="62"/>
      <c r="O845" s="62"/>
    </row>
    <row r="846" spans="1:15">
      <c r="A846" s="75">
        <f t="shared" si="13"/>
        <v>0</v>
      </c>
      <c r="B846" s="66"/>
      <c r="C846" s="66"/>
      <c r="D846" s="66"/>
      <c r="E846" s="68"/>
      <c r="F846" s="69"/>
      <c r="G846" s="70"/>
      <c r="H846" s="71"/>
      <c r="I846" s="72"/>
      <c r="J846" s="73"/>
      <c r="K846" s="62"/>
      <c r="L846" s="62"/>
      <c r="M846" s="62"/>
      <c r="N846" s="62"/>
      <c r="O846" s="62"/>
    </row>
    <row r="847" spans="1:15">
      <c r="A847" s="75">
        <f t="shared" si="13"/>
        <v>0</v>
      </c>
      <c r="B847" s="66"/>
      <c r="C847" s="66"/>
      <c r="D847" s="66"/>
      <c r="E847" s="68"/>
      <c r="F847" s="69"/>
      <c r="G847" s="70"/>
      <c r="H847" s="71"/>
      <c r="I847" s="72"/>
      <c r="J847" s="73"/>
      <c r="K847" s="62"/>
      <c r="L847" s="62"/>
      <c r="M847" s="62"/>
      <c r="N847" s="62"/>
      <c r="O847" s="62"/>
    </row>
    <row r="848" spans="1:15">
      <c r="A848" s="75">
        <f t="shared" si="13"/>
        <v>0</v>
      </c>
      <c r="B848" s="66"/>
      <c r="C848" s="66"/>
      <c r="D848" s="66"/>
      <c r="E848" s="68"/>
      <c r="F848" s="69"/>
      <c r="G848" s="70"/>
      <c r="H848" s="71"/>
      <c r="I848" s="72"/>
      <c r="J848" s="73"/>
      <c r="K848" s="62"/>
      <c r="L848" s="62"/>
      <c r="M848" s="62"/>
      <c r="N848" s="62"/>
      <c r="O848" s="62"/>
    </row>
    <row r="849" spans="1:15">
      <c r="A849" s="75">
        <f t="shared" si="13"/>
        <v>0</v>
      </c>
      <c r="B849" s="66"/>
      <c r="C849" s="66"/>
      <c r="D849" s="66"/>
      <c r="E849" s="68"/>
      <c r="F849" s="69"/>
      <c r="G849" s="70"/>
      <c r="H849" s="71"/>
      <c r="I849" s="72"/>
      <c r="J849" s="73"/>
      <c r="K849" s="62"/>
      <c r="L849" s="62"/>
      <c r="M849" s="62"/>
      <c r="N849" s="62"/>
      <c r="O849" s="62"/>
    </row>
    <row r="850" spans="1:15">
      <c r="A850" s="75">
        <f t="shared" si="13"/>
        <v>0</v>
      </c>
      <c r="B850" s="66"/>
      <c r="C850" s="66"/>
      <c r="D850" s="66"/>
      <c r="E850" s="68"/>
      <c r="F850" s="69"/>
      <c r="G850" s="70"/>
      <c r="H850" s="71"/>
      <c r="I850" s="72"/>
      <c r="J850" s="73"/>
      <c r="K850" s="62"/>
      <c r="L850" s="62"/>
      <c r="M850" s="62"/>
      <c r="N850" s="62"/>
      <c r="O850" s="62"/>
    </row>
    <row r="851" spans="1:15">
      <c r="A851" s="75">
        <f t="shared" si="13"/>
        <v>0</v>
      </c>
      <c r="B851" s="66"/>
      <c r="C851" s="66"/>
      <c r="D851" s="66"/>
      <c r="E851" s="68"/>
      <c r="F851" s="69"/>
      <c r="G851" s="70"/>
      <c r="H851" s="71"/>
      <c r="I851" s="72"/>
      <c r="J851" s="73"/>
      <c r="K851" s="62"/>
      <c r="L851" s="62"/>
      <c r="M851" s="62"/>
      <c r="N851" s="62"/>
      <c r="O851" s="62"/>
    </row>
    <row r="852" spans="1:15">
      <c r="A852" s="75">
        <f t="shared" si="13"/>
        <v>0</v>
      </c>
      <c r="B852" s="66"/>
      <c r="C852" s="66"/>
      <c r="D852" s="66"/>
      <c r="E852" s="68"/>
      <c r="F852" s="69"/>
      <c r="G852" s="70"/>
      <c r="H852" s="71"/>
      <c r="I852" s="72"/>
      <c r="J852" s="73"/>
      <c r="K852" s="62"/>
      <c r="L852" s="62"/>
      <c r="M852" s="62"/>
      <c r="N852" s="62"/>
      <c r="O852" s="62"/>
    </row>
    <row r="853" spans="1:15">
      <c r="A853" s="75">
        <f t="shared" si="13"/>
        <v>0</v>
      </c>
      <c r="B853" s="66"/>
      <c r="C853" s="66"/>
      <c r="D853" s="66"/>
      <c r="E853" s="68"/>
      <c r="F853" s="69"/>
      <c r="G853" s="70"/>
      <c r="H853" s="71"/>
      <c r="I853" s="72"/>
      <c r="J853" s="73"/>
      <c r="K853" s="62"/>
      <c r="L853" s="62"/>
      <c r="M853" s="62"/>
      <c r="N853" s="62"/>
      <c r="O853" s="62"/>
    </row>
    <row r="854" spans="1:15">
      <c r="A854" s="75">
        <f t="shared" si="13"/>
        <v>0</v>
      </c>
      <c r="B854" s="66"/>
      <c r="C854" s="66"/>
      <c r="D854" s="66"/>
      <c r="E854" s="68"/>
      <c r="F854" s="69"/>
      <c r="G854" s="70"/>
      <c r="H854" s="71"/>
      <c r="I854" s="72"/>
      <c r="J854" s="73"/>
      <c r="K854" s="62"/>
      <c r="L854" s="62"/>
      <c r="M854" s="62"/>
      <c r="N854" s="62"/>
      <c r="O854" s="62"/>
    </row>
    <row r="855" spans="1:15">
      <c r="A855" s="75">
        <f t="shared" si="13"/>
        <v>0</v>
      </c>
      <c r="B855" s="66"/>
      <c r="C855" s="66"/>
      <c r="D855" s="66"/>
      <c r="E855" s="68"/>
      <c r="F855" s="69"/>
      <c r="G855" s="70"/>
      <c r="H855" s="71"/>
      <c r="I855" s="72"/>
      <c r="J855" s="73"/>
      <c r="K855" s="62"/>
      <c r="L855" s="62"/>
      <c r="M855" s="62"/>
      <c r="N855" s="62"/>
      <c r="O855" s="62"/>
    </row>
    <row r="856" spans="1:15">
      <c r="A856" s="75">
        <f t="shared" si="13"/>
        <v>0</v>
      </c>
      <c r="B856" s="66"/>
      <c r="C856" s="66"/>
      <c r="D856" s="66"/>
      <c r="E856" s="68"/>
      <c r="F856" s="69"/>
      <c r="G856" s="70"/>
      <c r="H856" s="71"/>
      <c r="I856" s="72"/>
      <c r="J856" s="73"/>
      <c r="K856" s="62"/>
      <c r="L856" s="62"/>
      <c r="M856" s="62"/>
      <c r="N856" s="62"/>
      <c r="O856" s="62"/>
    </row>
    <row r="857" spans="1:15">
      <c r="A857" s="75">
        <f t="shared" si="13"/>
        <v>0</v>
      </c>
      <c r="B857" s="66"/>
      <c r="C857" s="66"/>
      <c r="D857" s="66"/>
      <c r="E857" s="68"/>
      <c r="F857" s="69"/>
      <c r="G857" s="70"/>
      <c r="H857" s="71"/>
      <c r="I857" s="72"/>
      <c r="J857" s="73"/>
      <c r="K857" s="62"/>
      <c r="L857" s="62"/>
      <c r="M857" s="62"/>
      <c r="N857" s="62"/>
      <c r="O857" s="62"/>
    </row>
    <row r="858" spans="1:15">
      <c r="A858" s="75">
        <f t="shared" si="13"/>
        <v>0</v>
      </c>
      <c r="B858" s="66"/>
      <c r="C858" s="66"/>
      <c r="D858" s="66"/>
      <c r="E858" s="68"/>
      <c r="F858" s="69"/>
      <c r="G858" s="70"/>
      <c r="H858" s="71"/>
      <c r="I858" s="72"/>
      <c r="J858" s="73"/>
      <c r="K858" s="62"/>
      <c r="L858" s="62"/>
      <c r="M858" s="62"/>
      <c r="N858" s="62"/>
      <c r="O858" s="62"/>
    </row>
    <row r="859" spans="1:15">
      <c r="A859" s="75">
        <f t="shared" si="13"/>
        <v>0</v>
      </c>
      <c r="B859" s="66"/>
      <c r="C859" s="66"/>
      <c r="D859" s="66"/>
      <c r="E859" s="68"/>
      <c r="F859" s="69"/>
      <c r="G859" s="70"/>
      <c r="H859" s="71"/>
      <c r="I859" s="72"/>
      <c r="J859" s="73"/>
      <c r="K859" s="62"/>
      <c r="L859" s="62"/>
      <c r="M859" s="62"/>
      <c r="N859" s="62"/>
      <c r="O859" s="62"/>
    </row>
    <row r="860" spans="1:15">
      <c r="A860" s="75">
        <f t="shared" si="13"/>
        <v>0</v>
      </c>
      <c r="B860" s="66"/>
      <c r="C860" s="66"/>
      <c r="D860" s="66"/>
      <c r="E860" s="68"/>
      <c r="F860" s="69"/>
      <c r="G860" s="70"/>
      <c r="H860" s="71"/>
      <c r="I860" s="72"/>
      <c r="J860" s="73"/>
      <c r="K860" s="62"/>
      <c r="L860" s="62"/>
      <c r="M860" s="62"/>
      <c r="N860" s="62"/>
      <c r="O860" s="62"/>
    </row>
    <row r="861" spans="1:15">
      <c r="A861" s="75">
        <f t="shared" si="13"/>
        <v>0</v>
      </c>
      <c r="B861" s="66"/>
      <c r="C861" s="66"/>
      <c r="D861" s="66"/>
      <c r="E861" s="68"/>
      <c r="F861" s="69"/>
      <c r="G861" s="70"/>
      <c r="H861" s="71"/>
      <c r="I861" s="72"/>
      <c r="J861" s="73"/>
      <c r="K861" s="62"/>
      <c r="L861" s="62"/>
      <c r="M861" s="62"/>
      <c r="N861" s="62"/>
      <c r="O861" s="62"/>
    </row>
    <row r="862" spans="1:15">
      <c r="A862" s="75">
        <f t="shared" si="13"/>
        <v>0</v>
      </c>
      <c r="B862" s="66"/>
      <c r="C862" s="66"/>
      <c r="D862" s="66"/>
      <c r="E862" s="68"/>
      <c r="F862" s="69"/>
      <c r="G862" s="70"/>
      <c r="H862" s="71"/>
      <c r="I862" s="72"/>
      <c r="J862" s="73"/>
      <c r="K862" s="62"/>
      <c r="L862" s="62"/>
      <c r="M862" s="62"/>
      <c r="N862" s="62"/>
      <c r="O862" s="62"/>
    </row>
    <row r="863" spans="1:15">
      <c r="A863" s="75">
        <f t="shared" si="13"/>
        <v>0</v>
      </c>
      <c r="B863" s="66"/>
      <c r="C863" s="66"/>
      <c r="D863" s="66"/>
      <c r="E863" s="68"/>
      <c r="F863" s="69"/>
      <c r="G863" s="70"/>
      <c r="H863" s="71"/>
      <c r="I863" s="72"/>
      <c r="J863" s="73"/>
      <c r="K863" s="62"/>
      <c r="L863" s="62"/>
      <c r="M863" s="62"/>
      <c r="N863" s="62"/>
      <c r="O863" s="62"/>
    </row>
    <row r="864" spans="1:15">
      <c r="A864" s="75">
        <f t="shared" si="13"/>
        <v>0</v>
      </c>
      <c r="B864" s="66"/>
      <c r="C864" s="66"/>
      <c r="D864" s="66"/>
      <c r="E864" s="68"/>
      <c r="F864" s="69"/>
      <c r="G864" s="70"/>
      <c r="H864" s="71"/>
      <c r="I864" s="72"/>
      <c r="J864" s="73"/>
      <c r="K864" s="62"/>
      <c r="L864" s="62"/>
      <c r="M864" s="62"/>
      <c r="N864" s="62"/>
      <c r="O864" s="62"/>
    </row>
    <row r="865" spans="1:15">
      <c r="A865" s="75">
        <f t="shared" si="13"/>
        <v>0</v>
      </c>
      <c r="B865" s="66"/>
      <c r="C865" s="66"/>
      <c r="D865" s="66"/>
      <c r="E865" s="68"/>
      <c r="F865" s="69"/>
      <c r="G865" s="70"/>
      <c r="H865" s="71"/>
      <c r="I865" s="72"/>
      <c r="J865" s="73"/>
      <c r="K865" s="62"/>
      <c r="L865" s="62"/>
      <c r="M865" s="62"/>
      <c r="N865" s="62"/>
      <c r="O865" s="62"/>
    </row>
    <row r="866" spans="1:15">
      <c r="A866" s="75">
        <f t="shared" si="13"/>
        <v>0</v>
      </c>
      <c r="B866" s="66"/>
      <c r="C866" s="66"/>
      <c r="D866" s="66"/>
      <c r="E866" s="68"/>
      <c r="F866" s="69"/>
      <c r="G866" s="70"/>
      <c r="H866" s="71"/>
      <c r="I866" s="72"/>
      <c r="J866" s="73"/>
      <c r="K866" s="62"/>
      <c r="L866" s="62"/>
      <c r="M866" s="62"/>
      <c r="N866" s="62"/>
      <c r="O866" s="62"/>
    </row>
    <row r="867" spans="1:15">
      <c r="A867" s="75">
        <f t="shared" si="13"/>
        <v>0</v>
      </c>
      <c r="B867" s="66"/>
      <c r="C867" s="66"/>
      <c r="D867" s="66"/>
      <c r="E867" s="68"/>
      <c r="F867" s="69"/>
      <c r="G867" s="70"/>
      <c r="H867" s="71"/>
      <c r="I867" s="72"/>
      <c r="J867" s="73"/>
      <c r="K867" s="62"/>
      <c r="L867" s="62"/>
      <c r="M867" s="62"/>
      <c r="N867" s="62"/>
      <c r="O867" s="62"/>
    </row>
    <row r="868" spans="1:15">
      <c r="A868" s="75">
        <f t="shared" si="13"/>
        <v>0</v>
      </c>
      <c r="B868" s="66"/>
      <c r="C868" s="66"/>
      <c r="D868" s="66"/>
      <c r="E868" s="68"/>
      <c r="F868" s="69"/>
      <c r="G868" s="70"/>
      <c r="H868" s="71"/>
      <c r="I868" s="72"/>
      <c r="J868" s="73"/>
      <c r="K868" s="62"/>
      <c r="L868" s="62"/>
      <c r="M868" s="62"/>
      <c r="N868" s="62"/>
      <c r="O868" s="62"/>
    </row>
    <row r="869" spans="1:15">
      <c r="A869" s="75">
        <f t="shared" si="13"/>
        <v>0</v>
      </c>
      <c r="B869" s="66"/>
      <c r="C869" s="66"/>
      <c r="D869" s="66"/>
      <c r="E869" s="68"/>
      <c r="F869" s="69"/>
      <c r="G869" s="70"/>
      <c r="H869" s="71"/>
      <c r="I869" s="72"/>
      <c r="J869" s="73"/>
      <c r="K869" s="62"/>
      <c r="L869" s="62"/>
      <c r="M869" s="62"/>
      <c r="N869" s="62"/>
      <c r="O869" s="62"/>
    </row>
    <row r="870" spans="1:15">
      <c r="A870" s="75">
        <f t="shared" si="13"/>
        <v>0</v>
      </c>
      <c r="B870" s="66"/>
      <c r="C870" s="66"/>
      <c r="D870" s="66"/>
      <c r="E870" s="68"/>
      <c r="F870" s="69"/>
      <c r="G870" s="70"/>
      <c r="H870" s="71"/>
      <c r="I870" s="72"/>
      <c r="J870" s="73"/>
      <c r="K870" s="62"/>
      <c r="L870" s="62"/>
      <c r="M870" s="62"/>
      <c r="N870" s="62"/>
      <c r="O870" s="62"/>
    </row>
    <row r="871" spans="1:15">
      <c r="A871" s="75">
        <f t="shared" si="13"/>
        <v>0</v>
      </c>
      <c r="B871" s="66"/>
      <c r="C871" s="66"/>
      <c r="D871" s="66"/>
      <c r="E871" s="68"/>
      <c r="F871" s="69"/>
      <c r="G871" s="70"/>
      <c r="H871" s="71"/>
      <c r="I871" s="72"/>
      <c r="J871" s="73"/>
      <c r="K871" s="62"/>
      <c r="L871" s="62"/>
      <c r="M871" s="62"/>
      <c r="N871" s="62"/>
      <c r="O871" s="62"/>
    </row>
    <row r="872" spans="1:15">
      <c r="A872" s="75">
        <f t="shared" si="13"/>
        <v>0</v>
      </c>
      <c r="B872" s="66"/>
      <c r="C872" s="66"/>
      <c r="D872" s="66"/>
      <c r="E872" s="68"/>
      <c r="F872" s="69"/>
      <c r="G872" s="70"/>
      <c r="H872" s="71"/>
      <c r="I872" s="72"/>
      <c r="J872" s="73"/>
      <c r="K872" s="62"/>
      <c r="L872" s="62"/>
      <c r="M872" s="62"/>
      <c r="N872" s="62"/>
      <c r="O872" s="62"/>
    </row>
    <row r="873" spans="1:15">
      <c r="A873" s="75">
        <f t="shared" si="13"/>
        <v>0</v>
      </c>
      <c r="B873" s="66"/>
      <c r="C873" s="66"/>
      <c r="D873" s="66"/>
      <c r="E873" s="68"/>
      <c r="F873" s="69"/>
      <c r="G873" s="70"/>
      <c r="H873" s="71"/>
      <c r="I873" s="72"/>
      <c r="J873" s="73"/>
      <c r="K873" s="62"/>
      <c r="L873" s="62"/>
      <c r="M873" s="62"/>
      <c r="N873" s="62"/>
      <c r="O873" s="62"/>
    </row>
    <row r="874" spans="1:15">
      <c r="A874" s="75">
        <f t="shared" si="13"/>
        <v>0</v>
      </c>
      <c r="B874" s="66"/>
      <c r="C874" s="66"/>
      <c r="D874" s="66"/>
      <c r="E874" s="68"/>
      <c r="F874" s="69"/>
      <c r="G874" s="70"/>
      <c r="H874" s="71"/>
      <c r="I874" s="72"/>
      <c r="J874" s="73"/>
      <c r="K874" s="62"/>
      <c r="L874" s="62"/>
      <c r="M874" s="62"/>
      <c r="N874" s="62"/>
      <c r="O874" s="62"/>
    </row>
    <row r="875" spans="1:15">
      <c r="A875" s="75">
        <f t="shared" si="13"/>
        <v>0</v>
      </c>
      <c r="B875" s="66"/>
      <c r="C875" s="66"/>
      <c r="D875" s="66"/>
      <c r="E875" s="68"/>
      <c r="F875" s="69"/>
      <c r="G875" s="70"/>
      <c r="H875" s="71"/>
      <c r="I875" s="72"/>
      <c r="J875" s="73"/>
      <c r="K875" s="62"/>
      <c r="L875" s="62"/>
      <c r="M875" s="62"/>
      <c r="N875" s="62"/>
      <c r="O875" s="62"/>
    </row>
    <row r="876" spans="1:15">
      <c r="A876" s="75">
        <f t="shared" si="13"/>
        <v>0</v>
      </c>
      <c r="B876" s="66"/>
      <c r="C876" s="66"/>
      <c r="D876" s="66"/>
      <c r="E876" s="68"/>
      <c r="F876" s="69"/>
      <c r="G876" s="70"/>
      <c r="H876" s="71"/>
      <c r="I876" s="72"/>
      <c r="J876" s="73"/>
      <c r="K876" s="62"/>
      <c r="L876" s="62"/>
      <c r="M876" s="62"/>
      <c r="N876" s="62"/>
      <c r="O876" s="62"/>
    </row>
    <row r="877" spans="1:15">
      <c r="A877" s="75">
        <f t="shared" si="13"/>
        <v>0</v>
      </c>
      <c r="B877" s="66"/>
      <c r="C877" s="66"/>
      <c r="D877" s="66"/>
      <c r="E877" s="68"/>
      <c r="F877" s="69"/>
      <c r="G877" s="70"/>
      <c r="H877" s="71"/>
      <c r="I877" s="72"/>
      <c r="J877" s="73"/>
      <c r="K877" s="62"/>
      <c r="L877" s="62"/>
      <c r="M877" s="62"/>
      <c r="N877" s="62"/>
      <c r="O877" s="62"/>
    </row>
    <row r="878" spans="1:15">
      <c r="A878" s="75">
        <f t="shared" si="13"/>
        <v>0</v>
      </c>
      <c r="B878" s="66"/>
      <c r="C878" s="66"/>
      <c r="D878" s="66"/>
      <c r="E878" s="68"/>
      <c r="F878" s="69"/>
      <c r="G878" s="70"/>
      <c r="H878" s="71"/>
      <c r="I878" s="72"/>
      <c r="J878" s="73"/>
      <c r="K878" s="62"/>
      <c r="L878" s="62"/>
      <c r="M878" s="62"/>
      <c r="N878" s="62"/>
      <c r="O878" s="62"/>
    </row>
    <row r="879" spans="1:15">
      <c r="A879" s="75">
        <f t="shared" si="13"/>
        <v>0</v>
      </c>
      <c r="B879" s="66"/>
      <c r="C879" s="66"/>
      <c r="D879" s="66"/>
      <c r="E879" s="68"/>
      <c r="F879" s="69"/>
      <c r="G879" s="70"/>
      <c r="H879" s="71"/>
      <c r="I879" s="72"/>
      <c r="J879" s="73"/>
      <c r="K879" s="62"/>
      <c r="L879" s="62"/>
      <c r="M879" s="62"/>
      <c r="N879" s="62"/>
      <c r="O879" s="62"/>
    </row>
    <row r="880" spans="1:15">
      <c r="A880" s="75">
        <f t="shared" si="13"/>
        <v>0</v>
      </c>
      <c r="B880" s="66"/>
      <c r="C880" s="66"/>
      <c r="D880" s="66"/>
      <c r="E880" s="68"/>
      <c r="F880" s="69"/>
      <c r="G880" s="70"/>
      <c r="H880" s="71"/>
      <c r="I880" s="72"/>
      <c r="J880" s="73"/>
      <c r="K880" s="62"/>
      <c r="L880" s="62"/>
      <c r="M880" s="62"/>
      <c r="N880" s="62"/>
      <c r="O880" s="62"/>
    </row>
    <row r="881" spans="1:15">
      <c r="A881" s="75">
        <f t="shared" si="13"/>
        <v>0</v>
      </c>
      <c r="B881" s="66"/>
      <c r="C881" s="66"/>
      <c r="D881" s="66"/>
      <c r="E881" s="68"/>
      <c r="F881" s="69"/>
      <c r="G881" s="70"/>
      <c r="H881" s="71"/>
      <c r="I881" s="72"/>
      <c r="J881" s="73"/>
      <c r="K881" s="62"/>
      <c r="L881" s="62"/>
      <c r="M881" s="62"/>
      <c r="N881" s="62"/>
      <c r="O881" s="62"/>
    </row>
    <row r="882" spans="1:15">
      <c r="A882" s="75">
        <f t="shared" si="13"/>
        <v>0</v>
      </c>
      <c r="B882" s="66"/>
      <c r="C882" s="66"/>
      <c r="D882" s="66"/>
      <c r="E882" s="68"/>
      <c r="F882" s="69"/>
      <c r="G882" s="70"/>
      <c r="H882" s="71"/>
      <c r="I882" s="72"/>
      <c r="J882" s="73"/>
      <c r="K882" s="62"/>
      <c r="L882" s="62"/>
      <c r="M882" s="62"/>
      <c r="N882" s="62"/>
      <c r="O882" s="62"/>
    </row>
    <row r="883" spans="1:15">
      <c r="A883" s="75">
        <f t="shared" si="13"/>
        <v>0</v>
      </c>
      <c r="B883" s="66"/>
      <c r="C883" s="66"/>
      <c r="D883" s="66"/>
      <c r="E883" s="68"/>
      <c r="F883" s="69"/>
      <c r="G883" s="70"/>
      <c r="H883" s="71"/>
      <c r="I883" s="72"/>
      <c r="J883" s="73"/>
      <c r="K883" s="62"/>
      <c r="L883" s="62"/>
      <c r="M883" s="62"/>
      <c r="N883" s="62"/>
      <c r="O883" s="62"/>
    </row>
    <row r="884" spans="1:15">
      <c r="A884" s="75">
        <f t="shared" si="13"/>
        <v>0</v>
      </c>
      <c r="B884" s="66"/>
      <c r="C884" s="66"/>
      <c r="D884" s="66"/>
      <c r="E884" s="68"/>
      <c r="F884" s="69"/>
      <c r="G884" s="70"/>
      <c r="H884" s="71"/>
      <c r="I884" s="72"/>
      <c r="J884" s="73"/>
      <c r="K884" s="62"/>
      <c r="L884" s="62"/>
      <c r="M884" s="62"/>
      <c r="N884" s="62"/>
      <c r="O884" s="62"/>
    </row>
    <row r="885" spans="1:15">
      <c r="A885" s="75">
        <f t="shared" si="13"/>
        <v>0</v>
      </c>
      <c r="B885" s="66"/>
      <c r="C885" s="66"/>
      <c r="D885" s="66"/>
      <c r="E885" s="68"/>
      <c r="F885" s="69"/>
      <c r="G885" s="70"/>
      <c r="H885" s="71"/>
      <c r="I885" s="72"/>
      <c r="J885" s="73"/>
      <c r="K885" s="62"/>
      <c r="L885" s="62"/>
      <c r="M885" s="62"/>
      <c r="N885" s="62"/>
      <c r="O885" s="62"/>
    </row>
    <row r="886" spans="1:15">
      <c r="A886" s="75">
        <f t="shared" si="13"/>
        <v>0</v>
      </c>
      <c r="B886" s="66"/>
      <c r="C886" s="66"/>
      <c r="D886" s="66"/>
      <c r="E886" s="68"/>
      <c r="F886" s="69"/>
      <c r="G886" s="70"/>
      <c r="H886" s="71"/>
      <c r="I886" s="72"/>
      <c r="J886" s="73"/>
      <c r="K886" s="62"/>
      <c r="L886" s="62"/>
      <c r="M886" s="62"/>
      <c r="N886" s="62"/>
      <c r="O886" s="62"/>
    </row>
    <row r="887" spans="1:15">
      <c r="A887" s="75">
        <f t="shared" si="13"/>
        <v>0</v>
      </c>
      <c r="B887" s="66"/>
      <c r="C887" s="66"/>
      <c r="D887" s="66"/>
      <c r="E887" s="68"/>
      <c r="F887" s="69"/>
      <c r="G887" s="70"/>
      <c r="H887" s="71"/>
      <c r="I887" s="72"/>
      <c r="J887" s="73"/>
      <c r="K887" s="62"/>
      <c r="L887" s="62"/>
      <c r="M887" s="62"/>
      <c r="N887" s="62"/>
      <c r="O887" s="62"/>
    </row>
    <row r="888" spans="1:15">
      <c r="A888" s="75">
        <f t="shared" si="13"/>
        <v>0</v>
      </c>
      <c r="B888" s="66"/>
      <c r="C888" s="66"/>
      <c r="D888" s="66"/>
      <c r="E888" s="68"/>
      <c r="F888" s="69"/>
      <c r="G888" s="70"/>
      <c r="H888" s="71"/>
      <c r="I888" s="72"/>
      <c r="J888" s="73"/>
      <c r="K888" s="62"/>
      <c r="L888" s="62"/>
      <c r="M888" s="62"/>
      <c r="N888" s="62"/>
      <c r="O888" s="62"/>
    </row>
    <row r="889" spans="1:15">
      <c r="A889" s="75">
        <f t="shared" si="13"/>
        <v>0</v>
      </c>
      <c r="B889" s="66"/>
      <c r="C889" s="66"/>
      <c r="D889" s="66"/>
      <c r="E889" s="68"/>
      <c r="F889" s="69"/>
      <c r="G889" s="70"/>
      <c r="H889" s="71"/>
      <c r="I889" s="72"/>
      <c r="J889" s="73"/>
      <c r="K889" s="62"/>
      <c r="L889" s="62"/>
      <c r="M889" s="62"/>
      <c r="N889" s="62"/>
      <c r="O889" s="62"/>
    </row>
    <row r="890" spans="1:15">
      <c r="A890" s="75">
        <f t="shared" si="13"/>
        <v>0</v>
      </c>
      <c r="B890" s="66"/>
      <c r="C890" s="66"/>
      <c r="D890" s="66"/>
      <c r="E890" s="68"/>
      <c r="F890" s="69"/>
      <c r="G890" s="70"/>
      <c r="H890" s="71"/>
      <c r="I890" s="72"/>
      <c r="J890" s="73"/>
      <c r="K890" s="62"/>
      <c r="L890" s="62"/>
      <c r="M890" s="62"/>
      <c r="N890" s="62"/>
      <c r="O890" s="62"/>
    </row>
    <row r="891" spans="1:15">
      <c r="A891" s="75">
        <f t="shared" si="13"/>
        <v>0</v>
      </c>
      <c r="B891" s="66"/>
      <c r="C891" s="66"/>
      <c r="D891" s="66"/>
      <c r="E891" s="68"/>
      <c r="F891" s="69"/>
      <c r="G891" s="70"/>
      <c r="H891" s="71"/>
      <c r="I891" s="72"/>
      <c r="J891" s="73"/>
      <c r="K891" s="62"/>
      <c r="L891" s="62"/>
      <c r="M891" s="62"/>
      <c r="N891" s="62"/>
      <c r="O891" s="62"/>
    </row>
    <row r="892" spans="1:15">
      <c r="A892" s="75">
        <f t="shared" si="13"/>
        <v>0</v>
      </c>
      <c r="B892" s="66"/>
      <c r="C892" s="66"/>
      <c r="D892" s="66"/>
      <c r="E892" s="68"/>
      <c r="F892" s="69"/>
      <c r="G892" s="70"/>
      <c r="H892" s="71"/>
      <c r="I892" s="72"/>
      <c r="J892" s="73"/>
      <c r="K892" s="62"/>
      <c r="L892" s="62"/>
      <c r="M892" s="62"/>
      <c r="N892" s="62"/>
      <c r="O892" s="62"/>
    </row>
    <row r="893" spans="1:15">
      <c r="A893" s="75">
        <f t="shared" si="13"/>
        <v>0</v>
      </c>
      <c r="B893" s="66"/>
      <c r="C893" s="66"/>
      <c r="D893" s="66"/>
      <c r="E893" s="68"/>
      <c r="F893" s="69"/>
      <c r="G893" s="70"/>
      <c r="H893" s="71"/>
      <c r="I893" s="72"/>
      <c r="J893" s="73"/>
      <c r="K893" s="62"/>
      <c r="L893" s="62"/>
      <c r="M893" s="62"/>
      <c r="N893" s="62"/>
      <c r="O893" s="62"/>
    </row>
    <row r="894" spans="1:15">
      <c r="A894" s="75">
        <f t="shared" si="13"/>
        <v>0</v>
      </c>
      <c r="B894" s="66"/>
      <c r="C894" s="66"/>
      <c r="D894" s="66"/>
      <c r="E894" s="68"/>
      <c r="F894" s="69"/>
      <c r="G894" s="70"/>
      <c r="H894" s="71"/>
      <c r="I894" s="72"/>
      <c r="J894" s="73"/>
      <c r="K894" s="62"/>
      <c r="L894" s="62"/>
      <c r="M894" s="62"/>
      <c r="N894" s="62"/>
      <c r="O894" s="62"/>
    </row>
    <row r="895" spans="1:15">
      <c r="A895" s="75">
        <f t="shared" si="13"/>
        <v>0</v>
      </c>
      <c r="B895" s="66"/>
      <c r="C895" s="66"/>
      <c r="D895" s="66"/>
      <c r="E895" s="68"/>
      <c r="F895" s="69"/>
      <c r="G895" s="70"/>
      <c r="H895" s="71"/>
      <c r="I895" s="72"/>
      <c r="J895" s="73"/>
      <c r="K895" s="62"/>
      <c r="L895" s="62"/>
      <c r="M895" s="62"/>
      <c r="N895" s="62"/>
      <c r="O895" s="62"/>
    </row>
    <row r="896" spans="1:15">
      <c r="A896" s="75">
        <f t="shared" si="13"/>
        <v>0</v>
      </c>
      <c r="B896" s="66"/>
      <c r="C896" s="66"/>
      <c r="D896" s="66"/>
      <c r="E896" s="68"/>
      <c r="F896" s="69"/>
      <c r="G896" s="70"/>
      <c r="H896" s="71"/>
      <c r="I896" s="72"/>
      <c r="J896" s="73"/>
      <c r="K896" s="62"/>
      <c r="L896" s="62"/>
      <c r="M896" s="62"/>
      <c r="N896" s="62"/>
      <c r="O896" s="62"/>
    </row>
    <row r="897" spans="1:15">
      <c r="A897" s="75">
        <f t="shared" si="13"/>
        <v>0</v>
      </c>
      <c r="B897" s="66"/>
      <c r="C897" s="66"/>
      <c r="D897" s="66"/>
      <c r="E897" s="68"/>
      <c r="F897" s="69"/>
      <c r="G897" s="70"/>
      <c r="H897" s="71"/>
      <c r="I897" s="72"/>
      <c r="J897" s="73"/>
      <c r="K897" s="62"/>
      <c r="L897" s="62"/>
      <c r="M897" s="62"/>
      <c r="N897" s="62"/>
      <c r="O897" s="62"/>
    </row>
    <row r="898" spans="1:15">
      <c r="A898" s="75">
        <f t="shared" si="13"/>
        <v>0</v>
      </c>
      <c r="B898" s="66"/>
      <c r="C898" s="66"/>
      <c r="D898" s="66"/>
      <c r="E898" s="68"/>
      <c r="F898" s="69"/>
      <c r="G898" s="70"/>
      <c r="H898" s="71"/>
      <c r="I898" s="72"/>
      <c r="J898" s="73"/>
      <c r="K898" s="62"/>
      <c r="L898" s="62"/>
      <c r="M898" s="62"/>
      <c r="N898" s="62"/>
      <c r="O898" s="62"/>
    </row>
    <row r="899" spans="1:15">
      <c r="A899" s="75">
        <f t="shared" si="13"/>
        <v>0</v>
      </c>
      <c r="B899" s="66"/>
      <c r="C899" s="66"/>
      <c r="D899" s="66"/>
      <c r="E899" s="68"/>
      <c r="F899" s="69"/>
      <c r="G899" s="70"/>
      <c r="H899" s="71"/>
      <c r="I899" s="72"/>
      <c r="J899" s="73"/>
      <c r="K899" s="62"/>
      <c r="L899" s="62"/>
      <c r="M899" s="62"/>
      <c r="N899" s="62"/>
      <c r="O899" s="62"/>
    </row>
    <row r="900" spans="1:15">
      <c r="A900" s="75">
        <f t="shared" si="13"/>
        <v>0</v>
      </c>
      <c r="B900" s="66"/>
      <c r="C900" s="66"/>
      <c r="D900" s="66"/>
      <c r="E900" s="68"/>
      <c r="F900" s="69"/>
      <c r="G900" s="70"/>
      <c r="H900" s="71"/>
      <c r="I900" s="72"/>
      <c r="J900" s="73"/>
      <c r="K900" s="62"/>
      <c r="L900" s="62"/>
      <c r="M900" s="62"/>
      <c r="N900" s="62"/>
      <c r="O900" s="62"/>
    </row>
    <row r="901" spans="1:15">
      <c r="A901" s="75">
        <f t="shared" si="13"/>
        <v>0</v>
      </c>
      <c r="B901" s="66"/>
      <c r="C901" s="66"/>
      <c r="D901" s="66"/>
      <c r="E901" s="68"/>
      <c r="F901" s="69"/>
      <c r="G901" s="70"/>
      <c r="H901" s="71"/>
      <c r="I901" s="72"/>
      <c r="J901" s="73"/>
      <c r="K901" s="62"/>
      <c r="L901" s="62"/>
      <c r="M901" s="62"/>
      <c r="N901" s="62"/>
      <c r="O901" s="62"/>
    </row>
    <row r="902" spans="1:15">
      <c r="A902" s="75">
        <f t="shared" si="13"/>
        <v>0</v>
      </c>
      <c r="B902" s="66"/>
      <c r="C902" s="66"/>
      <c r="D902" s="66"/>
      <c r="E902" s="68"/>
      <c r="F902" s="69"/>
      <c r="G902" s="70"/>
      <c r="H902" s="71"/>
      <c r="I902" s="72"/>
      <c r="J902" s="73"/>
      <c r="K902" s="62"/>
      <c r="L902" s="62"/>
      <c r="M902" s="62"/>
      <c r="N902" s="62"/>
      <c r="O902" s="62"/>
    </row>
    <row r="903" spans="1:15">
      <c r="A903" s="75">
        <f t="shared" si="13"/>
        <v>0</v>
      </c>
      <c r="B903" s="66"/>
      <c r="C903" s="66"/>
      <c r="D903" s="66"/>
      <c r="E903" s="68"/>
      <c r="F903" s="69"/>
      <c r="G903" s="70"/>
      <c r="H903" s="71"/>
      <c r="I903" s="72"/>
      <c r="J903" s="73"/>
      <c r="K903" s="62"/>
      <c r="L903" s="62"/>
      <c r="M903" s="62"/>
      <c r="N903" s="62"/>
      <c r="O903" s="62"/>
    </row>
    <row r="904" spans="1:15">
      <c r="A904" s="75">
        <f t="shared" si="13"/>
        <v>0</v>
      </c>
      <c r="B904" s="66"/>
      <c r="C904" s="66"/>
      <c r="D904" s="66"/>
      <c r="E904" s="68"/>
      <c r="F904" s="69"/>
      <c r="G904" s="70"/>
      <c r="H904" s="71"/>
      <c r="I904" s="72"/>
      <c r="J904" s="73"/>
      <c r="K904" s="62"/>
      <c r="L904" s="62"/>
      <c r="M904" s="62"/>
      <c r="N904" s="62"/>
      <c r="O904" s="62"/>
    </row>
    <row r="905" spans="1:15">
      <c r="A905" s="75">
        <f t="shared" si="13"/>
        <v>0</v>
      </c>
      <c r="B905" s="66"/>
      <c r="C905" s="66"/>
      <c r="D905" s="66"/>
      <c r="E905" s="68"/>
      <c r="F905" s="69"/>
      <c r="G905" s="70"/>
      <c r="H905" s="71"/>
      <c r="I905" s="72"/>
      <c r="J905" s="73"/>
      <c r="K905" s="62"/>
      <c r="L905" s="62"/>
      <c r="M905" s="62"/>
      <c r="N905" s="62"/>
      <c r="O905" s="62"/>
    </row>
    <row r="906" spans="1:15">
      <c r="A906" s="75">
        <f t="shared" ref="A906:A969" si="14">E906</f>
        <v>0</v>
      </c>
      <c r="B906" s="66"/>
      <c r="C906" s="66"/>
      <c r="D906" s="66"/>
      <c r="E906" s="68"/>
      <c r="F906" s="69"/>
      <c r="G906" s="70"/>
      <c r="H906" s="71"/>
      <c r="I906" s="72"/>
      <c r="J906" s="73"/>
      <c r="K906" s="62"/>
      <c r="L906" s="62"/>
      <c r="M906" s="62"/>
      <c r="N906" s="62"/>
      <c r="O906" s="62"/>
    </row>
    <row r="907" spans="1:15">
      <c r="A907" s="75">
        <f t="shared" si="14"/>
        <v>0</v>
      </c>
      <c r="B907" s="66"/>
      <c r="C907" s="66"/>
      <c r="D907" s="66"/>
      <c r="E907" s="68"/>
      <c r="F907" s="69"/>
      <c r="G907" s="70"/>
      <c r="H907" s="71"/>
      <c r="I907" s="72"/>
      <c r="J907" s="73"/>
      <c r="K907" s="62"/>
      <c r="L907" s="62"/>
      <c r="M907" s="62"/>
      <c r="N907" s="62"/>
      <c r="O907" s="62"/>
    </row>
    <row r="908" spans="1:15">
      <c r="A908" s="75">
        <f t="shared" si="14"/>
        <v>0</v>
      </c>
      <c r="B908" s="66"/>
      <c r="C908" s="66"/>
      <c r="D908" s="66"/>
      <c r="E908" s="68"/>
      <c r="F908" s="69"/>
      <c r="G908" s="70"/>
      <c r="H908" s="71"/>
      <c r="I908" s="72"/>
      <c r="J908" s="73"/>
      <c r="K908" s="62"/>
      <c r="L908" s="62"/>
      <c r="M908" s="62"/>
      <c r="N908" s="62"/>
      <c r="O908" s="62"/>
    </row>
    <row r="909" spans="1:15">
      <c r="A909" s="75">
        <f t="shared" si="14"/>
        <v>0</v>
      </c>
      <c r="B909" s="66"/>
      <c r="C909" s="66"/>
      <c r="D909" s="66"/>
      <c r="E909" s="68"/>
      <c r="F909" s="69"/>
      <c r="G909" s="70"/>
      <c r="H909" s="71"/>
      <c r="I909" s="72"/>
      <c r="J909" s="73"/>
      <c r="K909" s="62"/>
      <c r="L909" s="62"/>
      <c r="M909" s="62"/>
      <c r="N909" s="62"/>
      <c r="O909" s="62"/>
    </row>
    <row r="910" spans="1:15">
      <c r="A910" s="75">
        <f t="shared" si="14"/>
        <v>0</v>
      </c>
      <c r="B910" s="66"/>
      <c r="C910" s="66"/>
      <c r="D910" s="66"/>
      <c r="E910" s="68"/>
      <c r="F910" s="69"/>
      <c r="G910" s="70"/>
      <c r="H910" s="71"/>
      <c r="I910" s="72"/>
      <c r="J910" s="73"/>
      <c r="K910" s="62"/>
      <c r="L910" s="62"/>
      <c r="M910" s="62"/>
      <c r="N910" s="62"/>
      <c r="O910" s="62"/>
    </row>
    <row r="911" spans="1:15">
      <c r="A911" s="75">
        <f t="shared" si="14"/>
        <v>0</v>
      </c>
      <c r="B911" s="66"/>
      <c r="C911" s="66"/>
      <c r="D911" s="66"/>
      <c r="E911" s="68"/>
      <c r="F911" s="69"/>
      <c r="G911" s="70"/>
      <c r="H911" s="71"/>
      <c r="I911" s="72"/>
      <c r="J911" s="73"/>
      <c r="K911" s="62"/>
      <c r="L911" s="62"/>
      <c r="M911" s="62"/>
      <c r="N911" s="62"/>
      <c r="O911" s="62"/>
    </row>
    <row r="912" spans="1:15">
      <c r="A912" s="75">
        <f t="shared" si="14"/>
        <v>0</v>
      </c>
      <c r="B912" s="66"/>
      <c r="C912" s="66"/>
      <c r="D912" s="66"/>
      <c r="E912" s="68"/>
      <c r="F912" s="69"/>
      <c r="G912" s="70"/>
      <c r="H912" s="71"/>
      <c r="I912" s="72"/>
      <c r="J912" s="73"/>
      <c r="K912" s="62"/>
      <c r="L912" s="62"/>
      <c r="M912" s="62"/>
      <c r="N912" s="62"/>
      <c r="O912" s="62"/>
    </row>
    <row r="913" spans="1:15">
      <c r="A913" s="75">
        <f t="shared" si="14"/>
        <v>0</v>
      </c>
      <c r="B913" s="66"/>
      <c r="C913" s="66"/>
      <c r="D913" s="66"/>
      <c r="E913" s="68"/>
      <c r="F913" s="69"/>
      <c r="G913" s="70"/>
      <c r="H913" s="71"/>
      <c r="I913" s="72"/>
      <c r="J913" s="73"/>
      <c r="K913" s="62"/>
      <c r="L913" s="62"/>
      <c r="M913" s="62"/>
      <c r="N913" s="62"/>
      <c r="O913" s="62"/>
    </row>
    <row r="914" spans="1:15">
      <c r="A914" s="75">
        <f t="shared" si="14"/>
        <v>0</v>
      </c>
      <c r="B914" s="66"/>
      <c r="C914" s="66"/>
      <c r="D914" s="66"/>
      <c r="E914" s="68"/>
      <c r="F914" s="69"/>
      <c r="G914" s="70"/>
      <c r="H914" s="71"/>
      <c r="I914" s="72"/>
      <c r="J914" s="73"/>
      <c r="K914" s="62"/>
      <c r="L914" s="62"/>
      <c r="M914" s="62"/>
      <c r="N914" s="62"/>
      <c r="O914" s="62"/>
    </row>
    <row r="915" spans="1:15">
      <c r="A915" s="75">
        <f t="shared" si="14"/>
        <v>0</v>
      </c>
      <c r="B915" s="66"/>
      <c r="C915" s="66"/>
      <c r="D915" s="66"/>
      <c r="E915" s="68"/>
      <c r="F915" s="69"/>
      <c r="G915" s="70"/>
      <c r="H915" s="71"/>
      <c r="I915" s="72"/>
      <c r="J915" s="73"/>
      <c r="K915" s="62"/>
      <c r="L915" s="62"/>
      <c r="M915" s="62"/>
      <c r="N915" s="62"/>
      <c r="O915" s="62"/>
    </row>
    <row r="916" spans="1:15">
      <c r="A916" s="75">
        <f t="shared" si="14"/>
        <v>0</v>
      </c>
      <c r="B916" s="66"/>
      <c r="C916" s="66"/>
      <c r="D916" s="66"/>
      <c r="E916" s="68"/>
      <c r="F916" s="69"/>
      <c r="G916" s="70"/>
      <c r="H916" s="71"/>
      <c r="I916" s="72"/>
      <c r="J916" s="73"/>
      <c r="K916" s="62"/>
      <c r="L916" s="62"/>
      <c r="M916" s="62"/>
      <c r="N916" s="62"/>
      <c r="O916" s="62"/>
    </row>
    <row r="917" spans="1:15">
      <c r="A917" s="75">
        <f t="shared" si="14"/>
        <v>0</v>
      </c>
      <c r="B917" s="66"/>
      <c r="C917" s="66"/>
      <c r="D917" s="66"/>
      <c r="E917" s="68"/>
      <c r="F917" s="69"/>
      <c r="G917" s="70"/>
      <c r="H917" s="71"/>
      <c r="I917" s="72"/>
      <c r="J917" s="73"/>
      <c r="K917" s="62"/>
      <c r="L917" s="62"/>
      <c r="M917" s="62"/>
      <c r="N917" s="62"/>
      <c r="O917" s="62"/>
    </row>
    <row r="918" spans="1:15">
      <c r="A918" s="75">
        <f t="shared" si="14"/>
        <v>0</v>
      </c>
      <c r="B918" s="66"/>
      <c r="C918" s="66"/>
      <c r="D918" s="66"/>
      <c r="E918" s="68"/>
      <c r="F918" s="69"/>
      <c r="G918" s="70"/>
      <c r="H918" s="71"/>
      <c r="I918" s="72"/>
      <c r="J918" s="73"/>
      <c r="K918" s="62"/>
      <c r="L918" s="62"/>
      <c r="M918" s="62"/>
      <c r="N918" s="62"/>
      <c r="O918" s="62"/>
    </row>
    <row r="919" spans="1:15">
      <c r="A919" s="75">
        <f t="shared" si="14"/>
        <v>0</v>
      </c>
      <c r="B919" s="66"/>
      <c r="C919" s="66"/>
      <c r="D919" s="66"/>
      <c r="E919" s="68"/>
      <c r="F919" s="69"/>
      <c r="G919" s="70"/>
      <c r="H919" s="71"/>
      <c r="I919" s="72"/>
      <c r="J919" s="73"/>
      <c r="K919" s="62"/>
      <c r="L919" s="62"/>
      <c r="M919" s="62"/>
      <c r="N919" s="62"/>
      <c r="O919" s="62"/>
    </row>
    <row r="920" spans="1:15">
      <c r="A920" s="75">
        <f t="shared" si="14"/>
        <v>0</v>
      </c>
      <c r="B920" s="66"/>
      <c r="C920" s="66"/>
      <c r="D920" s="66"/>
      <c r="E920" s="68"/>
      <c r="F920" s="69"/>
      <c r="G920" s="70"/>
      <c r="H920" s="71"/>
      <c r="I920" s="72"/>
      <c r="J920" s="73"/>
      <c r="K920" s="62"/>
      <c r="L920" s="62"/>
      <c r="M920" s="62"/>
      <c r="N920" s="62"/>
      <c r="O920" s="62"/>
    </row>
    <row r="921" spans="1:15">
      <c r="A921" s="75">
        <f t="shared" si="14"/>
        <v>0</v>
      </c>
      <c r="B921" s="66"/>
      <c r="C921" s="66"/>
      <c r="D921" s="66"/>
      <c r="E921" s="68"/>
      <c r="F921" s="69"/>
      <c r="G921" s="70"/>
      <c r="H921" s="71"/>
      <c r="I921" s="72"/>
      <c r="J921" s="73"/>
      <c r="K921" s="62"/>
      <c r="L921" s="62"/>
      <c r="M921" s="62"/>
      <c r="N921" s="62"/>
      <c r="O921" s="62"/>
    </row>
    <row r="922" spans="1:15">
      <c r="A922" s="75">
        <f t="shared" si="14"/>
        <v>0</v>
      </c>
      <c r="B922" s="66"/>
      <c r="C922" s="66"/>
      <c r="D922" s="66"/>
      <c r="E922" s="68"/>
      <c r="F922" s="69"/>
      <c r="G922" s="70"/>
      <c r="H922" s="71"/>
      <c r="I922" s="72"/>
      <c r="J922" s="73"/>
      <c r="K922" s="62"/>
      <c r="L922" s="62"/>
      <c r="M922" s="62"/>
      <c r="N922" s="62"/>
      <c r="O922" s="62"/>
    </row>
    <row r="923" spans="1:15">
      <c r="A923" s="75">
        <f t="shared" si="14"/>
        <v>0</v>
      </c>
      <c r="B923" s="66"/>
      <c r="C923" s="66"/>
      <c r="D923" s="66"/>
      <c r="E923" s="68"/>
      <c r="F923" s="69"/>
      <c r="G923" s="70"/>
      <c r="H923" s="71"/>
      <c r="I923" s="72"/>
      <c r="J923" s="73"/>
      <c r="K923" s="62"/>
      <c r="L923" s="62"/>
      <c r="M923" s="62"/>
      <c r="N923" s="62"/>
      <c r="O923" s="62"/>
    </row>
    <row r="924" spans="1:15">
      <c r="A924" s="75">
        <f t="shared" si="14"/>
        <v>0</v>
      </c>
      <c r="B924" s="66"/>
      <c r="C924" s="66"/>
      <c r="D924" s="66"/>
      <c r="E924" s="68"/>
      <c r="F924" s="69"/>
      <c r="G924" s="70"/>
      <c r="H924" s="71"/>
      <c r="I924" s="72"/>
      <c r="J924" s="73"/>
      <c r="K924" s="62"/>
      <c r="L924" s="62"/>
      <c r="M924" s="62"/>
      <c r="N924" s="62"/>
      <c r="O924" s="62"/>
    </row>
    <row r="925" spans="1:15">
      <c r="A925" s="75">
        <f t="shared" si="14"/>
        <v>0</v>
      </c>
      <c r="B925" s="66"/>
      <c r="C925" s="66"/>
      <c r="D925" s="66"/>
      <c r="E925" s="68"/>
      <c r="F925" s="69"/>
      <c r="G925" s="70"/>
      <c r="H925" s="71"/>
      <c r="I925" s="72"/>
      <c r="J925" s="73"/>
      <c r="K925" s="62"/>
      <c r="L925" s="62"/>
      <c r="M925" s="62"/>
      <c r="N925" s="62"/>
      <c r="O925" s="62"/>
    </row>
    <row r="926" spans="1:15">
      <c r="A926" s="75">
        <f t="shared" si="14"/>
        <v>0</v>
      </c>
      <c r="B926" s="66"/>
      <c r="C926" s="66"/>
      <c r="D926" s="66"/>
      <c r="E926" s="68"/>
      <c r="F926" s="69"/>
      <c r="G926" s="70"/>
      <c r="H926" s="71"/>
      <c r="I926" s="72"/>
      <c r="J926" s="73"/>
      <c r="K926" s="62"/>
      <c r="L926" s="62"/>
      <c r="M926" s="62"/>
      <c r="N926" s="62"/>
      <c r="O926" s="62"/>
    </row>
    <row r="927" spans="1:15">
      <c r="A927" s="75">
        <f t="shared" si="14"/>
        <v>0</v>
      </c>
      <c r="B927" s="66"/>
      <c r="C927" s="66"/>
      <c r="D927" s="66"/>
      <c r="E927" s="68"/>
      <c r="F927" s="69"/>
      <c r="G927" s="70"/>
      <c r="H927" s="71"/>
      <c r="I927" s="72"/>
      <c r="J927" s="73"/>
      <c r="K927" s="62"/>
      <c r="L927" s="62"/>
      <c r="M927" s="62"/>
      <c r="N927" s="62"/>
      <c r="O927" s="62"/>
    </row>
    <row r="928" spans="1:15">
      <c r="A928" s="75">
        <f t="shared" si="14"/>
        <v>0</v>
      </c>
      <c r="B928" s="66"/>
      <c r="C928" s="66"/>
      <c r="D928" s="66"/>
      <c r="E928" s="68"/>
      <c r="F928" s="69"/>
      <c r="G928" s="70"/>
      <c r="H928" s="71"/>
      <c r="I928" s="72"/>
      <c r="J928" s="73"/>
      <c r="K928" s="62"/>
      <c r="L928" s="62"/>
      <c r="M928" s="62"/>
      <c r="N928" s="62"/>
      <c r="O928" s="62"/>
    </row>
    <row r="929" spans="1:15">
      <c r="A929" s="75">
        <f t="shared" si="14"/>
        <v>0</v>
      </c>
      <c r="B929" s="66"/>
      <c r="C929" s="66"/>
      <c r="D929" s="66"/>
      <c r="E929" s="68"/>
      <c r="F929" s="69"/>
      <c r="G929" s="70"/>
      <c r="H929" s="71"/>
      <c r="I929" s="72"/>
      <c r="J929" s="73"/>
      <c r="K929" s="62"/>
      <c r="L929" s="62"/>
      <c r="M929" s="62"/>
      <c r="N929" s="62"/>
      <c r="O929" s="62"/>
    </row>
    <row r="930" spans="1:15">
      <c r="A930" s="75">
        <f t="shared" si="14"/>
        <v>0</v>
      </c>
      <c r="B930" s="66"/>
      <c r="C930" s="66"/>
      <c r="D930" s="66"/>
      <c r="E930" s="68"/>
      <c r="F930" s="69"/>
      <c r="G930" s="70"/>
      <c r="H930" s="71"/>
      <c r="I930" s="72"/>
      <c r="J930" s="73"/>
      <c r="K930" s="62"/>
      <c r="L930" s="62"/>
      <c r="M930" s="62"/>
      <c r="N930" s="62"/>
      <c r="O930" s="62"/>
    </row>
    <row r="931" spans="1:15">
      <c r="A931" s="75">
        <f t="shared" si="14"/>
        <v>0</v>
      </c>
      <c r="B931" s="66"/>
      <c r="C931" s="66"/>
      <c r="D931" s="66"/>
      <c r="E931" s="68"/>
      <c r="F931" s="69"/>
      <c r="G931" s="70"/>
      <c r="H931" s="71"/>
      <c r="I931" s="72"/>
      <c r="J931" s="73"/>
      <c r="K931" s="62"/>
      <c r="L931" s="62"/>
      <c r="M931" s="62"/>
      <c r="N931" s="62"/>
      <c r="O931" s="62"/>
    </row>
    <row r="932" spans="1:15">
      <c r="A932" s="75">
        <f t="shared" si="14"/>
        <v>0</v>
      </c>
      <c r="B932" s="66"/>
      <c r="C932" s="66"/>
      <c r="D932" s="66"/>
      <c r="E932" s="68"/>
      <c r="F932" s="69"/>
      <c r="G932" s="70"/>
      <c r="H932" s="71"/>
      <c r="I932" s="72"/>
      <c r="J932" s="73"/>
      <c r="K932" s="62"/>
      <c r="L932" s="62"/>
      <c r="M932" s="62"/>
      <c r="N932" s="62"/>
      <c r="O932" s="62"/>
    </row>
    <row r="933" spans="1:15">
      <c r="A933" s="75">
        <f t="shared" si="14"/>
        <v>0</v>
      </c>
      <c r="B933" s="66"/>
      <c r="C933" s="66"/>
      <c r="D933" s="66"/>
      <c r="E933" s="68"/>
      <c r="F933" s="69"/>
      <c r="G933" s="70"/>
      <c r="H933" s="71"/>
      <c r="I933" s="72"/>
      <c r="J933" s="73"/>
      <c r="K933" s="62"/>
      <c r="L933" s="62"/>
      <c r="M933" s="62"/>
      <c r="N933" s="62"/>
      <c r="O933" s="62"/>
    </row>
    <row r="934" spans="1:15">
      <c r="A934" s="75">
        <f t="shared" si="14"/>
        <v>0</v>
      </c>
      <c r="B934" s="66"/>
      <c r="C934" s="66"/>
      <c r="D934" s="66"/>
      <c r="E934" s="68"/>
      <c r="F934" s="69"/>
      <c r="G934" s="70"/>
      <c r="H934" s="71"/>
      <c r="I934" s="72"/>
      <c r="J934" s="73"/>
      <c r="K934" s="62"/>
      <c r="L934" s="62"/>
      <c r="M934" s="62"/>
      <c r="N934" s="62"/>
      <c r="O934" s="62"/>
    </row>
    <row r="935" spans="1:15">
      <c r="A935" s="75">
        <f t="shared" si="14"/>
        <v>0</v>
      </c>
      <c r="B935" s="66"/>
      <c r="C935" s="66"/>
      <c r="D935" s="66"/>
      <c r="E935" s="68"/>
      <c r="F935" s="69"/>
      <c r="G935" s="70"/>
      <c r="H935" s="71"/>
      <c r="I935" s="72"/>
      <c r="J935" s="73"/>
      <c r="K935" s="62"/>
      <c r="L935" s="62"/>
      <c r="M935" s="62"/>
      <c r="N935" s="62"/>
      <c r="O935" s="62"/>
    </row>
    <row r="936" spans="1:15">
      <c r="A936" s="75">
        <f t="shared" si="14"/>
        <v>0</v>
      </c>
      <c r="B936" s="66"/>
      <c r="C936" s="66"/>
      <c r="D936" s="66"/>
      <c r="E936" s="68"/>
      <c r="F936" s="69"/>
      <c r="G936" s="70"/>
      <c r="H936" s="71"/>
      <c r="I936" s="72"/>
      <c r="J936" s="73"/>
      <c r="K936" s="62"/>
      <c r="L936" s="62"/>
      <c r="M936" s="62"/>
      <c r="N936" s="62"/>
      <c r="O936" s="62"/>
    </row>
    <row r="937" spans="1:15">
      <c r="A937" s="75">
        <f t="shared" si="14"/>
        <v>0</v>
      </c>
      <c r="B937" s="66"/>
      <c r="C937" s="66"/>
      <c r="D937" s="66"/>
      <c r="E937" s="68"/>
      <c r="F937" s="69"/>
      <c r="G937" s="70"/>
      <c r="H937" s="71"/>
      <c r="I937" s="72"/>
      <c r="J937" s="73"/>
      <c r="K937" s="62"/>
      <c r="L937" s="62"/>
      <c r="M937" s="62"/>
      <c r="N937" s="62"/>
      <c r="O937" s="62"/>
    </row>
    <row r="938" spans="1:15">
      <c r="A938" s="75">
        <f t="shared" si="14"/>
        <v>0</v>
      </c>
      <c r="B938" s="66"/>
      <c r="C938" s="66"/>
      <c r="D938" s="66"/>
      <c r="E938" s="68"/>
      <c r="F938" s="69"/>
      <c r="G938" s="70"/>
      <c r="H938" s="71"/>
      <c r="I938" s="72"/>
      <c r="J938" s="73"/>
      <c r="K938" s="62"/>
      <c r="L938" s="62"/>
      <c r="M938" s="62"/>
      <c r="N938" s="62"/>
      <c r="O938" s="62"/>
    </row>
    <row r="939" spans="1:15">
      <c r="A939" s="75">
        <f t="shared" si="14"/>
        <v>0</v>
      </c>
      <c r="B939" s="66"/>
      <c r="C939" s="66"/>
      <c r="D939" s="66"/>
      <c r="E939" s="68"/>
      <c r="F939" s="69"/>
      <c r="G939" s="70"/>
      <c r="H939" s="71"/>
      <c r="I939" s="72"/>
      <c r="J939" s="73"/>
      <c r="K939" s="62"/>
      <c r="L939" s="62"/>
      <c r="M939" s="62"/>
      <c r="N939" s="62"/>
      <c r="O939" s="62"/>
    </row>
    <row r="940" spans="1:15">
      <c r="A940" s="75">
        <f t="shared" si="14"/>
        <v>0</v>
      </c>
      <c r="B940" s="66"/>
      <c r="C940" s="66"/>
      <c r="D940" s="66"/>
      <c r="E940" s="68"/>
      <c r="F940" s="69"/>
      <c r="G940" s="70"/>
      <c r="H940" s="71"/>
      <c r="I940" s="72"/>
      <c r="J940" s="73"/>
      <c r="K940" s="62"/>
      <c r="L940" s="62"/>
      <c r="M940" s="62"/>
      <c r="N940" s="62"/>
      <c r="O940" s="62"/>
    </row>
    <row r="941" spans="1:15">
      <c r="A941" s="75">
        <f t="shared" si="14"/>
        <v>0</v>
      </c>
      <c r="B941" s="66"/>
      <c r="C941" s="66"/>
      <c r="D941" s="66"/>
      <c r="E941" s="68"/>
      <c r="F941" s="69"/>
      <c r="G941" s="70"/>
      <c r="H941" s="71"/>
      <c r="I941" s="72"/>
      <c r="J941" s="73"/>
      <c r="K941" s="62"/>
      <c r="L941" s="62"/>
      <c r="M941" s="62"/>
      <c r="N941" s="62"/>
      <c r="O941" s="62"/>
    </row>
    <row r="942" spans="1:15">
      <c r="A942" s="75">
        <f t="shared" si="14"/>
        <v>0</v>
      </c>
      <c r="B942" s="66"/>
      <c r="C942" s="66"/>
      <c r="D942" s="66"/>
      <c r="E942" s="68"/>
      <c r="F942" s="69"/>
      <c r="G942" s="70"/>
      <c r="H942" s="71"/>
      <c r="I942" s="72"/>
      <c r="J942" s="73"/>
      <c r="K942" s="62"/>
      <c r="L942" s="62"/>
      <c r="M942" s="62"/>
      <c r="N942" s="62"/>
      <c r="O942" s="62"/>
    </row>
    <row r="943" spans="1:15">
      <c r="A943" s="75">
        <f t="shared" si="14"/>
        <v>0</v>
      </c>
      <c r="B943" s="66"/>
      <c r="C943" s="66"/>
      <c r="D943" s="66"/>
      <c r="E943" s="68"/>
      <c r="F943" s="69"/>
      <c r="G943" s="70"/>
      <c r="H943" s="71"/>
      <c r="I943" s="72"/>
      <c r="J943" s="73"/>
      <c r="K943" s="62"/>
      <c r="L943" s="62"/>
      <c r="M943" s="62"/>
      <c r="N943" s="62"/>
      <c r="O943" s="62"/>
    </row>
    <row r="944" spans="1:15">
      <c r="A944" s="75">
        <f t="shared" si="14"/>
        <v>0</v>
      </c>
      <c r="B944" s="66"/>
      <c r="C944" s="66"/>
      <c r="D944" s="66"/>
      <c r="E944" s="68"/>
      <c r="F944" s="69"/>
      <c r="G944" s="70"/>
      <c r="H944" s="71"/>
      <c r="I944" s="72"/>
      <c r="J944" s="73"/>
      <c r="K944" s="62"/>
      <c r="L944" s="62"/>
      <c r="M944" s="62"/>
      <c r="N944" s="62"/>
      <c r="O944" s="62"/>
    </row>
    <row r="945" spans="1:15">
      <c r="A945" s="75">
        <f t="shared" si="14"/>
        <v>0</v>
      </c>
      <c r="B945" s="66"/>
      <c r="C945" s="66"/>
      <c r="D945" s="66"/>
      <c r="E945" s="68"/>
      <c r="F945" s="69"/>
      <c r="G945" s="70"/>
      <c r="H945" s="71"/>
      <c r="I945" s="72"/>
      <c r="J945" s="73"/>
      <c r="K945" s="62"/>
      <c r="L945" s="62"/>
      <c r="M945" s="62"/>
      <c r="N945" s="62"/>
      <c r="O945" s="62"/>
    </row>
    <row r="946" spans="1:15">
      <c r="A946" s="75">
        <f t="shared" si="14"/>
        <v>0</v>
      </c>
      <c r="B946" s="66"/>
      <c r="C946" s="66"/>
      <c r="D946" s="66"/>
      <c r="E946" s="68"/>
      <c r="F946" s="69"/>
      <c r="G946" s="70"/>
      <c r="H946" s="71"/>
      <c r="I946" s="72"/>
      <c r="J946" s="73"/>
      <c r="K946" s="62"/>
      <c r="L946" s="62"/>
      <c r="M946" s="62"/>
      <c r="N946" s="62"/>
      <c r="O946" s="62"/>
    </row>
    <row r="947" spans="1:15">
      <c r="A947" s="75">
        <f t="shared" si="14"/>
        <v>0</v>
      </c>
      <c r="B947" s="66"/>
      <c r="C947" s="66"/>
      <c r="D947" s="66"/>
      <c r="E947" s="68"/>
      <c r="F947" s="69"/>
      <c r="G947" s="70"/>
      <c r="H947" s="71"/>
      <c r="I947" s="72"/>
      <c r="J947" s="73"/>
      <c r="K947" s="62"/>
      <c r="L947" s="62"/>
      <c r="M947" s="62"/>
      <c r="N947" s="62"/>
      <c r="O947" s="62"/>
    </row>
    <row r="948" spans="1:15">
      <c r="A948" s="75">
        <f t="shared" si="14"/>
        <v>0</v>
      </c>
      <c r="B948" s="66"/>
      <c r="C948" s="66"/>
      <c r="D948" s="66"/>
      <c r="E948" s="68"/>
      <c r="F948" s="69"/>
      <c r="G948" s="70"/>
      <c r="H948" s="71"/>
      <c r="I948" s="72"/>
      <c r="J948" s="73"/>
      <c r="K948" s="62"/>
      <c r="L948" s="62"/>
      <c r="M948" s="62"/>
      <c r="N948" s="62"/>
      <c r="O948" s="62"/>
    </row>
    <row r="949" spans="1:15">
      <c r="A949" s="75">
        <f t="shared" si="14"/>
        <v>0</v>
      </c>
      <c r="B949" s="66"/>
      <c r="C949" s="66"/>
      <c r="D949" s="66"/>
      <c r="E949" s="68"/>
      <c r="F949" s="69"/>
      <c r="G949" s="70"/>
      <c r="H949" s="71"/>
      <c r="I949" s="72"/>
      <c r="J949" s="73"/>
      <c r="K949" s="62"/>
      <c r="L949" s="62"/>
      <c r="M949" s="62"/>
      <c r="N949" s="62"/>
      <c r="O949" s="62"/>
    </row>
    <row r="950" spans="1:15">
      <c r="A950" s="75">
        <f t="shared" si="14"/>
        <v>0</v>
      </c>
      <c r="B950" s="66"/>
      <c r="C950" s="66"/>
      <c r="D950" s="66"/>
      <c r="E950" s="68"/>
      <c r="F950" s="69"/>
      <c r="G950" s="70"/>
      <c r="H950" s="71"/>
      <c r="I950" s="72"/>
      <c r="J950" s="73"/>
      <c r="K950" s="62"/>
      <c r="L950" s="62"/>
      <c r="M950" s="62"/>
      <c r="N950" s="62"/>
      <c r="O950" s="62"/>
    </row>
    <row r="951" spans="1:15">
      <c r="A951" s="75">
        <f t="shared" si="14"/>
        <v>0</v>
      </c>
      <c r="B951" s="66"/>
      <c r="C951" s="66"/>
      <c r="D951" s="66"/>
      <c r="E951" s="68"/>
      <c r="F951" s="69"/>
      <c r="G951" s="70"/>
      <c r="H951" s="71"/>
      <c r="I951" s="72"/>
      <c r="J951" s="73"/>
      <c r="K951" s="62"/>
      <c r="L951" s="62"/>
      <c r="M951" s="62"/>
      <c r="N951" s="62"/>
      <c r="O951" s="62"/>
    </row>
    <row r="952" spans="1:15">
      <c r="A952" s="75">
        <f t="shared" si="14"/>
        <v>0</v>
      </c>
      <c r="B952" s="66"/>
      <c r="C952" s="66"/>
      <c r="D952" s="66"/>
      <c r="E952" s="68"/>
      <c r="F952" s="69"/>
      <c r="G952" s="70"/>
      <c r="H952" s="71"/>
      <c r="I952" s="72"/>
      <c r="J952" s="73"/>
      <c r="K952" s="62"/>
      <c r="L952" s="62"/>
      <c r="M952" s="62"/>
      <c r="N952" s="62"/>
      <c r="O952" s="62"/>
    </row>
    <row r="953" spans="1:15">
      <c r="A953" s="75">
        <f t="shared" si="14"/>
        <v>0</v>
      </c>
      <c r="B953" s="66"/>
      <c r="C953" s="66"/>
      <c r="D953" s="66"/>
      <c r="E953" s="68"/>
      <c r="F953" s="69"/>
      <c r="G953" s="70"/>
      <c r="H953" s="71"/>
      <c r="I953" s="72"/>
      <c r="J953" s="73"/>
      <c r="K953" s="62"/>
      <c r="L953" s="62"/>
      <c r="M953" s="62"/>
      <c r="N953" s="62"/>
      <c r="O953" s="62"/>
    </row>
    <row r="954" spans="1:15">
      <c r="A954" s="75">
        <f t="shared" si="14"/>
        <v>0</v>
      </c>
      <c r="B954" s="66"/>
      <c r="C954" s="66"/>
      <c r="D954" s="66"/>
      <c r="E954" s="68"/>
      <c r="F954" s="69"/>
      <c r="G954" s="70"/>
      <c r="H954" s="71"/>
      <c r="I954" s="72"/>
      <c r="J954" s="73"/>
      <c r="K954" s="62"/>
      <c r="L954" s="62"/>
      <c r="M954" s="62"/>
      <c r="N954" s="62"/>
      <c r="O954" s="62"/>
    </row>
    <row r="955" spans="1:15">
      <c r="A955" s="75">
        <f t="shared" si="14"/>
        <v>0</v>
      </c>
      <c r="B955" s="66"/>
      <c r="C955" s="66"/>
      <c r="D955" s="66"/>
      <c r="E955" s="68"/>
      <c r="F955" s="69"/>
      <c r="G955" s="70"/>
      <c r="H955" s="71"/>
      <c r="I955" s="72"/>
      <c r="J955" s="73"/>
      <c r="K955" s="62"/>
      <c r="L955" s="62"/>
      <c r="M955" s="62"/>
      <c r="N955" s="62"/>
      <c r="O955" s="62"/>
    </row>
    <row r="956" spans="1:15">
      <c r="A956" s="75">
        <f t="shared" si="14"/>
        <v>0</v>
      </c>
      <c r="B956" s="66"/>
      <c r="C956" s="66"/>
      <c r="D956" s="66"/>
      <c r="E956" s="68"/>
      <c r="F956" s="69"/>
      <c r="G956" s="70"/>
      <c r="H956" s="71"/>
      <c r="I956" s="72"/>
      <c r="J956" s="73"/>
      <c r="K956" s="62"/>
      <c r="L956" s="62"/>
      <c r="M956" s="62"/>
      <c r="N956" s="62"/>
      <c r="O956" s="62"/>
    </row>
    <row r="957" spans="1:15">
      <c r="A957" s="75">
        <f t="shared" si="14"/>
        <v>0</v>
      </c>
      <c r="B957" s="66"/>
      <c r="C957" s="66"/>
      <c r="D957" s="66"/>
      <c r="E957" s="68"/>
      <c r="F957" s="69"/>
      <c r="G957" s="70"/>
      <c r="H957" s="71"/>
      <c r="I957" s="72"/>
      <c r="J957" s="73"/>
      <c r="K957" s="62"/>
      <c r="L957" s="62"/>
      <c r="M957" s="62"/>
      <c r="N957" s="62"/>
      <c r="O957" s="62"/>
    </row>
    <row r="958" spans="1:15">
      <c r="A958" s="75">
        <f t="shared" si="14"/>
        <v>0</v>
      </c>
      <c r="B958" s="66"/>
      <c r="C958" s="66"/>
      <c r="D958" s="66"/>
      <c r="E958" s="68"/>
      <c r="F958" s="69"/>
      <c r="G958" s="70"/>
      <c r="H958" s="71"/>
      <c r="I958" s="72"/>
      <c r="J958" s="73"/>
      <c r="K958" s="62"/>
      <c r="L958" s="62"/>
      <c r="M958" s="62"/>
      <c r="N958" s="62"/>
      <c r="O958" s="62"/>
    </row>
    <row r="959" spans="1:15">
      <c r="A959" s="75">
        <f t="shared" si="14"/>
        <v>0</v>
      </c>
      <c r="B959" s="66"/>
      <c r="C959" s="66"/>
      <c r="D959" s="66"/>
      <c r="E959" s="68"/>
      <c r="F959" s="69"/>
      <c r="G959" s="70"/>
      <c r="H959" s="71"/>
      <c r="I959" s="72"/>
      <c r="J959" s="73"/>
      <c r="K959" s="62"/>
      <c r="L959" s="62"/>
      <c r="M959" s="62"/>
      <c r="N959" s="62"/>
      <c r="O959" s="62"/>
    </row>
    <row r="960" spans="1:15">
      <c r="A960" s="75">
        <f t="shared" si="14"/>
        <v>0</v>
      </c>
      <c r="B960" s="66"/>
      <c r="C960" s="66"/>
      <c r="D960" s="66"/>
      <c r="E960" s="68"/>
      <c r="F960" s="69"/>
      <c r="G960" s="70"/>
      <c r="H960" s="71"/>
      <c r="I960" s="72"/>
      <c r="J960" s="73"/>
      <c r="K960" s="62"/>
      <c r="L960" s="62"/>
      <c r="M960" s="62"/>
      <c r="N960" s="62"/>
      <c r="O960" s="62"/>
    </row>
    <row r="961" spans="1:15">
      <c r="A961" s="75">
        <f t="shared" si="14"/>
        <v>0</v>
      </c>
      <c r="B961" s="66"/>
      <c r="C961" s="66"/>
      <c r="D961" s="66"/>
      <c r="E961" s="68"/>
      <c r="F961" s="69"/>
      <c r="G961" s="70"/>
      <c r="H961" s="71"/>
      <c r="I961" s="72"/>
      <c r="J961" s="73"/>
      <c r="K961" s="62"/>
      <c r="L961" s="62"/>
      <c r="M961" s="62"/>
      <c r="N961" s="62"/>
      <c r="O961" s="62"/>
    </row>
    <row r="962" spans="1:15">
      <c r="A962" s="75">
        <f t="shared" si="14"/>
        <v>0</v>
      </c>
      <c r="B962" s="66"/>
      <c r="C962" s="66"/>
      <c r="D962" s="66"/>
      <c r="E962" s="68"/>
      <c r="F962" s="69"/>
      <c r="G962" s="70"/>
      <c r="H962" s="71"/>
      <c r="I962" s="72"/>
      <c r="J962" s="73"/>
      <c r="K962" s="62"/>
      <c r="L962" s="62"/>
      <c r="M962" s="62"/>
      <c r="N962" s="62"/>
      <c r="O962" s="62"/>
    </row>
    <row r="963" spans="1:15">
      <c r="A963" s="75">
        <f t="shared" si="14"/>
        <v>0</v>
      </c>
      <c r="B963" s="66"/>
      <c r="C963" s="66"/>
      <c r="D963" s="66"/>
      <c r="E963" s="68"/>
      <c r="F963" s="69"/>
      <c r="G963" s="70"/>
      <c r="H963" s="71"/>
      <c r="I963" s="72"/>
      <c r="J963" s="73"/>
      <c r="K963" s="62"/>
      <c r="L963" s="62"/>
      <c r="M963" s="62"/>
      <c r="N963" s="62"/>
      <c r="O963" s="62"/>
    </row>
    <row r="964" spans="1:15">
      <c r="A964" s="75">
        <f t="shared" si="14"/>
        <v>0</v>
      </c>
      <c r="B964" s="66"/>
      <c r="C964" s="66"/>
      <c r="D964" s="66"/>
      <c r="E964" s="68"/>
      <c r="F964" s="69"/>
      <c r="G964" s="70"/>
      <c r="H964" s="71"/>
      <c r="I964" s="72"/>
      <c r="J964" s="73"/>
      <c r="K964" s="62"/>
      <c r="L964" s="62"/>
      <c r="M964" s="62"/>
      <c r="N964" s="62"/>
      <c r="O964" s="62"/>
    </row>
    <row r="965" spans="1:15">
      <c r="A965" s="75">
        <f t="shared" si="14"/>
        <v>0</v>
      </c>
      <c r="B965" s="66"/>
      <c r="C965" s="66"/>
      <c r="D965" s="66"/>
      <c r="E965" s="68"/>
      <c r="F965" s="69"/>
      <c r="G965" s="70"/>
      <c r="H965" s="71"/>
      <c r="I965" s="72"/>
      <c r="J965" s="73"/>
      <c r="K965" s="62"/>
      <c r="L965" s="62"/>
      <c r="M965" s="62"/>
      <c r="N965" s="62"/>
      <c r="O965" s="62"/>
    </row>
    <row r="966" spans="1:15">
      <c r="A966" s="75">
        <f t="shared" si="14"/>
        <v>0</v>
      </c>
      <c r="B966" s="66"/>
      <c r="C966" s="66"/>
      <c r="D966" s="66"/>
      <c r="E966" s="68"/>
      <c r="F966" s="69"/>
      <c r="G966" s="70"/>
      <c r="H966" s="71"/>
      <c r="I966" s="72"/>
      <c r="J966" s="73"/>
      <c r="K966" s="62"/>
      <c r="L966" s="62"/>
      <c r="M966" s="62"/>
      <c r="N966" s="62"/>
      <c r="O966" s="62"/>
    </row>
    <row r="967" spans="1:15">
      <c r="A967" s="75">
        <f t="shared" si="14"/>
        <v>0</v>
      </c>
      <c r="B967" s="66"/>
      <c r="C967" s="66"/>
      <c r="D967" s="66"/>
      <c r="E967" s="68"/>
      <c r="F967" s="69"/>
      <c r="G967" s="70"/>
      <c r="H967" s="71"/>
      <c r="I967" s="72"/>
      <c r="J967" s="73"/>
      <c r="K967" s="62"/>
      <c r="L967" s="62"/>
      <c r="M967" s="62"/>
      <c r="N967" s="62"/>
      <c r="O967" s="62"/>
    </row>
    <row r="968" spans="1:15">
      <c r="A968" s="75">
        <f t="shared" si="14"/>
        <v>0</v>
      </c>
      <c r="B968" s="66"/>
      <c r="C968" s="66"/>
      <c r="D968" s="66"/>
      <c r="E968" s="68"/>
      <c r="F968" s="69"/>
      <c r="G968" s="70"/>
      <c r="H968" s="71"/>
      <c r="I968" s="72"/>
      <c r="J968" s="73"/>
      <c r="K968" s="62"/>
      <c r="L968" s="62"/>
      <c r="M968" s="62"/>
      <c r="N968" s="62"/>
      <c r="O968" s="62"/>
    </row>
    <row r="969" spans="1:15">
      <c r="A969" s="75">
        <f t="shared" si="14"/>
        <v>0</v>
      </c>
      <c r="B969" s="66"/>
      <c r="C969" s="66"/>
      <c r="D969" s="66"/>
      <c r="E969" s="68"/>
      <c r="F969" s="69"/>
      <c r="G969" s="70"/>
      <c r="H969" s="71"/>
      <c r="I969" s="72"/>
      <c r="J969" s="73"/>
      <c r="K969" s="62"/>
      <c r="L969" s="62"/>
      <c r="M969" s="62"/>
      <c r="N969" s="62"/>
      <c r="O969" s="62"/>
    </row>
    <row r="970" spans="1:15">
      <c r="A970" s="75">
        <f t="shared" ref="A970:A978" si="15">E970</f>
        <v>0</v>
      </c>
      <c r="B970" s="66"/>
      <c r="C970" s="66"/>
      <c r="D970" s="66"/>
      <c r="E970" s="68"/>
      <c r="F970" s="69"/>
      <c r="G970" s="70"/>
      <c r="H970" s="71"/>
      <c r="I970" s="72"/>
      <c r="J970" s="73"/>
      <c r="K970" s="62"/>
      <c r="L970" s="62"/>
      <c r="M970" s="62"/>
      <c r="N970" s="62"/>
      <c r="O970" s="62"/>
    </row>
    <row r="971" spans="1:15">
      <c r="A971" s="75">
        <f t="shared" si="15"/>
        <v>0</v>
      </c>
      <c r="B971" s="66"/>
      <c r="C971" s="66"/>
      <c r="D971" s="66"/>
      <c r="E971" s="68"/>
      <c r="F971" s="69"/>
      <c r="G971" s="70"/>
      <c r="H971" s="71"/>
      <c r="I971" s="72"/>
      <c r="J971" s="73"/>
      <c r="K971" s="62"/>
      <c r="L971" s="62"/>
      <c r="M971" s="62"/>
      <c r="N971" s="62"/>
      <c r="O971" s="62"/>
    </row>
    <row r="972" spans="1:15">
      <c r="A972" s="75">
        <f t="shared" si="15"/>
        <v>0</v>
      </c>
      <c r="B972" s="66"/>
      <c r="C972" s="66"/>
      <c r="D972" s="66"/>
      <c r="E972" s="68"/>
      <c r="F972" s="69"/>
      <c r="G972" s="70"/>
      <c r="H972" s="71"/>
      <c r="I972" s="72"/>
      <c r="J972" s="73"/>
      <c r="K972" s="62"/>
      <c r="L972" s="62"/>
      <c r="M972" s="62"/>
      <c r="N972" s="62"/>
      <c r="O972" s="62"/>
    </row>
    <row r="973" spans="1:15">
      <c r="A973" s="75">
        <f t="shared" si="15"/>
        <v>0</v>
      </c>
      <c r="B973" s="66"/>
      <c r="C973" s="66"/>
      <c r="D973" s="66"/>
      <c r="E973" s="68"/>
      <c r="F973" s="69"/>
      <c r="G973" s="70"/>
      <c r="H973" s="71"/>
      <c r="I973" s="72"/>
      <c r="J973" s="73"/>
      <c r="K973" s="62"/>
      <c r="L973" s="62"/>
      <c r="M973" s="62"/>
      <c r="N973" s="62"/>
      <c r="O973" s="62"/>
    </row>
    <row r="974" spans="1:15">
      <c r="A974" s="75">
        <f t="shared" si="15"/>
        <v>0</v>
      </c>
      <c r="B974" s="66"/>
      <c r="C974" s="66"/>
      <c r="D974" s="66"/>
      <c r="E974" s="68"/>
      <c r="F974" s="69"/>
      <c r="G974" s="70"/>
      <c r="H974" s="71"/>
      <c r="I974" s="72"/>
      <c r="J974" s="73"/>
      <c r="K974" s="62"/>
      <c r="L974" s="62"/>
      <c r="M974" s="62"/>
      <c r="N974" s="62"/>
      <c r="O974" s="62"/>
    </row>
    <row r="975" spans="1:15">
      <c r="A975" s="75">
        <f t="shared" si="15"/>
        <v>0</v>
      </c>
      <c r="B975" s="66"/>
      <c r="C975" s="66"/>
      <c r="D975" s="66"/>
      <c r="E975" s="68"/>
      <c r="F975" s="69"/>
      <c r="G975" s="70"/>
      <c r="H975" s="71"/>
      <c r="I975" s="72"/>
      <c r="J975" s="73"/>
      <c r="K975" s="62"/>
      <c r="L975" s="62"/>
      <c r="M975" s="62"/>
      <c r="N975" s="62"/>
      <c r="O975" s="62"/>
    </row>
    <row r="976" spans="1:15">
      <c r="A976" s="75">
        <f t="shared" si="15"/>
        <v>0</v>
      </c>
      <c r="B976" s="66"/>
      <c r="C976" s="66"/>
      <c r="D976" s="66"/>
      <c r="E976" s="68"/>
      <c r="F976" s="69"/>
      <c r="G976" s="70"/>
      <c r="H976" s="71"/>
      <c r="I976" s="72"/>
      <c r="J976" s="73"/>
      <c r="K976" s="62"/>
      <c r="L976" s="62"/>
      <c r="M976" s="62"/>
      <c r="N976" s="62"/>
      <c r="O976" s="62"/>
    </row>
    <row r="977" spans="1:15">
      <c r="A977" s="75">
        <f t="shared" si="15"/>
        <v>0</v>
      </c>
      <c r="B977" s="66"/>
      <c r="C977" s="66"/>
      <c r="D977" s="66"/>
      <c r="E977" s="68"/>
      <c r="F977" s="69"/>
      <c r="G977" s="70"/>
      <c r="H977" s="71"/>
      <c r="I977" s="72"/>
      <c r="J977" s="73"/>
      <c r="K977" s="62"/>
      <c r="L977" s="62"/>
      <c r="M977" s="62"/>
      <c r="N977" s="62"/>
      <c r="O977" s="62"/>
    </row>
    <row r="978" spans="1:15">
      <c r="A978" s="75">
        <f t="shared" si="15"/>
        <v>0</v>
      </c>
      <c r="B978" s="66"/>
      <c r="C978" s="66"/>
      <c r="D978" s="66"/>
      <c r="E978" s="68"/>
      <c r="F978" s="69"/>
      <c r="G978" s="70"/>
      <c r="H978" s="71"/>
      <c r="I978" s="72"/>
      <c r="J978" s="73"/>
      <c r="K978" s="62"/>
      <c r="L978" s="62"/>
      <c r="M978" s="62"/>
      <c r="N978" s="62"/>
      <c r="O978" s="62"/>
    </row>
  </sheetData>
  <autoFilter ref="A9:J978"/>
  <mergeCells count="1">
    <mergeCell ref="B2:F6"/>
  </mergeCells>
  <dataValidations count="1">
    <dataValidation type="list" allowBlank="1" showInputMessage="1" showErrorMessage="1" sqref="J10:J978">
      <formula1>"ANÁLISE,ORÇAMENTO,PAGO,CANCELADO"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MONITORAMENTO</vt:lpstr>
      <vt:lpstr>VALID</vt:lpstr>
      <vt:lpstr>--GESTÃO DE CONTRATOS--</vt:lpstr>
      <vt:lpstr>GESTÃO DE PAGAMENTOS</vt:lpstr>
      <vt:lpstr>Aditivo</vt:lpstr>
      <vt:lpstr>VALID!Area_de_extracao</vt:lpstr>
      <vt:lpstr>'--GESTÃO DE CONTRATOS--'!Area_de_impressao</vt:lpstr>
      <vt:lpstr>Contratosx</vt:lpstr>
      <vt:lpstr>VALID!Criterios</vt:lpstr>
      <vt:lpstr>Empresas</vt:lpstr>
      <vt:lpstr>Gasto</vt:lpstr>
      <vt:lpstr>LocaisLotacao</vt:lpstr>
      <vt:lpstr>LocaisLotacao2</vt:lpstr>
      <vt:lpstr>SituacaoLancamento</vt:lpstr>
      <vt:lpstr>ValidaSitual</vt:lpstr>
      <vt:lpstr>ValorCont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Cavalcanti Marinho Falcao N</dc:creator>
  <cp:lastModifiedBy>Wilson Cavalcanti Marinho Falcao N</cp:lastModifiedBy>
  <cp:lastPrinted>2019-01-10T11:59:43Z</cp:lastPrinted>
  <dcterms:created xsi:type="dcterms:W3CDTF">2018-09-11T14:20:01Z</dcterms:created>
  <dcterms:modified xsi:type="dcterms:W3CDTF">2019-01-22T18:49:02Z</dcterms:modified>
</cp:coreProperties>
</file>